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"/>
    </mc:Choice>
  </mc:AlternateContent>
  <xr:revisionPtr revIDLastSave="184" documentId="8_{84C607BB-EFA3-4BE5-948B-6E95F38B0779}" xr6:coauthVersionLast="47" xr6:coauthVersionMax="47" xr10:uidLastSave="{7855384A-DE7F-3E44-BE22-8753C8D46AC4}"/>
  <bookViews>
    <workbookView xWindow="-120" yWindow="-120" windowWidth="29040" windowHeight="15720" xr2:uid="{00000000-000D-0000-FFFF-FFFF00000000}"/>
  </bookViews>
  <sheets>
    <sheet name="浜の町" sheetId="4" r:id="rId1"/>
  </sheets>
  <definedNames>
    <definedName name="_xlnm._FilterDatabase" localSheetId="0" hidden="1">浜の町!$AD$297:$AP$358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rfriggjus1pDGF4Grs3sfODI8XHJh2XK5p5oL0a+bU="/>
    </ext>
  </extLst>
</workbook>
</file>

<file path=xl/calcChain.xml><?xml version="1.0" encoding="utf-8"?>
<calcChain xmlns="http://schemas.openxmlformats.org/spreadsheetml/2006/main">
  <c r="A64" i="4" l="1"/>
  <c r="BC42" i="4"/>
  <c r="BB42" i="4"/>
  <c r="AZ42" i="4"/>
  <c r="AX42" i="4"/>
  <c r="AV42" i="4"/>
  <c r="AT42" i="4"/>
  <c r="BA42" i="4"/>
  <c r="BB41" i="4"/>
  <c r="BA41" i="4"/>
  <c r="AZ41" i="4"/>
  <c r="AX41" i="4"/>
  <c r="BC41" i="4"/>
  <c r="AV41" i="4"/>
  <c r="AT41" i="4"/>
  <c r="BB40" i="4"/>
  <c r="AZ40" i="4"/>
  <c r="AX40" i="4"/>
  <c r="BC40" i="4"/>
  <c r="AV40" i="4"/>
  <c r="AT40" i="4"/>
  <c r="BA40" i="4"/>
  <c r="BC39" i="4"/>
  <c r="BB39" i="4"/>
  <c r="BA39" i="4"/>
  <c r="AZ39" i="4"/>
  <c r="AX39" i="4"/>
  <c r="AV39" i="4"/>
  <c r="AT39" i="4"/>
  <c r="BB38" i="4"/>
  <c r="AZ38" i="4"/>
  <c r="AX38" i="4"/>
  <c r="BC38" i="4"/>
  <c r="AV38" i="4"/>
  <c r="AT38" i="4"/>
  <c r="BA38" i="4"/>
  <c r="BC37" i="4"/>
  <c r="BB37" i="4"/>
  <c r="AZ37" i="4"/>
  <c r="AX37" i="4"/>
  <c r="AV37" i="4"/>
  <c r="AT37" i="4"/>
  <c r="BA37" i="4"/>
  <c r="BB36" i="4"/>
  <c r="BA36" i="4"/>
  <c r="AZ36" i="4"/>
  <c r="AX36" i="4"/>
  <c r="BC36" i="4"/>
  <c r="AV36" i="4"/>
  <c r="AT36" i="4"/>
  <c r="BB35" i="4"/>
  <c r="AZ35" i="4"/>
  <c r="AX35" i="4"/>
  <c r="BC35" i="4"/>
  <c r="AV35" i="4"/>
  <c r="AT35" i="4"/>
  <c r="BA35" i="4"/>
  <c r="BC34" i="4"/>
  <c r="BB34" i="4"/>
  <c r="BA34" i="4"/>
  <c r="AZ34" i="4"/>
  <c r="AX34" i="4"/>
  <c r="AV34" i="4"/>
  <c r="AT34" i="4"/>
  <c r="BB33" i="4"/>
  <c r="AZ33" i="4"/>
  <c r="AX33" i="4"/>
  <c r="BC33" i="4"/>
  <c r="AV33" i="4"/>
  <c r="AT33" i="4"/>
  <c r="BA33" i="4"/>
  <c r="BC32" i="4"/>
  <c r="BB32" i="4"/>
  <c r="BA32" i="4"/>
  <c r="AZ32" i="4"/>
  <c r="AX32" i="4"/>
  <c r="AV32" i="4"/>
  <c r="AT32" i="4"/>
  <c r="BB31" i="4"/>
  <c r="AZ31" i="4"/>
  <c r="AX31" i="4"/>
  <c r="BC31" i="4"/>
  <c r="AV31" i="4"/>
  <c r="AT31" i="4"/>
  <c r="BA31" i="4"/>
  <c r="BC30" i="4"/>
  <c r="BB30" i="4"/>
  <c r="AZ30" i="4"/>
  <c r="AX30" i="4"/>
  <c r="AV30" i="4"/>
  <c r="AT30" i="4"/>
  <c r="BA30" i="4"/>
  <c r="BB29" i="4"/>
  <c r="BA29" i="4"/>
  <c r="AZ29" i="4"/>
  <c r="AX29" i="4"/>
  <c r="BC29" i="4"/>
  <c r="AV29" i="4"/>
  <c r="AT29" i="4"/>
  <c r="BB28" i="4"/>
  <c r="AZ28" i="4"/>
  <c r="AX28" i="4"/>
  <c r="BC28" i="4"/>
  <c r="AV28" i="4"/>
  <c r="AT28" i="4"/>
  <c r="BA28" i="4"/>
  <c r="BC27" i="4"/>
  <c r="BB27" i="4"/>
  <c r="BA27" i="4"/>
  <c r="AZ27" i="4"/>
  <c r="AX27" i="4"/>
  <c r="AV27" i="4"/>
  <c r="AT27" i="4"/>
  <c r="BB26" i="4"/>
  <c r="AZ26" i="4"/>
  <c r="AX26" i="4"/>
  <c r="BC26" i="4"/>
  <c r="AV26" i="4"/>
  <c r="AT26" i="4"/>
  <c r="BA26" i="4"/>
  <c r="BC25" i="4"/>
  <c r="BB25" i="4"/>
  <c r="AZ25" i="4"/>
  <c r="AX25" i="4"/>
  <c r="AV25" i="4"/>
  <c r="AT25" i="4"/>
  <c r="BA25" i="4"/>
  <c r="BB24" i="4"/>
  <c r="BA24" i="4"/>
  <c r="AZ24" i="4"/>
  <c r="AX24" i="4"/>
  <c r="BC24" i="4"/>
  <c r="AV24" i="4"/>
  <c r="AT24" i="4"/>
  <c r="BB23" i="4"/>
  <c r="AZ23" i="4"/>
  <c r="AX23" i="4"/>
  <c r="BC23" i="4"/>
  <c r="AV23" i="4"/>
  <c r="AT23" i="4"/>
  <c r="BA23" i="4"/>
  <c r="BC22" i="4"/>
  <c r="BB22" i="4"/>
  <c r="BA22" i="4"/>
  <c r="AZ22" i="4"/>
  <c r="AX22" i="4"/>
  <c r="AV22" i="4"/>
  <c r="AT22" i="4"/>
  <c r="BB21" i="4"/>
  <c r="AZ21" i="4"/>
  <c r="AX21" i="4"/>
  <c r="BC21" i="4"/>
  <c r="AV21" i="4"/>
  <c r="AT21" i="4"/>
  <c r="BA21" i="4"/>
  <c r="BC20" i="4"/>
  <c r="BB20" i="4"/>
  <c r="BA20" i="4"/>
  <c r="AZ20" i="4"/>
  <c r="AX20" i="4"/>
  <c r="AV20" i="4"/>
  <c r="AT20" i="4"/>
  <c r="BB19" i="4"/>
  <c r="AZ19" i="4"/>
  <c r="AX19" i="4"/>
  <c r="BC19" i="4"/>
  <c r="AV19" i="4"/>
  <c r="AT19" i="4"/>
  <c r="BA19" i="4"/>
  <c r="AX18" i="4"/>
  <c r="BC18" i="4"/>
  <c r="BB18" i="4"/>
  <c r="AZ18" i="4"/>
  <c r="AV18" i="4"/>
  <c r="AT18" i="4"/>
  <c r="BA18" i="4"/>
  <c r="BB17" i="4"/>
  <c r="AT17" i="4"/>
  <c r="BA17" i="4"/>
  <c r="AZ17" i="4"/>
  <c r="AX17" i="4"/>
  <c r="BC17" i="4"/>
  <c r="AV17" i="4"/>
  <c r="BB16" i="4"/>
  <c r="AZ16" i="4"/>
  <c r="AX16" i="4"/>
  <c r="BC16" i="4"/>
  <c r="AV16" i="4"/>
  <c r="AT16" i="4"/>
  <c r="BA16" i="4"/>
  <c r="AX15" i="4"/>
  <c r="BC15" i="4"/>
  <c r="BB15" i="4"/>
  <c r="AT15" i="4"/>
  <c r="BA15" i="4"/>
  <c r="AZ15" i="4"/>
  <c r="AV15" i="4"/>
  <c r="AX14" i="4"/>
  <c r="BB14" i="4"/>
  <c r="AZ14" i="4"/>
  <c r="BC14" i="4"/>
  <c r="AV14" i="4"/>
  <c r="AT14" i="4"/>
  <c r="AT68" i="4"/>
  <c r="AX13" i="4"/>
  <c r="BB13" i="4"/>
  <c r="BC13" i="4"/>
  <c r="AZ13" i="4"/>
  <c r="AV13" i="4"/>
  <c r="AT13" i="4"/>
  <c r="BA13" i="4"/>
  <c r="AX12" i="4"/>
  <c r="BB12" i="4"/>
  <c r="AT12" i="4"/>
  <c r="BA12" i="4"/>
  <c r="AZ12" i="4"/>
  <c r="BC12" i="4"/>
  <c r="AV12" i="4"/>
  <c r="AX11" i="4"/>
  <c r="BB11" i="4"/>
  <c r="AZ11" i="4"/>
  <c r="BC11" i="4"/>
  <c r="AV11" i="4"/>
  <c r="AT11" i="4"/>
  <c r="BA11" i="4"/>
  <c r="AN42" i="4"/>
  <c r="AL42" i="4"/>
  <c r="AJ42" i="4"/>
  <c r="AO42" i="4"/>
  <c r="AH42" i="4"/>
  <c r="AF42" i="4"/>
  <c r="AM42" i="4"/>
  <c r="AN41" i="4"/>
  <c r="AM41" i="4"/>
  <c r="AL41" i="4"/>
  <c r="AJ41" i="4"/>
  <c r="AO41" i="4"/>
  <c r="AH41" i="4"/>
  <c r="AF41" i="4"/>
  <c r="AN40" i="4"/>
  <c r="AL40" i="4"/>
  <c r="AJ40" i="4"/>
  <c r="AO40" i="4"/>
  <c r="AH40" i="4"/>
  <c r="AF40" i="4"/>
  <c r="AM40" i="4"/>
  <c r="AO39" i="4"/>
  <c r="AN39" i="4"/>
  <c r="AM39" i="4"/>
  <c r="AL39" i="4"/>
  <c r="AJ39" i="4"/>
  <c r="AH39" i="4"/>
  <c r="AF39" i="4"/>
  <c r="AN38" i="4"/>
  <c r="AL38" i="4"/>
  <c r="AJ38" i="4"/>
  <c r="AO38" i="4"/>
  <c r="AH38" i="4"/>
  <c r="AF38" i="4"/>
  <c r="AM38" i="4"/>
  <c r="AO37" i="4"/>
  <c r="AN37" i="4"/>
  <c r="AL37" i="4"/>
  <c r="AJ37" i="4"/>
  <c r="AH37" i="4"/>
  <c r="AF37" i="4"/>
  <c r="AM37" i="4"/>
  <c r="AN36" i="4"/>
  <c r="AM36" i="4"/>
  <c r="AL36" i="4"/>
  <c r="AJ36" i="4"/>
  <c r="AO36" i="4"/>
  <c r="AH36" i="4"/>
  <c r="AF36" i="4"/>
  <c r="AN35" i="4"/>
  <c r="AL35" i="4"/>
  <c r="AJ35" i="4"/>
  <c r="AO35" i="4"/>
  <c r="AH35" i="4"/>
  <c r="AF35" i="4"/>
  <c r="AM35" i="4"/>
  <c r="AO34" i="4"/>
  <c r="AN34" i="4"/>
  <c r="AM34" i="4"/>
  <c r="AL34" i="4"/>
  <c r="AJ34" i="4"/>
  <c r="AH34" i="4"/>
  <c r="AF34" i="4"/>
  <c r="AN33" i="4"/>
  <c r="AL33" i="4"/>
  <c r="AJ33" i="4"/>
  <c r="AO33" i="4"/>
  <c r="AH33" i="4"/>
  <c r="AF33" i="4"/>
  <c r="AM33" i="4"/>
  <c r="AO32" i="4"/>
  <c r="AN32" i="4"/>
  <c r="AL32" i="4"/>
  <c r="AJ32" i="4"/>
  <c r="AH32" i="4"/>
  <c r="AF32" i="4"/>
  <c r="AM32" i="4"/>
  <c r="AN31" i="4"/>
  <c r="AL31" i="4"/>
  <c r="AJ31" i="4"/>
  <c r="AO31" i="4"/>
  <c r="AH31" i="4"/>
  <c r="AF31" i="4"/>
  <c r="AM31" i="4"/>
  <c r="AN30" i="4"/>
  <c r="AL30" i="4"/>
  <c r="AJ30" i="4"/>
  <c r="AO30" i="4"/>
  <c r="AH30" i="4"/>
  <c r="AF30" i="4"/>
  <c r="AM30" i="4"/>
  <c r="AN29" i="4"/>
  <c r="AM29" i="4"/>
  <c r="AL29" i="4"/>
  <c r="AJ29" i="4"/>
  <c r="AO29" i="4"/>
  <c r="AH29" i="4"/>
  <c r="AF29" i="4"/>
  <c r="AN28" i="4"/>
  <c r="AL28" i="4"/>
  <c r="AJ28" i="4"/>
  <c r="AO28" i="4"/>
  <c r="AH28" i="4"/>
  <c r="AF28" i="4"/>
  <c r="AM28" i="4"/>
  <c r="AO27" i="4"/>
  <c r="AN27" i="4"/>
  <c r="AM27" i="4"/>
  <c r="AL27" i="4"/>
  <c r="AJ27" i="4"/>
  <c r="AH27" i="4"/>
  <c r="AF27" i="4"/>
  <c r="AN26" i="4"/>
  <c r="AL26" i="4"/>
  <c r="AJ26" i="4"/>
  <c r="AO26" i="4"/>
  <c r="AH26" i="4"/>
  <c r="AF26" i="4"/>
  <c r="AM26" i="4"/>
  <c r="AO25" i="4"/>
  <c r="AN25" i="4"/>
  <c r="AL25" i="4"/>
  <c r="AJ25" i="4"/>
  <c r="AH25" i="4"/>
  <c r="AF25" i="4"/>
  <c r="AM25" i="4"/>
  <c r="AN24" i="4"/>
  <c r="AM24" i="4"/>
  <c r="AL24" i="4"/>
  <c r="AJ24" i="4"/>
  <c r="AO24" i="4"/>
  <c r="AH24" i="4"/>
  <c r="AF24" i="4"/>
  <c r="AN23" i="4"/>
  <c r="AL23" i="4"/>
  <c r="AJ23" i="4"/>
  <c r="AO23" i="4"/>
  <c r="AH23" i="4"/>
  <c r="AF23" i="4"/>
  <c r="AM23" i="4"/>
  <c r="AO22" i="4"/>
  <c r="AN22" i="4"/>
  <c r="AM22" i="4"/>
  <c r="AL22" i="4"/>
  <c r="AJ22" i="4"/>
  <c r="AH22" i="4"/>
  <c r="AF22" i="4"/>
  <c r="AN21" i="4"/>
  <c r="AL21" i="4"/>
  <c r="AJ21" i="4"/>
  <c r="AO21" i="4"/>
  <c r="AH21" i="4"/>
  <c r="AF21" i="4"/>
  <c r="AM21" i="4"/>
  <c r="AO20" i="4"/>
  <c r="AN20" i="4"/>
  <c r="AL20" i="4"/>
  <c r="AJ20" i="4"/>
  <c r="AH20" i="4"/>
  <c r="AF20" i="4"/>
  <c r="AM20" i="4"/>
  <c r="AN19" i="4"/>
  <c r="AL19" i="4"/>
  <c r="AJ19" i="4"/>
  <c r="AO19" i="4"/>
  <c r="AH19" i="4"/>
  <c r="AF19" i="4"/>
  <c r="AM19" i="4"/>
  <c r="AN18" i="4"/>
  <c r="AL18" i="4"/>
  <c r="AJ18" i="4"/>
  <c r="AO18" i="4"/>
  <c r="AH18" i="4"/>
  <c r="AF18" i="4"/>
  <c r="AM18" i="4"/>
  <c r="AN17" i="4"/>
  <c r="AF17" i="4"/>
  <c r="AM17" i="4"/>
  <c r="AL17" i="4"/>
  <c r="AJ17" i="4"/>
  <c r="AO17" i="4"/>
  <c r="AH17" i="4"/>
  <c r="AN16" i="4"/>
  <c r="AL16" i="4"/>
  <c r="AJ16" i="4"/>
  <c r="AO16" i="4"/>
  <c r="AH16" i="4"/>
  <c r="AF16" i="4"/>
  <c r="AM16" i="4"/>
  <c r="AJ15" i="4"/>
  <c r="AO15" i="4"/>
  <c r="AN15" i="4"/>
  <c r="AF15" i="4"/>
  <c r="AM15" i="4"/>
  <c r="AL15" i="4"/>
  <c r="AH15" i="4"/>
  <c r="AJ14" i="4"/>
  <c r="AN14" i="4"/>
  <c r="AL14" i="4"/>
  <c r="AO14" i="4"/>
  <c r="AH14" i="4"/>
  <c r="AF14" i="4"/>
  <c r="AM14" i="4"/>
  <c r="AJ13" i="4"/>
  <c r="AN13" i="4"/>
  <c r="AO13" i="4"/>
  <c r="AL13" i="4"/>
  <c r="AH13" i="4"/>
  <c r="AF13" i="4"/>
  <c r="AM13" i="4"/>
  <c r="AJ12" i="4"/>
  <c r="AN12" i="4"/>
  <c r="AF12" i="4"/>
  <c r="AM12" i="4"/>
  <c r="AL12" i="4"/>
  <c r="AO12" i="4"/>
  <c r="AH12" i="4"/>
  <c r="AJ11" i="4"/>
  <c r="AN11" i="4"/>
  <c r="AL11" i="4"/>
  <c r="AO11" i="4"/>
  <c r="AH11" i="4"/>
  <c r="AF11" i="4"/>
  <c r="AM11" i="4"/>
  <c r="AA42" i="4"/>
  <c r="Z42" i="4"/>
  <c r="X42" i="4"/>
  <c r="V42" i="4"/>
  <c r="T42" i="4"/>
  <c r="R42" i="4"/>
  <c r="Y42" i="4"/>
  <c r="Z41" i="4"/>
  <c r="Y41" i="4"/>
  <c r="X41" i="4"/>
  <c r="V41" i="4"/>
  <c r="AA41" i="4"/>
  <c r="T41" i="4"/>
  <c r="R41" i="4"/>
  <c r="Z40" i="4"/>
  <c r="X40" i="4"/>
  <c r="V40" i="4"/>
  <c r="AA40" i="4"/>
  <c r="T40" i="4"/>
  <c r="R40" i="4"/>
  <c r="Y40" i="4"/>
  <c r="AA39" i="4"/>
  <c r="Z39" i="4"/>
  <c r="Y39" i="4"/>
  <c r="X39" i="4"/>
  <c r="V39" i="4"/>
  <c r="T39" i="4"/>
  <c r="R39" i="4"/>
  <c r="Z38" i="4"/>
  <c r="X38" i="4"/>
  <c r="V38" i="4"/>
  <c r="AA38" i="4"/>
  <c r="T38" i="4"/>
  <c r="R38" i="4"/>
  <c r="Y38" i="4"/>
  <c r="AA37" i="4"/>
  <c r="Z37" i="4"/>
  <c r="X37" i="4"/>
  <c r="V37" i="4"/>
  <c r="T37" i="4"/>
  <c r="R37" i="4"/>
  <c r="Y37" i="4"/>
  <c r="Z36" i="4"/>
  <c r="Y36" i="4"/>
  <c r="X36" i="4"/>
  <c r="V36" i="4"/>
  <c r="AA36" i="4"/>
  <c r="T36" i="4"/>
  <c r="R36" i="4"/>
  <c r="Z35" i="4"/>
  <c r="X35" i="4"/>
  <c r="V35" i="4"/>
  <c r="AA35" i="4"/>
  <c r="T35" i="4"/>
  <c r="R35" i="4"/>
  <c r="Y35" i="4"/>
  <c r="AA34" i="4"/>
  <c r="Z34" i="4"/>
  <c r="Y34" i="4"/>
  <c r="X34" i="4"/>
  <c r="V34" i="4"/>
  <c r="T34" i="4"/>
  <c r="R34" i="4"/>
  <c r="Z33" i="4"/>
  <c r="X33" i="4"/>
  <c r="V33" i="4"/>
  <c r="AA33" i="4"/>
  <c r="T33" i="4"/>
  <c r="R33" i="4"/>
  <c r="Y33" i="4"/>
  <c r="AA32" i="4"/>
  <c r="Z32" i="4"/>
  <c r="Y32" i="4"/>
  <c r="X32" i="4"/>
  <c r="V32" i="4"/>
  <c r="T32" i="4"/>
  <c r="R32" i="4"/>
  <c r="Z31" i="4"/>
  <c r="X31" i="4"/>
  <c r="V31" i="4"/>
  <c r="AA31" i="4"/>
  <c r="T31" i="4"/>
  <c r="R31" i="4"/>
  <c r="Y31" i="4"/>
  <c r="AA30" i="4"/>
  <c r="Z30" i="4"/>
  <c r="X30" i="4"/>
  <c r="V30" i="4"/>
  <c r="T30" i="4"/>
  <c r="R30" i="4"/>
  <c r="Y30" i="4"/>
  <c r="Z29" i="4"/>
  <c r="Y29" i="4"/>
  <c r="X29" i="4"/>
  <c r="V29" i="4"/>
  <c r="AA29" i="4"/>
  <c r="T29" i="4"/>
  <c r="R29" i="4"/>
  <c r="Z28" i="4"/>
  <c r="X28" i="4"/>
  <c r="V28" i="4"/>
  <c r="AA28" i="4"/>
  <c r="T28" i="4"/>
  <c r="R28" i="4"/>
  <c r="Y28" i="4"/>
  <c r="AA27" i="4"/>
  <c r="Z27" i="4"/>
  <c r="Y27" i="4"/>
  <c r="X27" i="4"/>
  <c r="V27" i="4"/>
  <c r="T27" i="4"/>
  <c r="R27" i="4"/>
  <c r="Z26" i="4"/>
  <c r="X26" i="4"/>
  <c r="V26" i="4"/>
  <c r="AA26" i="4"/>
  <c r="T26" i="4"/>
  <c r="R26" i="4"/>
  <c r="Y26" i="4"/>
  <c r="AA25" i="4"/>
  <c r="Z25" i="4"/>
  <c r="X25" i="4"/>
  <c r="V25" i="4"/>
  <c r="T25" i="4"/>
  <c r="R25" i="4"/>
  <c r="Y25" i="4"/>
  <c r="Z24" i="4"/>
  <c r="Y24" i="4"/>
  <c r="X24" i="4"/>
  <c r="V24" i="4"/>
  <c r="AA24" i="4"/>
  <c r="T24" i="4"/>
  <c r="R24" i="4"/>
  <c r="Z23" i="4"/>
  <c r="X23" i="4"/>
  <c r="V23" i="4"/>
  <c r="AA23" i="4"/>
  <c r="T23" i="4"/>
  <c r="R23" i="4"/>
  <c r="Y23" i="4"/>
  <c r="AA22" i="4"/>
  <c r="Z22" i="4"/>
  <c r="Y22" i="4"/>
  <c r="X22" i="4"/>
  <c r="V22" i="4"/>
  <c r="T22" i="4"/>
  <c r="R22" i="4"/>
  <c r="Z21" i="4"/>
  <c r="X21" i="4"/>
  <c r="V21" i="4"/>
  <c r="AA21" i="4"/>
  <c r="T21" i="4"/>
  <c r="R21" i="4"/>
  <c r="Y21" i="4"/>
  <c r="AA20" i="4"/>
  <c r="Z20" i="4"/>
  <c r="Y20" i="4"/>
  <c r="X20" i="4"/>
  <c r="V20" i="4"/>
  <c r="T20" i="4"/>
  <c r="R20" i="4"/>
  <c r="Z19" i="4"/>
  <c r="X19" i="4"/>
  <c r="V19" i="4"/>
  <c r="AA19" i="4"/>
  <c r="T19" i="4"/>
  <c r="R19" i="4"/>
  <c r="Y19" i="4"/>
  <c r="V18" i="4"/>
  <c r="AA18" i="4"/>
  <c r="Z18" i="4"/>
  <c r="X18" i="4"/>
  <c r="T18" i="4"/>
  <c r="R18" i="4"/>
  <c r="Y18" i="4"/>
  <c r="Z17" i="4"/>
  <c r="R17" i="4"/>
  <c r="Y17" i="4"/>
  <c r="X17" i="4"/>
  <c r="V17" i="4"/>
  <c r="AA17" i="4"/>
  <c r="T17" i="4"/>
  <c r="Z16" i="4"/>
  <c r="X16" i="4"/>
  <c r="V16" i="4"/>
  <c r="AA16" i="4"/>
  <c r="T16" i="4"/>
  <c r="R16" i="4"/>
  <c r="Y16" i="4"/>
  <c r="V15" i="4"/>
  <c r="AA15" i="4"/>
  <c r="Z15" i="4"/>
  <c r="R15" i="4"/>
  <c r="Y15" i="4"/>
  <c r="X15" i="4"/>
  <c r="T15" i="4"/>
  <c r="V14" i="4"/>
  <c r="Z14" i="4"/>
  <c r="X14" i="4"/>
  <c r="AA14" i="4"/>
  <c r="T14" i="4"/>
  <c r="R14" i="4"/>
  <c r="Y14" i="4"/>
  <c r="V13" i="4"/>
  <c r="Z13" i="4"/>
  <c r="AA13" i="4"/>
  <c r="X13" i="4"/>
  <c r="T13" i="4"/>
  <c r="R13" i="4"/>
  <c r="Y13" i="4"/>
  <c r="V12" i="4"/>
  <c r="Z12" i="4"/>
  <c r="R12" i="4"/>
  <c r="Y12" i="4"/>
  <c r="X12" i="4"/>
  <c r="AA12" i="4"/>
  <c r="T12" i="4"/>
  <c r="V11" i="4"/>
  <c r="Z11" i="4"/>
  <c r="X11" i="4"/>
  <c r="AA11" i="4"/>
  <c r="T11" i="4"/>
  <c r="R11" i="4"/>
  <c r="Y11" i="4"/>
  <c r="F34" i="4"/>
  <c r="D34" i="4"/>
  <c r="F33" i="4"/>
  <c r="D33" i="4"/>
  <c r="F32" i="4"/>
  <c r="D32" i="4"/>
  <c r="F31" i="4"/>
  <c r="D31" i="4"/>
  <c r="J34" i="4"/>
  <c r="J33" i="4"/>
  <c r="J32" i="4"/>
  <c r="J31" i="4"/>
  <c r="BO4" i="4"/>
  <c r="BN4" i="4"/>
  <c r="BL4" i="4"/>
  <c r="BP4" i="4"/>
  <c r="BQ4" i="4"/>
  <c r="BJ4" i="4"/>
  <c r="BH4" i="4"/>
  <c r="BA10" i="4"/>
  <c r="AZ10" i="4"/>
  <c r="AX10" i="4"/>
  <c r="BB10" i="4"/>
  <c r="BC10" i="4"/>
  <c r="AV10" i="4"/>
  <c r="AT10" i="4"/>
  <c r="AM10" i="4"/>
  <c r="AL10" i="4"/>
  <c r="AJ10" i="4"/>
  <c r="AH10" i="4"/>
  <c r="AF10" i="4"/>
  <c r="AA10" i="4"/>
  <c r="Z10" i="4"/>
  <c r="Y10" i="4"/>
  <c r="X10" i="4"/>
  <c r="V10" i="4"/>
  <c r="T10" i="4"/>
  <c r="R10" i="4"/>
  <c r="K10" i="4"/>
  <c r="L10" i="4"/>
  <c r="M10" i="4"/>
  <c r="J10" i="4"/>
  <c r="H10" i="4"/>
  <c r="F10" i="4"/>
  <c r="D10" i="4"/>
  <c r="AZ9" i="4"/>
  <c r="AX9" i="4"/>
  <c r="AV9" i="4"/>
  <c r="AT9" i="4"/>
  <c r="BA9" i="4"/>
  <c r="BB9" i="4"/>
  <c r="BC9" i="4"/>
  <c r="AL9" i="4"/>
  <c r="AJ9" i="4"/>
  <c r="AH9" i="4"/>
  <c r="AF9" i="4"/>
  <c r="AM9" i="4"/>
  <c r="AN9" i="4"/>
  <c r="AO9" i="4"/>
  <c r="X9" i="4"/>
  <c r="V9" i="4"/>
  <c r="T9" i="4"/>
  <c r="R9" i="4"/>
  <c r="Y9" i="4"/>
  <c r="K9" i="4"/>
  <c r="J9" i="4"/>
  <c r="H9" i="4"/>
  <c r="F9" i="4"/>
  <c r="D9" i="4"/>
  <c r="BA8" i="4"/>
  <c r="BB8" i="4"/>
  <c r="AZ8" i="4"/>
  <c r="AX8" i="4"/>
  <c r="BC8" i="4"/>
  <c r="AV8" i="4"/>
  <c r="AT8" i="4"/>
  <c r="AL8" i="4"/>
  <c r="AJ8" i="4"/>
  <c r="AH8" i="4"/>
  <c r="AF8" i="4"/>
  <c r="AM8" i="4"/>
  <c r="AN8" i="4"/>
  <c r="AO8" i="4"/>
  <c r="Z8" i="4"/>
  <c r="AA8" i="4"/>
  <c r="Y8" i="4"/>
  <c r="X8" i="4"/>
  <c r="V8" i="4"/>
  <c r="T8" i="4"/>
  <c r="R8" i="4"/>
  <c r="J8" i="4"/>
  <c r="H8" i="4"/>
  <c r="F8" i="4"/>
  <c r="D8" i="4"/>
  <c r="K8" i="4"/>
  <c r="BA7" i="4"/>
  <c r="AZ7" i="4"/>
  <c r="AX7" i="4"/>
  <c r="BB7" i="4"/>
  <c r="BC7" i="4"/>
  <c r="AV7" i="4"/>
  <c r="AT7" i="4"/>
  <c r="AR7" i="4"/>
  <c r="AM7" i="4"/>
  <c r="AN7" i="4"/>
  <c r="AL7" i="4"/>
  <c r="AJ7" i="4"/>
  <c r="AH7" i="4"/>
  <c r="AF7" i="4"/>
  <c r="AD7" i="4"/>
  <c r="X7" i="4"/>
  <c r="V7" i="4"/>
  <c r="T7" i="4"/>
  <c r="R7" i="4"/>
  <c r="Y7" i="4"/>
  <c r="Z7" i="4"/>
  <c r="AA7" i="4"/>
  <c r="P7" i="4"/>
  <c r="K7" i="4"/>
  <c r="J7" i="4"/>
  <c r="H7" i="4"/>
  <c r="L7" i="4"/>
  <c r="M7" i="4"/>
  <c r="F7" i="4"/>
  <c r="D7" i="4"/>
  <c r="AL72" i="4"/>
  <c r="AJ72" i="4"/>
  <c r="AK73" i="4"/>
  <c r="AH72" i="4"/>
  <c r="F72" i="4"/>
  <c r="BA68" i="4"/>
  <c r="AZ68" i="4"/>
  <c r="AM68" i="4"/>
  <c r="AL68" i="4"/>
  <c r="Y68" i="4"/>
  <c r="X68" i="4"/>
  <c r="K68" i="4"/>
  <c r="J68" i="4"/>
  <c r="BA67" i="4"/>
  <c r="AZ67" i="4"/>
  <c r="AM67" i="4"/>
  <c r="AL67" i="4"/>
  <c r="Y67" i="4"/>
  <c r="X67" i="4"/>
  <c r="K67" i="4"/>
  <c r="J67" i="4"/>
  <c r="BA66" i="4"/>
  <c r="AZ66" i="4"/>
  <c r="AM66" i="4"/>
  <c r="AL66" i="4"/>
  <c r="Y66" i="4"/>
  <c r="X66" i="4"/>
  <c r="K66" i="4"/>
  <c r="J66" i="4"/>
  <c r="BA65" i="4"/>
  <c r="AZ65" i="4"/>
  <c r="AM65" i="4"/>
  <c r="AL65" i="4"/>
  <c r="Y65" i="4"/>
  <c r="X65" i="4"/>
  <c r="K65" i="4"/>
  <c r="J65" i="4"/>
  <c r="BC58" i="4"/>
  <c r="BB58" i="4"/>
  <c r="BA58" i="4"/>
  <c r="AZ58" i="4"/>
  <c r="AX58" i="4"/>
  <c r="AV58" i="4"/>
  <c r="AT58" i="4"/>
  <c r="AO58" i="4"/>
  <c r="AN58" i="4"/>
  <c r="AL58" i="4"/>
  <c r="AJ58" i="4"/>
  <c r="AH58" i="4"/>
  <c r="AF58" i="4"/>
  <c r="AM58" i="4"/>
  <c r="AA58" i="4"/>
  <c r="Z58" i="4"/>
  <c r="X58" i="4"/>
  <c r="V58" i="4"/>
  <c r="T58" i="4"/>
  <c r="R58" i="4"/>
  <c r="Y58" i="4"/>
  <c r="L58" i="4"/>
  <c r="J58" i="4"/>
  <c r="H58" i="4"/>
  <c r="M58" i="4"/>
  <c r="F58" i="4"/>
  <c r="D58" i="4"/>
  <c r="K58" i="4"/>
  <c r="BB57" i="4"/>
  <c r="AZ57" i="4"/>
  <c r="AX57" i="4"/>
  <c r="BC57" i="4"/>
  <c r="AV57" i="4"/>
  <c r="AT57" i="4"/>
  <c r="BA57" i="4"/>
  <c r="AN57" i="4"/>
  <c r="AM57" i="4"/>
  <c r="AL57" i="4"/>
  <c r="AJ57" i="4"/>
  <c r="AO57" i="4"/>
  <c r="AH57" i="4"/>
  <c r="AF57" i="4"/>
  <c r="Z57" i="4"/>
  <c r="X57" i="4"/>
  <c r="V57" i="4"/>
  <c r="AA57" i="4"/>
  <c r="T57" i="4"/>
  <c r="R57" i="4"/>
  <c r="Y57" i="4"/>
  <c r="M57" i="4"/>
  <c r="L57" i="4"/>
  <c r="K57" i="4"/>
  <c r="J57" i="4"/>
  <c r="H57" i="4"/>
  <c r="F57" i="4"/>
  <c r="D57" i="4"/>
  <c r="BB56" i="4"/>
  <c r="AZ56" i="4"/>
  <c r="AX56" i="4"/>
  <c r="BC56" i="4"/>
  <c r="AV56" i="4"/>
  <c r="AT56" i="4"/>
  <c r="BA56" i="4"/>
  <c r="AO56" i="4"/>
  <c r="AN56" i="4"/>
  <c r="AM56" i="4"/>
  <c r="AL56" i="4"/>
  <c r="AJ56" i="4"/>
  <c r="AH56" i="4"/>
  <c r="AF56" i="4"/>
  <c r="Z56" i="4"/>
  <c r="Y56" i="4"/>
  <c r="X56" i="4"/>
  <c r="V56" i="4"/>
  <c r="AA56" i="4"/>
  <c r="T56" i="4"/>
  <c r="R56" i="4"/>
  <c r="M56" i="4"/>
  <c r="L56" i="4"/>
  <c r="K56" i="4"/>
  <c r="J56" i="4"/>
  <c r="H56" i="4"/>
  <c r="F56" i="4"/>
  <c r="D56" i="4"/>
  <c r="BP55" i="4"/>
  <c r="BQ55" i="4"/>
  <c r="BL55" i="4"/>
  <c r="BC55" i="4"/>
  <c r="BB55" i="4"/>
  <c r="BA55" i="4"/>
  <c r="AZ55" i="4"/>
  <c r="AX55" i="4"/>
  <c r="AV55" i="4"/>
  <c r="AT55" i="4"/>
  <c r="AR55" i="4"/>
  <c r="AN55" i="4"/>
  <c r="AM55" i="4"/>
  <c r="AL55" i="4"/>
  <c r="AJ55" i="4"/>
  <c r="AO55" i="4"/>
  <c r="AH55" i="4"/>
  <c r="AF55" i="4"/>
  <c r="AD55" i="4"/>
  <c r="AA55" i="4"/>
  <c r="Z55" i="4"/>
  <c r="X55" i="4"/>
  <c r="V55" i="4"/>
  <c r="T55" i="4"/>
  <c r="R55" i="4"/>
  <c r="Y55" i="4"/>
  <c r="P55" i="4"/>
  <c r="M55" i="4"/>
  <c r="L55" i="4"/>
  <c r="K55" i="4"/>
  <c r="J55" i="4"/>
  <c r="H55" i="4"/>
  <c r="F55" i="4"/>
  <c r="D55" i="4"/>
  <c r="BQ54" i="4"/>
  <c r="BP54" i="4"/>
  <c r="BL54" i="4"/>
  <c r="BH54" i="4"/>
  <c r="BC54" i="4"/>
  <c r="BB54" i="4"/>
  <c r="BA54" i="4"/>
  <c r="AZ54" i="4"/>
  <c r="AX54" i="4"/>
  <c r="AV54" i="4"/>
  <c r="AT54" i="4"/>
  <c r="AN54" i="4"/>
  <c r="AM54" i="4"/>
  <c r="AL54" i="4"/>
  <c r="AJ54" i="4"/>
  <c r="AO54" i="4"/>
  <c r="AH54" i="4"/>
  <c r="AF54" i="4"/>
  <c r="AA54" i="4"/>
  <c r="Z54" i="4"/>
  <c r="Y54" i="4"/>
  <c r="X54" i="4"/>
  <c r="V54" i="4"/>
  <c r="T54" i="4"/>
  <c r="R54" i="4"/>
  <c r="M54" i="4"/>
  <c r="L54" i="4"/>
  <c r="K54" i="4"/>
  <c r="J54" i="4"/>
  <c r="F54" i="4"/>
  <c r="D54" i="4"/>
  <c r="BP53" i="4"/>
  <c r="BQ53" i="4"/>
  <c r="BL53" i="4"/>
  <c r="BH53" i="4"/>
  <c r="BB53" i="4"/>
  <c r="BA53" i="4"/>
  <c r="AZ53" i="4"/>
  <c r="AX53" i="4"/>
  <c r="BC53" i="4"/>
  <c r="AV53" i="4"/>
  <c r="AT53" i="4"/>
  <c r="AO53" i="4"/>
  <c r="AN53" i="4"/>
  <c r="AM53" i="4"/>
  <c r="AL53" i="4"/>
  <c r="AJ53" i="4"/>
  <c r="AH53" i="4"/>
  <c r="AF53" i="4"/>
  <c r="AA53" i="4"/>
  <c r="Z53" i="4"/>
  <c r="Y53" i="4"/>
  <c r="X53" i="4"/>
  <c r="V53" i="4"/>
  <c r="T53" i="4"/>
  <c r="R53" i="4"/>
  <c r="M53" i="4"/>
  <c r="L53" i="4"/>
  <c r="J53" i="4"/>
  <c r="H53" i="4"/>
  <c r="F53" i="4"/>
  <c r="D53" i="4"/>
  <c r="K53" i="4"/>
  <c r="BP52" i="4"/>
  <c r="BQ52" i="4"/>
  <c r="BL52" i="4"/>
  <c r="BH52" i="4"/>
  <c r="BB52" i="4"/>
  <c r="AZ52" i="4"/>
  <c r="AX52" i="4"/>
  <c r="BC52" i="4"/>
  <c r="AV52" i="4"/>
  <c r="AT52" i="4"/>
  <c r="BA52" i="4"/>
  <c r="AO52" i="4"/>
  <c r="AN52" i="4"/>
  <c r="AL52" i="4"/>
  <c r="AJ52" i="4"/>
  <c r="AH52" i="4"/>
  <c r="AF52" i="4"/>
  <c r="AM52" i="4"/>
  <c r="Z52" i="4"/>
  <c r="X52" i="4"/>
  <c r="V52" i="4"/>
  <c r="AA52" i="4"/>
  <c r="T52" i="4"/>
  <c r="R52" i="4"/>
  <c r="Y52" i="4"/>
  <c r="M52" i="4"/>
  <c r="L52" i="4"/>
  <c r="K52" i="4"/>
  <c r="J52" i="4"/>
  <c r="H52" i="4"/>
  <c r="F52" i="4"/>
  <c r="D52" i="4"/>
  <c r="BB51" i="4"/>
  <c r="BA51" i="4"/>
  <c r="AZ51" i="4"/>
  <c r="AX51" i="4"/>
  <c r="BC51" i="4"/>
  <c r="AV51" i="4"/>
  <c r="AT51" i="4"/>
  <c r="AR51" i="4"/>
  <c r="AN51" i="4"/>
  <c r="AL51" i="4"/>
  <c r="AJ51" i="4"/>
  <c r="AO51" i="4"/>
  <c r="AH51" i="4"/>
  <c r="AF51" i="4"/>
  <c r="AM51" i="4"/>
  <c r="AD51" i="4"/>
  <c r="AA51" i="4"/>
  <c r="Z51" i="4"/>
  <c r="Y51" i="4"/>
  <c r="X51" i="4"/>
  <c r="V51" i="4"/>
  <c r="T51" i="4"/>
  <c r="R51" i="4"/>
  <c r="P51" i="4"/>
  <c r="L51" i="4"/>
  <c r="K51" i="4"/>
  <c r="J51" i="4"/>
  <c r="H51" i="4"/>
  <c r="M51" i="4"/>
  <c r="F51" i="4"/>
  <c r="D51" i="4"/>
  <c r="BP50" i="4"/>
  <c r="BQ50" i="4"/>
  <c r="BL50" i="4"/>
  <c r="BH50" i="4"/>
  <c r="BB50" i="4"/>
  <c r="BA50" i="4"/>
  <c r="AZ50" i="4"/>
  <c r="AX50" i="4"/>
  <c r="BC50" i="4"/>
  <c r="AV50" i="4"/>
  <c r="AT50" i="4"/>
  <c r="AO50" i="4"/>
  <c r="AN50" i="4"/>
  <c r="AM50" i="4"/>
  <c r="AL50" i="4"/>
  <c r="AJ50" i="4"/>
  <c r="AH50" i="4"/>
  <c r="AF50" i="4"/>
  <c r="AA50" i="4"/>
  <c r="Z50" i="4"/>
  <c r="Y50" i="4"/>
  <c r="X50" i="4"/>
  <c r="V50" i="4"/>
  <c r="T50" i="4"/>
  <c r="R50" i="4"/>
  <c r="M50" i="4"/>
  <c r="L50" i="4"/>
  <c r="J50" i="4"/>
  <c r="H50" i="4"/>
  <c r="F50" i="4"/>
  <c r="D50" i="4"/>
  <c r="K50" i="4"/>
  <c r="BP49" i="4"/>
  <c r="BQ49" i="4"/>
  <c r="BL49" i="4"/>
  <c r="BH49" i="4"/>
  <c r="BB49" i="4"/>
  <c r="AZ49" i="4"/>
  <c r="AX49" i="4"/>
  <c r="BC49" i="4"/>
  <c r="AV49" i="4"/>
  <c r="AT49" i="4"/>
  <c r="BA49" i="4"/>
  <c r="AO49" i="4"/>
  <c r="AN49" i="4"/>
  <c r="AL49" i="4"/>
  <c r="AJ49" i="4"/>
  <c r="AH49" i="4"/>
  <c r="AF49" i="4"/>
  <c r="AM49" i="4"/>
  <c r="Z49" i="4"/>
  <c r="X49" i="4"/>
  <c r="V49" i="4"/>
  <c r="AA49" i="4"/>
  <c r="T49" i="4"/>
  <c r="R49" i="4"/>
  <c r="Y49" i="4"/>
  <c r="L49" i="4"/>
  <c r="K49" i="4"/>
  <c r="J49" i="4"/>
  <c r="H49" i="4"/>
  <c r="M49" i="4"/>
  <c r="F49" i="4"/>
  <c r="D49" i="4"/>
  <c r="BP48" i="4"/>
  <c r="BQ48" i="4"/>
  <c r="BL48" i="4"/>
  <c r="BH48" i="4"/>
  <c r="BC48" i="4"/>
  <c r="BB48" i="4"/>
  <c r="BA48" i="4"/>
  <c r="AZ48" i="4"/>
  <c r="AX48" i="4"/>
  <c r="AV48" i="4"/>
  <c r="AT48" i="4"/>
  <c r="AN48" i="4"/>
  <c r="AL48" i="4"/>
  <c r="AJ48" i="4"/>
  <c r="AO48" i="4"/>
  <c r="AH48" i="4"/>
  <c r="AF48" i="4"/>
  <c r="AM48" i="4"/>
  <c r="AA48" i="4"/>
  <c r="Z48" i="4"/>
  <c r="X48" i="4"/>
  <c r="V48" i="4"/>
  <c r="T48" i="4"/>
  <c r="R48" i="4"/>
  <c r="Y48" i="4"/>
  <c r="L48" i="4"/>
  <c r="K48" i="4"/>
  <c r="J48" i="4"/>
  <c r="H48" i="4"/>
  <c r="M48" i="4"/>
  <c r="F48" i="4"/>
  <c r="D48" i="4"/>
  <c r="BP47" i="4"/>
  <c r="BQ47" i="4"/>
  <c r="BL47" i="4"/>
  <c r="BH47" i="4"/>
  <c r="BB47" i="4"/>
  <c r="BA47" i="4"/>
  <c r="AZ47" i="4"/>
  <c r="AX47" i="4"/>
  <c r="BC47" i="4"/>
  <c r="AV47" i="4"/>
  <c r="AT47" i="4"/>
  <c r="AR47" i="4"/>
  <c r="AN47" i="4"/>
  <c r="AL47" i="4"/>
  <c r="AJ47" i="4"/>
  <c r="AO47" i="4"/>
  <c r="AH47" i="4"/>
  <c r="AF47" i="4"/>
  <c r="AM47" i="4"/>
  <c r="AD47" i="4"/>
  <c r="AA47" i="4"/>
  <c r="Z47" i="4"/>
  <c r="Y47" i="4"/>
  <c r="X47" i="4"/>
  <c r="V47" i="4"/>
  <c r="T47" i="4"/>
  <c r="R47" i="4"/>
  <c r="P47" i="4"/>
  <c r="L47" i="4"/>
  <c r="K47" i="4"/>
  <c r="J47" i="4"/>
  <c r="H47" i="4"/>
  <c r="M47" i="4"/>
  <c r="F47" i="4"/>
  <c r="D47" i="4"/>
  <c r="BP46" i="4"/>
  <c r="BQ46" i="4"/>
  <c r="BL46" i="4"/>
  <c r="BH46" i="4"/>
  <c r="BB46" i="4"/>
  <c r="BA46" i="4"/>
  <c r="AZ46" i="4"/>
  <c r="AX46" i="4"/>
  <c r="BC46" i="4"/>
  <c r="AV46" i="4"/>
  <c r="AT46" i="4"/>
  <c r="AN46" i="4"/>
  <c r="AL46" i="4"/>
  <c r="AJ46" i="4"/>
  <c r="AO46" i="4"/>
  <c r="AH46" i="4"/>
  <c r="AF46" i="4"/>
  <c r="AM46" i="4"/>
  <c r="Z46" i="4"/>
  <c r="X46" i="4"/>
  <c r="V46" i="4"/>
  <c r="AA46" i="4"/>
  <c r="T46" i="4"/>
  <c r="R46" i="4"/>
  <c r="Y46" i="4"/>
  <c r="L46" i="4"/>
  <c r="J46" i="4"/>
  <c r="H46" i="4"/>
  <c r="M46" i="4"/>
  <c r="F46" i="4"/>
  <c r="D46" i="4"/>
  <c r="K46" i="4"/>
  <c r="BP45" i="4"/>
  <c r="BQ45" i="4"/>
  <c r="BL45" i="4"/>
  <c r="BH45" i="4"/>
  <c r="BB45" i="4"/>
  <c r="AZ45" i="4"/>
  <c r="AX45" i="4"/>
  <c r="BC45" i="4"/>
  <c r="AV45" i="4"/>
  <c r="AT45" i="4"/>
  <c r="BA45" i="4"/>
  <c r="AN45" i="4"/>
  <c r="AL45" i="4"/>
  <c r="AJ45" i="4"/>
  <c r="AO45" i="4"/>
  <c r="AH45" i="4"/>
  <c r="AF45" i="4"/>
  <c r="AM45" i="4"/>
  <c r="Z45" i="4"/>
  <c r="X45" i="4"/>
  <c r="V45" i="4"/>
  <c r="AA45" i="4"/>
  <c r="T45" i="4"/>
  <c r="R45" i="4"/>
  <c r="Y45" i="4"/>
  <c r="L45" i="4"/>
  <c r="K45" i="4"/>
  <c r="J45" i="4"/>
  <c r="H45" i="4"/>
  <c r="M45" i="4"/>
  <c r="F45" i="4"/>
  <c r="D45" i="4"/>
  <c r="BP44" i="4"/>
  <c r="BQ44" i="4"/>
  <c r="BL44" i="4"/>
  <c r="BH44" i="4"/>
  <c r="BC44" i="4"/>
  <c r="BB44" i="4"/>
  <c r="BA44" i="4"/>
  <c r="AZ44" i="4"/>
  <c r="AX44" i="4"/>
  <c r="AV44" i="4"/>
  <c r="AT44" i="4"/>
  <c r="AN44" i="4"/>
  <c r="AL44" i="4"/>
  <c r="AJ44" i="4"/>
  <c r="AO44" i="4"/>
  <c r="AH44" i="4"/>
  <c r="AF44" i="4"/>
  <c r="AM44" i="4"/>
  <c r="Z44" i="4"/>
  <c r="X44" i="4"/>
  <c r="V44" i="4"/>
  <c r="AA44" i="4"/>
  <c r="T44" i="4"/>
  <c r="R44" i="4"/>
  <c r="Y44" i="4"/>
  <c r="L44" i="4"/>
  <c r="K44" i="4"/>
  <c r="J44" i="4"/>
  <c r="H44" i="4"/>
  <c r="M44" i="4"/>
  <c r="F44" i="4"/>
  <c r="D44" i="4"/>
  <c r="BP43" i="4"/>
  <c r="BQ43" i="4"/>
  <c r="BL43" i="4"/>
  <c r="BH43" i="4"/>
  <c r="BB43" i="4"/>
  <c r="AZ43" i="4"/>
  <c r="AX43" i="4"/>
  <c r="BC43" i="4"/>
  <c r="AV43" i="4"/>
  <c r="AT43" i="4"/>
  <c r="BA43" i="4"/>
  <c r="AR43" i="4"/>
  <c r="AN43" i="4"/>
  <c r="AL43" i="4"/>
  <c r="AJ43" i="4"/>
  <c r="AO43" i="4"/>
  <c r="AH43" i="4"/>
  <c r="AF43" i="4"/>
  <c r="AM43" i="4"/>
  <c r="AD43" i="4"/>
  <c r="AA43" i="4"/>
  <c r="Z43" i="4"/>
  <c r="X43" i="4"/>
  <c r="V43" i="4"/>
  <c r="T43" i="4"/>
  <c r="R43" i="4"/>
  <c r="Y43" i="4"/>
  <c r="P43" i="4"/>
  <c r="L43" i="4"/>
  <c r="J43" i="4"/>
  <c r="H43" i="4"/>
  <c r="M43" i="4"/>
  <c r="F43" i="4"/>
  <c r="D43" i="4"/>
  <c r="K43" i="4"/>
  <c r="BP42" i="4"/>
  <c r="BQ42" i="4"/>
  <c r="BN42" i="4"/>
  <c r="BL42" i="4"/>
  <c r="BH42" i="4"/>
  <c r="H42" i="4"/>
  <c r="F42" i="4"/>
  <c r="D42" i="4"/>
  <c r="BQ41" i="4"/>
  <c r="BP41" i="4"/>
  <c r="BN41" i="4"/>
  <c r="BL41" i="4"/>
  <c r="BH41" i="4"/>
  <c r="H41" i="4"/>
  <c r="F41" i="4"/>
  <c r="D41" i="4"/>
  <c r="BP40" i="4"/>
  <c r="BQ40" i="4"/>
  <c r="BN40" i="4"/>
  <c r="BL40" i="4"/>
  <c r="BH40" i="4"/>
  <c r="H40" i="4"/>
  <c r="F40" i="4"/>
  <c r="D40" i="4"/>
  <c r="BQ39" i="4"/>
  <c r="BP39" i="4"/>
  <c r="BN39" i="4"/>
  <c r="BL39" i="4"/>
  <c r="BH39" i="4"/>
  <c r="AR39" i="4"/>
  <c r="AD39" i="4"/>
  <c r="P39" i="4"/>
  <c r="H39" i="4"/>
  <c r="F39" i="4"/>
  <c r="D39" i="4"/>
  <c r="BP38" i="4"/>
  <c r="BQ38" i="4"/>
  <c r="BN38" i="4"/>
  <c r="BL38" i="4"/>
  <c r="BH38" i="4"/>
  <c r="H38" i="4"/>
  <c r="F38" i="4"/>
  <c r="D38" i="4"/>
  <c r="BP37" i="4"/>
  <c r="BQ37" i="4"/>
  <c r="BN37" i="4"/>
  <c r="BL37" i="4"/>
  <c r="BH37" i="4"/>
  <c r="J37" i="4"/>
  <c r="J41" i="4"/>
  <c r="H37" i="4"/>
  <c r="F37" i="4"/>
  <c r="D37" i="4"/>
  <c r="BQ36" i="4"/>
  <c r="BP36" i="4"/>
  <c r="BN36" i="4"/>
  <c r="BL36" i="4"/>
  <c r="BH36" i="4"/>
  <c r="H36" i="4"/>
  <c r="F36" i="4"/>
  <c r="D36" i="4"/>
  <c r="BP35" i="4"/>
  <c r="BQ35" i="4"/>
  <c r="BN35" i="4"/>
  <c r="BL35" i="4"/>
  <c r="BH35" i="4"/>
  <c r="AR35" i="4"/>
  <c r="AD35" i="4"/>
  <c r="P35" i="4"/>
  <c r="H35" i="4"/>
  <c r="F35" i="4"/>
  <c r="D35" i="4"/>
  <c r="BP34" i="4"/>
  <c r="BQ34" i="4"/>
  <c r="BN34" i="4"/>
  <c r="BL34" i="4"/>
  <c r="BH34" i="4"/>
  <c r="H34" i="4"/>
  <c r="BP33" i="4"/>
  <c r="BQ33" i="4"/>
  <c r="BN33" i="4"/>
  <c r="BL33" i="4"/>
  <c r="BH33" i="4"/>
  <c r="H33" i="4"/>
  <c r="BQ32" i="4"/>
  <c r="BP32" i="4"/>
  <c r="BN32" i="4"/>
  <c r="BL32" i="4"/>
  <c r="BH32" i="4"/>
  <c r="H32" i="4"/>
  <c r="BQ31" i="4"/>
  <c r="BP31" i="4"/>
  <c r="BN31" i="4"/>
  <c r="BL31" i="4"/>
  <c r="BH31" i="4"/>
  <c r="AR31" i="4"/>
  <c r="AD31" i="4"/>
  <c r="P31" i="4"/>
  <c r="H31" i="4"/>
  <c r="BQ30" i="4"/>
  <c r="BP30" i="4"/>
  <c r="BN30" i="4"/>
  <c r="BL30" i="4"/>
  <c r="BH30" i="4"/>
  <c r="H30" i="4"/>
  <c r="F30" i="4"/>
  <c r="D30" i="4"/>
  <c r="BP29" i="4"/>
  <c r="BQ29" i="4"/>
  <c r="BN29" i="4"/>
  <c r="BL29" i="4"/>
  <c r="BH29" i="4"/>
  <c r="H29" i="4"/>
  <c r="F29" i="4"/>
  <c r="D29" i="4"/>
  <c r="BQ28" i="4"/>
  <c r="BP28" i="4"/>
  <c r="BN28" i="4"/>
  <c r="BL28" i="4"/>
  <c r="BJ28" i="4"/>
  <c r="BH28" i="4"/>
  <c r="H28" i="4"/>
  <c r="F28" i="4"/>
  <c r="D28" i="4"/>
  <c r="BP27" i="4"/>
  <c r="BQ27" i="4"/>
  <c r="BN27" i="4"/>
  <c r="BL27" i="4"/>
  <c r="BJ27" i="4"/>
  <c r="BH27" i="4"/>
  <c r="AR27" i="4"/>
  <c r="AD27" i="4"/>
  <c r="P27" i="4"/>
  <c r="H27" i="4"/>
  <c r="F27" i="4"/>
  <c r="D27" i="4"/>
  <c r="BP26" i="4"/>
  <c r="BQ26" i="4"/>
  <c r="BN26" i="4"/>
  <c r="BL26" i="4"/>
  <c r="BH26" i="4"/>
  <c r="H26" i="4"/>
  <c r="F26" i="4"/>
  <c r="D26" i="4"/>
  <c r="BQ25" i="4"/>
  <c r="BP25" i="4"/>
  <c r="BN25" i="4"/>
  <c r="BL25" i="4"/>
  <c r="BJ25" i="4"/>
  <c r="BH25" i="4"/>
  <c r="H25" i="4"/>
  <c r="F25" i="4"/>
  <c r="D25" i="4"/>
  <c r="BQ24" i="4"/>
  <c r="BP24" i="4"/>
  <c r="BN24" i="4"/>
  <c r="BL24" i="4"/>
  <c r="BJ24" i="4"/>
  <c r="BH24" i="4"/>
  <c r="H24" i="4"/>
  <c r="F24" i="4"/>
  <c r="D24" i="4"/>
  <c r="BO23" i="4"/>
  <c r="BP23" i="4"/>
  <c r="BQ23" i="4"/>
  <c r="BN23" i="4"/>
  <c r="BL23" i="4"/>
  <c r="BJ23" i="4"/>
  <c r="BH23" i="4"/>
  <c r="AR23" i="4"/>
  <c r="AD23" i="4"/>
  <c r="P23" i="4"/>
  <c r="H23" i="4"/>
  <c r="F23" i="4"/>
  <c r="D23" i="4"/>
  <c r="BQ22" i="4"/>
  <c r="BP22" i="4"/>
  <c r="BO22" i="4"/>
  <c r="BN22" i="4"/>
  <c r="BL22" i="4"/>
  <c r="BJ22" i="4"/>
  <c r="BH22" i="4"/>
  <c r="BF22" i="4"/>
  <c r="H22" i="4"/>
  <c r="F22" i="4"/>
  <c r="D22" i="4"/>
  <c r="BQ21" i="4"/>
  <c r="BP21" i="4"/>
  <c r="BO21" i="4"/>
  <c r="BN21" i="4"/>
  <c r="BL21" i="4"/>
  <c r="BJ21" i="4"/>
  <c r="BH21" i="4"/>
  <c r="BF21" i="4"/>
  <c r="H21" i="4"/>
  <c r="F21" i="4"/>
  <c r="D21" i="4"/>
  <c r="BO20" i="4"/>
  <c r="BP20" i="4"/>
  <c r="BQ20" i="4"/>
  <c r="BN20" i="4"/>
  <c r="BL20" i="4"/>
  <c r="BJ20" i="4"/>
  <c r="BH20" i="4"/>
  <c r="H20" i="4"/>
  <c r="F20" i="4"/>
  <c r="D20" i="4"/>
  <c r="BO19" i="4"/>
  <c r="BP19" i="4"/>
  <c r="BQ19" i="4"/>
  <c r="BN19" i="4"/>
  <c r="BL19" i="4"/>
  <c r="BJ19" i="4"/>
  <c r="BH19" i="4"/>
  <c r="AR19" i="4"/>
  <c r="AD19" i="4"/>
  <c r="P19" i="4"/>
  <c r="H19" i="4"/>
  <c r="F19" i="4"/>
  <c r="D19" i="4"/>
  <c r="BO18" i="4"/>
  <c r="BP18" i="4"/>
  <c r="BQ18" i="4"/>
  <c r="BN18" i="4"/>
  <c r="BL18" i="4"/>
  <c r="BJ18" i="4"/>
  <c r="BH18" i="4"/>
  <c r="H18" i="4"/>
  <c r="F18" i="4"/>
  <c r="D18" i="4"/>
  <c r="BQ17" i="4"/>
  <c r="BN17" i="4"/>
  <c r="H17" i="4"/>
  <c r="F17" i="4"/>
  <c r="D17" i="4"/>
  <c r="BO16" i="4"/>
  <c r="BP16" i="4"/>
  <c r="BQ16" i="4"/>
  <c r="BN16" i="4"/>
  <c r="BL16" i="4"/>
  <c r="BJ16" i="4"/>
  <c r="BH16" i="4"/>
  <c r="BF16" i="4"/>
  <c r="H16" i="4"/>
  <c r="F16" i="4"/>
  <c r="D16" i="4"/>
  <c r="BO15" i="4"/>
  <c r="BP15" i="4"/>
  <c r="BQ15" i="4"/>
  <c r="BN15" i="4"/>
  <c r="BL15" i="4"/>
  <c r="BJ15" i="4"/>
  <c r="BH15" i="4"/>
  <c r="BF15" i="4"/>
  <c r="AR15" i="4"/>
  <c r="AD15" i="4"/>
  <c r="P15" i="4"/>
  <c r="H15" i="4"/>
  <c r="F15" i="4"/>
  <c r="D15" i="4"/>
  <c r="BO14" i="4"/>
  <c r="BP14" i="4"/>
  <c r="BQ14" i="4"/>
  <c r="BN14" i="4"/>
  <c r="BL14" i="4"/>
  <c r="BJ14" i="4"/>
  <c r="BH14" i="4"/>
  <c r="BF14" i="4"/>
  <c r="H14" i="4"/>
  <c r="F14" i="4"/>
  <c r="D14" i="4"/>
  <c r="BO13" i="4"/>
  <c r="BP13" i="4"/>
  <c r="BQ13" i="4"/>
  <c r="BN13" i="4"/>
  <c r="BL13" i="4"/>
  <c r="BJ13" i="4"/>
  <c r="BH13" i="4"/>
  <c r="BF13" i="4"/>
  <c r="J13" i="4"/>
  <c r="J17" i="4"/>
  <c r="J21" i="4"/>
  <c r="J25" i="4"/>
  <c r="J29" i="4"/>
  <c r="H13" i="4"/>
  <c r="F13" i="4"/>
  <c r="D13" i="4"/>
  <c r="K13" i="4"/>
  <c r="BL12" i="4"/>
  <c r="BJ12" i="4"/>
  <c r="BH12" i="4"/>
  <c r="BF12" i="4"/>
  <c r="H12" i="4"/>
  <c r="F12" i="4"/>
  <c r="D12" i="4"/>
  <c r="BL11" i="4"/>
  <c r="BJ11" i="4"/>
  <c r="BH11" i="4"/>
  <c r="BF11" i="4"/>
  <c r="AR11" i="4"/>
  <c r="AD11" i="4"/>
  <c r="P11" i="4"/>
  <c r="J11" i="4"/>
  <c r="J15" i="4"/>
  <c r="J19" i="4"/>
  <c r="J23" i="4"/>
  <c r="J27" i="4"/>
  <c r="J35" i="4"/>
  <c r="J39" i="4"/>
  <c r="H11" i="4"/>
  <c r="F11" i="4"/>
  <c r="D11" i="4"/>
  <c r="BL10" i="4"/>
  <c r="BJ10" i="4"/>
  <c r="BH10" i="4"/>
  <c r="BF10" i="4"/>
  <c r="J14" i="4"/>
  <c r="J18" i="4"/>
  <c r="J22" i="4"/>
  <c r="J26" i="4"/>
  <c r="J30" i="4"/>
  <c r="J38" i="4"/>
  <c r="J42" i="4"/>
  <c r="BL9" i="4"/>
  <c r="BJ9" i="4"/>
  <c r="BH9" i="4"/>
  <c r="BF9" i="4"/>
  <c r="BL8" i="4"/>
  <c r="BJ8" i="4"/>
  <c r="BH8" i="4"/>
  <c r="BF8" i="4"/>
  <c r="J12" i="4"/>
  <c r="J16" i="4"/>
  <c r="J20" i="4"/>
  <c r="J24" i="4"/>
  <c r="J28" i="4"/>
  <c r="J36" i="4"/>
  <c r="J40" i="4"/>
  <c r="BL7" i="4"/>
  <c r="BJ7" i="4"/>
  <c r="BH7" i="4"/>
  <c r="BF7" i="4"/>
  <c r="V65" i="4"/>
  <c r="BL6" i="4"/>
  <c r="BJ6" i="4"/>
  <c r="BH6" i="4"/>
  <c r="BF6" i="4"/>
  <c r="BO5" i="4"/>
  <c r="BO6" i="4"/>
  <c r="BN5" i="4"/>
  <c r="BN6" i="4"/>
  <c r="BN7" i="4"/>
  <c r="BN8" i="4"/>
  <c r="BN9" i="4"/>
  <c r="BN10" i="4"/>
  <c r="BN11" i="4"/>
  <c r="BN12" i="4"/>
  <c r="BL5" i="4"/>
  <c r="BJ5" i="4"/>
  <c r="BH5" i="4"/>
  <c r="BF5" i="4"/>
  <c r="BF4" i="4"/>
  <c r="A138" i="4"/>
  <c r="AF108" i="4"/>
  <c r="AF107" i="4"/>
  <c r="AF105" i="4"/>
  <c r="AF106" i="4"/>
  <c r="D97" i="4"/>
  <c r="D98" i="4"/>
  <c r="D99" i="4"/>
  <c r="D100" i="4"/>
  <c r="R97" i="4"/>
  <c r="R98" i="4"/>
  <c r="R99" i="4"/>
  <c r="Y99" i="4"/>
  <c r="R100" i="4"/>
  <c r="AF97" i="4"/>
  <c r="AF98" i="4"/>
  <c r="AF99" i="4"/>
  <c r="AF100" i="4"/>
  <c r="AT97" i="4"/>
  <c r="AT98" i="4"/>
  <c r="AT99" i="4"/>
  <c r="AT100" i="4"/>
  <c r="BH82" i="4"/>
  <c r="D101" i="4"/>
  <c r="D102" i="4"/>
  <c r="D103" i="4"/>
  <c r="D104" i="4"/>
  <c r="R101" i="4"/>
  <c r="R102" i="4"/>
  <c r="R103" i="4"/>
  <c r="R104" i="4"/>
  <c r="AF101" i="4"/>
  <c r="AF102" i="4"/>
  <c r="AF103" i="4"/>
  <c r="AF104" i="4"/>
  <c r="AT101" i="4"/>
  <c r="AT102" i="4"/>
  <c r="AT103" i="4"/>
  <c r="AT104" i="4"/>
  <c r="BH83" i="4"/>
  <c r="AT105" i="4"/>
  <c r="AT106" i="4"/>
  <c r="B105" i="4"/>
  <c r="AT107" i="4"/>
  <c r="AT108" i="4"/>
  <c r="BH84" i="4"/>
  <c r="D155" i="4"/>
  <c r="D156" i="4"/>
  <c r="D157" i="4"/>
  <c r="D158" i="4"/>
  <c r="R155" i="4"/>
  <c r="R156" i="4"/>
  <c r="R157" i="4"/>
  <c r="R158" i="4"/>
  <c r="AF155" i="4"/>
  <c r="AF156" i="4"/>
  <c r="AF157" i="4"/>
  <c r="AF158" i="4"/>
  <c r="AT155" i="4"/>
  <c r="AT156" i="4"/>
  <c r="AT157" i="4"/>
  <c r="AT158" i="4"/>
  <c r="BH152" i="4"/>
  <c r="D159" i="4"/>
  <c r="D160" i="4"/>
  <c r="D161" i="4"/>
  <c r="D162" i="4"/>
  <c r="R159" i="4"/>
  <c r="R160" i="4"/>
  <c r="R161" i="4"/>
  <c r="R162" i="4"/>
  <c r="AF159" i="4"/>
  <c r="AF160" i="4"/>
  <c r="AF161" i="4"/>
  <c r="AF162" i="4"/>
  <c r="AT159" i="4"/>
  <c r="AT160" i="4"/>
  <c r="AT161" i="4"/>
  <c r="AT162" i="4"/>
  <c r="BH153" i="4"/>
  <c r="B159" i="4"/>
  <c r="D163" i="4"/>
  <c r="D164" i="4"/>
  <c r="D165" i="4"/>
  <c r="D166" i="4"/>
  <c r="R163" i="4"/>
  <c r="R164" i="4"/>
  <c r="R165" i="4"/>
  <c r="R166" i="4"/>
  <c r="AF163" i="4"/>
  <c r="AF164" i="4"/>
  <c r="AF165" i="4"/>
  <c r="AF166" i="4"/>
  <c r="B163" i="4"/>
  <c r="AT163" i="4"/>
  <c r="AT164" i="4"/>
  <c r="AT165" i="4"/>
  <c r="AT166" i="4"/>
  <c r="BH154" i="4"/>
  <c r="D167" i="4"/>
  <c r="D168" i="4"/>
  <c r="D169" i="4"/>
  <c r="D170" i="4"/>
  <c r="R167" i="4"/>
  <c r="R168" i="4"/>
  <c r="R169" i="4"/>
  <c r="R170" i="4"/>
  <c r="AF167" i="4"/>
  <c r="AF168" i="4"/>
  <c r="AF169" i="4"/>
  <c r="AF170" i="4"/>
  <c r="AT167" i="4"/>
  <c r="AT168" i="4"/>
  <c r="AT169" i="4"/>
  <c r="AT170" i="4"/>
  <c r="BH155" i="4"/>
  <c r="B167" i="4"/>
  <c r="D171" i="4"/>
  <c r="D172" i="4"/>
  <c r="D173" i="4"/>
  <c r="D174" i="4"/>
  <c r="R171" i="4"/>
  <c r="R172" i="4"/>
  <c r="R173" i="4"/>
  <c r="R174" i="4"/>
  <c r="AF171" i="4"/>
  <c r="AF172" i="4"/>
  <c r="AF173" i="4"/>
  <c r="AF174" i="4"/>
  <c r="B171" i="4"/>
  <c r="AT171" i="4"/>
  <c r="AT172" i="4"/>
  <c r="AT173" i="4"/>
  <c r="AT174" i="4"/>
  <c r="BH156" i="4"/>
  <c r="D175" i="4"/>
  <c r="D176" i="4"/>
  <c r="D177" i="4"/>
  <c r="D178" i="4"/>
  <c r="R175" i="4"/>
  <c r="R176" i="4"/>
  <c r="R177" i="4"/>
  <c r="R178" i="4"/>
  <c r="AF175" i="4"/>
  <c r="AF176" i="4"/>
  <c r="AF177" i="4"/>
  <c r="AF178" i="4"/>
  <c r="AT175" i="4"/>
  <c r="AT176" i="4"/>
  <c r="AT177" i="4"/>
  <c r="AT178" i="4"/>
  <c r="BH157" i="4"/>
  <c r="B175" i="4"/>
  <c r="D179" i="4"/>
  <c r="D180" i="4"/>
  <c r="D181" i="4"/>
  <c r="D182" i="4"/>
  <c r="R179" i="4"/>
  <c r="R180" i="4"/>
  <c r="R181" i="4"/>
  <c r="R182" i="4"/>
  <c r="AF179" i="4"/>
  <c r="AF180" i="4"/>
  <c r="AF181" i="4"/>
  <c r="AF182" i="4"/>
  <c r="B179" i="4"/>
  <c r="AT179" i="4"/>
  <c r="AT180" i="4"/>
  <c r="AT181" i="4"/>
  <c r="AT182" i="4"/>
  <c r="BH158" i="4"/>
  <c r="D183" i="4"/>
  <c r="D184" i="4"/>
  <c r="D185" i="4"/>
  <c r="D186" i="4"/>
  <c r="R183" i="4"/>
  <c r="R184" i="4"/>
  <c r="R185" i="4"/>
  <c r="R186" i="4"/>
  <c r="AF183" i="4"/>
  <c r="AF184" i="4"/>
  <c r="AF185" i="4"/>
  <c r="AF186" i="4"/>
  <c r="AT183" i="4"/>
  <c r="AT184" i="4"/>
  <c r="AT185" i="4"/>
  <c r="AT186" i="4"/>
  <c r="BH159" i="4"/>
  <c r="B183" i="4"/>
  <c r="D187" i="4"/>
  <c r="D188" i="4"/>
  <c r="D189" i="4"/>
  <c r="D190" i="4"/>
  <c r="R187" i="4"/>
  <c r="R188" i="4"/>
  <c r="R189" i="4"/>
  <c r="R190" i="4"/>
  <c r="AF187" i="4"/>
  <c r="AF188" i="4"/>
  <c r="AF189" i="4"/>
  <c r="AF190" i="4"/>
  <c r="B187" i="4"/>
  <c r="AT187" i="4"/>
  <c r="AT188" i="4"/>
  <c r="AT189" i="4"/>
  <c r="AT190" i="4"/>
  <c r="BH160" i="4"/>
  <c r="D195" i="4"/>
  <c r="D196" i="4"/>
  <c r="D197" i="4"/>
  <c r="D198" i="4"/>
  <c r="R195" i="4"/>
  <c r="R196" i="4"/>
  <c r="R197" i="4"/>
  <c r="R198" i="4"/>
  <c r="AF195" i="4"/>
  <c r="AF196" i="4"/>
  <c r="AF197" i="4"/>
  <c r="AF198" i="4"/>
  <c r="AT195" i="4"/>
  <c r="AT196" i="4"/>
  <c r="AT197" i="4"/>
  <c r="AT198" i="4"/>
  <c r="BH162" i="4"/>
  <c r="B195" i="4"/>
  <c r="D199" i="4"/>
  <c r="D200" i="4"/>
  <c r="D201" i="4"/>
  <c r="D202" i="4"/>
  <c r="R199" i="4"/>
  <c r="R200" i="4"/>
  <c r="R201" i="4"/>
  <c r="R202" i="4"/>
  <c r="AF199" i="4"/>
  <c r="AF200" i="4"/>
  <c r="AF201" i="4"/>
  <c r="AF202" i="4"/>
  <c r="B199" i="4"/>
  <c r="AT199" i="4"/>
  <c r="AT200" i="4"/>
  <c r="AT201" i="4"/>
  <c r="AT202" i="4"/>
  <c r="BH163" i="4"/>
  <c r="D203" i="4"/>
  <c r="D204" i="4"/>
  <c r="D205" i="4"/>
  <c r="D206" i="4"/>
  <c r="R203" i="4"/>
  <c r="R204" i="4"/>
  <c r="R205" i="4"/>
  <c r="R206" i="4"/>
  <c r="AF203" i="4"/>
  <c r="AF204" i="4"/>
  <c r="AF205" i="4"/>
  <c r="AF206" i="4"/>
  <c r="AT203" i="4"/>
  <c r="AT204" i="4"/>
  <c r="AT205" i="4"/>
  <c r="AT206" i="4"/>
  <c r="BH164" i="4"/>
  <c r="B203" i="4"/>
  <c r="A212" i="4"/>
  <c r="AX90" i="4"/>
  <c r="D84" i="4"/>
  <c r="D119" i="4"/>
  <c r="D120" i="4"/>
  <c r="AZ81" i="4"/>
  <c r="AZ85" i="4"/>
  <c r="AZ89" i="4"/>
  <c r="AZ93" i="4"/>
  <c r="AZ97" i="4"/>
  <c r="AZ101" i="4"/>
  <c r="AZ105" i="4"/>
  <c r="AT82" i="4"/>
  <c r="AZ83" i="4"/>
  <c r="AZ87" i="4"/>
  <c r="AZ91" i="4"/>
  <c r="AZ95" i="4"/>
  <c r="AZ99" i="4"/>
  <c r="AZ103" i="4"/>
  <c r="AZ107" i="4"/>
  <c r="AT95" i="4"/>
  <c r="AT91" i="4"/>
  <c r="AT87" i="4"/>
  <c r="AT83" i="4"/>
  <c r="BA83" i="4"/>
  <c r="BA87" i="4"/>
  <c r="BA91" i="4"/>
  <c r="AZ120" i="4"/>
  <c r="AL81" i="4"/>
  <c r="AF82" i="4"/>
  <c r="AL84" i="4"/>
  <c r="AL88" i="4"/>
  <c r="AL92" i="4"/>
  <c r="AL96" i="4"/>
  <c r="AL100" i="4"/>
  <c r="AL104" i="4"/>
  <c r="AL108" i="4"/>
  <c r="AL101" i="4"/>
  <c r="AL105" i="4"/>
  <c r="AM101" i="4"/>
  <c r="AM105" i="4"/>
  <c r="AN105" i="4"/>
  <c r="AO105" i="4"/>
  <c r="AL118" i="4"/>
  <c r="R82" i="4"/>
  <c r="X84" i="4"/>
  <c r="X88" i="4"/>
  <c r="X92" i="4"/>
  <c r="X96" i="4"/>
  <c r="X100" i="4"/>
  <c r="X104" i="4"/>
  <c r="X108" i="4"/>
  <c r="D95" i="4"/>
  <c r="B93" i="4"/>
  <c r="D91" i="4"/>
  <c r="D87" i="4"/>
  <c r="K87" i="4"/>
  <c r="J81" i="4"/>
  <c r="J85" i="4"/>
  <c r="J89" i="4"/>
  <c r="J93" i="4"/>
  <c r="J97" i="4"/>
  <c r="J101" i="4"/>
  <c r="J105" i="4"/>
  <c r="D93" i="4"/>
  <c r="D89" i="4"/>
  <c r="D85" i="4"/>
  <c r="D81" i="4"/>
  <c r="K81" i="4"/>
  <c r="K85" i="4"/>
  <c r="J87" i="4"/>
  <c r="J91" i="4"/>
  <c r="J95" i="4"/>
  <c r="J99" i="4"/>
  <c r="D82" i="4"/>
  <c r="D83" i="4"/>
  <c r="R84" i="4"/>
  <c r="R83" i="4"/>
  <c r="Y83" i="4"/>
  <c r="Z83" i="4"/>
  <c r="AA83" i="4"/>
  <c r="R81" i="4"/>
  <c r="AF81" i="4"/>
  <c r="AM81" i="4"/>
  <c r="AN81" i="4"/>
  <c r="AF84" i="4"/>
  <c r="AF83" i="4"/>
  <c r="AT81" i="4"/>
  <c r="AT84" i="4"/>
  <c r="BA84" i="4"/>
  <c r="BH78" i="4"/>
  <c r="B81" i="4"/>
  <c r="D86" i="4"/>
  <c r="D88" i="4"/>
  <c r="R88" i="4"/>
  <c r="R87" i="4"/>
  <c r="Y87" i="4"/>
  <c r="Z87" i="4"/>
  <c r="R86" i="4"/>
  <c r="R85" i="4"/>
  <c r="Y85" i="4"/>
  <c r="AF88" i="4"/>
  <c r="AF87" i="4"/>
  <c r="AM87" i="4"/>
  <c r="AF86" i="4"/>
  <c r="AF85" i="4"/>
  <c r="AT88" i="4"/>
  <c r="AT86" i="4"/>
  <c r="BA86" i="4"/>
  <c r="BA90" i="4"/>
  <c r="BA94" i="4"/>
  <c r="AT85" i="4"/>
  <c r="BH79" i="4"/>
  <c r="D90" i="4"/>
  <c r="D92" i="4"/>
  <c r="K92" i="4"/>
  <c r="L92" i="4"/>
  <c r="R92" i="4"/>
  <c r="R91" i="4"/>
  <c r="R90" i="4"/>
  <c r="R89" i="4"/>
  <c r="AF92" i="4"/>
  <c r="AF91" i="4"/>
  <c r="AM91" i="4"/>
  <c r="AM95" i="4"/>
  <c r="AM99" i="4"/>
  <c r="AF90" i="4"/>
  <c r="AF89" i="4"/>
  <c r="AT92" i="4"/>
  <c r="AT90" i="4"/>
  <c r="AT89" i="4"/>
  <c r="BH80" i="4"/>
  <c r="D94" i="4"/>
  <c r="D96" i="4"/>
  <c r="R96" i="4"/>
  <c r="R95" i="4"/>
  <c r="R94" i="4"/>
  <c r="R93" i="4"/>
  <c r="Y93" i="4"/>
  <c r="AF96" i="4"/>
  <c r="AF95" i="4"/>
  <c r="AF94" i="4"/>
  <c r="AF93" i="4"/>
  <c r="AT96" i="4"/>
  <c r="AT94" i="4"/>
  <c r="AT93" i="4"/>
  <c r="BH81" i="4"/>
  <c r="D129" i="4"/>
  <c r="D130" i="4"/>
  <c r="D131" i="4"/>
  <c r="D132" i="4"/>
  <c r="R132" i="4"/>
  <c r="R131" i="4"/>
  <c r="R130" i="4"/>
  <c r="R129" i="4"/>
  <c r="Y129" i="4"/>
  <c r="AF132" i="4"/>
  <c r="AF131" i="4"/>
  <c r="AF130" i="4"/>
  <c r="AF129" i="4"/>
  <c r="AT132" i="4"/>
  <c r="AT131" i="4"/>
  <c r="AT130" i="4"/>
  <c r="AT129" i="4"/>
  <c r="BA129" i="4"/>
  <c r="BH90" i="4"/>
  <c r="D125" i="4"/>
  <c r="D126" i="4"/>
  <c r="D127" i="4"/>
  <c r="K127" i="4"/>
  <c r="D128" i="4"/>
  <c r="R128" i="4"/>
  <c r="R127" i="4"/>
  <c r="R126" i="4"/>
  <c r="R125" i="4"/>
  <c r="AF128" i="4"/>
  <c r="AF127" i="4"/>
  <c r="AF126" i="4"/>
  <c r="AM126" i="4"/>
  <c r="AF125" i="4"/>
  <c r="AT128" i="4"/>
  <c r="AT127" i="4"/>
  <c r="AT126" i="4"/>
  <c r="AT125" i="4"/>
  <c r="BH89" i="4"/>
  <c r="D121" i="4"/>
  <c r="D122" i="4"/>
  <c r="D123" i="4"/>
  <c r="D124" i="4"/>
  <c r="R124" i="4"/>
  <c r="Y124" i="4"/>
  <c r="R123" i="4"/>
  <c r="R122" i="4"/>
  <c r="R121" i="4"/>
  <c r="AF124" i="4"/>
  <c r="AM124" i="4"/>
  <c r="AF123" i="4"/>
  <c r="AF122" i="4"/>
  <c r="AF121" i="4"/>
  <c r="AT124" i="4"/>
  <c r="AT123" i="4"/>
  <c r="AT122" i="4"/>
  <c r="AT121" i="4"/>
  <c r="BH88" i="4"/>
  <c r="D117" i="4"/>
  <c r="D118" i="4"/>
  <c r="R120" i="4"/>
  <c r="R142" i="4"/>
  <c r="R119" i="4"/>
  <c r="R133" i="4"/>
  <c r="R118" i="4"/>
  <c r="R117" i="4"/>
  <c r="Y117" i="4"/>
  <c r="AF120" i="4"/>
  <c r="AF119" i="4"/>
  <c r="AF118" i="4"/>
  <c r="AF117" i="4"/>
  <c r="AT120" i="4"/>
  <c r="AT119" i="4"/>
  <c r="AT118" i="4"/>
  <c r="AT117" i="4"/>
  <c r="BH87" i="4"/>
  <c r="H81" i="4"/>
  <c r="H82" i="4"/>
  <c r="K82" i="4"/>
  <c r="L82" i="4"/>
  <c r="M82" i="4"/>
  <c r="H83" i="4"/>
  <c r="L83" i="4"/>
  <c r="H84" i="4"/>
  <c r="K84" i="4"/>
  <c r="K88" i="4"/>
  <c r="L88" i="4"/>
  <c r="M88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V81" i="4"/>
  <c r="Y81" i="4"/>
  <c r="V82" i="4"/>
  <c r="Z82" i="4"/>
  <c r="Y82" i="4"/>
  <c r="V83" i="4"/>
  <c r="V84" i="4"/>
  <c r="Y84" i="4"/>
  <c r="Y88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Z117" i="4"/>
  <c r="V108" i="4"/>
  <c r="V107" i="4"/>
  <c r="Y95" i="4"/>
  <c r="V106" i="4"/>
  <c r="Y90" i="4"/>
  <c r="Y94" i="4"/>
  <c r="V105" i="4"/>
  <c r="Y97" i="4"/>
  <c r="Y101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Z91" i="4"/>
  <c r="AA91" i="4"/>
  <c r="V90" i="4"/>
  <c r="Z90" i="4"/>
  <c r="V89" i="4"/>
  <c r="Z89" i="4"/>
  <c r="V88" i="4"/>
  <c r="V87" i="4"/>
  <c r="V86" i="4"/>
  <c r="V85" i="4"/>
  <c r="Z85" i="4"/>
  <c r="AA85" i="4"/>
  <c r="AJ81" i="4"/>
  <c r="AJ82" i="4"/>
  <c r="AJ83" i="4"/>
  <c r="AN83" i="4"/>
  <c r="AO83" i="4"/>
  <c r="AJ84" i="4"/>
  <c r="AM84" i="4"/>
  <c r="AM88" i="4"/>
  <c r="AM92" i="4"/>
  <c r="AN92" i="4"/>
  <c r="AO92" i="4"/>
  <c r="AN129" i="4"/>
  <c r="AN128" i="4"/>
  <c r="AN127" i="4"/>
  <c r="AN126" i="4"/>
  <c r="AN125" i="4"/>
  <c r="AN124" i="4"/>
  <c r="AN123" i="4"/>
  <c r="AN122" i="4"/>
  <c r="AN121" i="4"/>
  <c r="AN120" i="4"/>
  <c r="AN119" i="4"/>
  <c r="AN118" i="4"/>
  <c r="AN117" i="4"/>
  <c r="AJ108" i="4"/>
  <c r="AM96" i="4"/>
  <c r="AM100" i="4"/>
  <c r="AN100" i="4"/>
  <c r="AO100" i="4"/>
  <c r="AJ107" i="4"/>
  <c r="AM103" i="4"/>
  <c r="AM107" i="4"/>
  <c r="AJ106" i="4"/>
  <c r="AJ105" i="4"/>
  <c r="AJ104" i="4"/>
  <c r="AJ103" i="4"/>
  <c r="AJ102" i="4"/>
  <c r="AJ101" i="4"/>
  <c r="AJ100" i="4"/>
  <c r="AJ99" i="4"/>
  <c r="AN99" i="4"/>
  <c r="AO99" i="4"/>
  <c r="AJ98" i="4"/>
  <c r="AJ97" i="4"/>
  <c r="AN97" i="4"/>
  <c r="AJ96" i="4"/>
  <c r="AJ95" i="4"/>
  <c r="AJ94" i="4"/>
  <c r="AJ93" i="4"/>
  <c r="AM85" i="4"/>
  <c r="AJ92" i="4"/>
  <c r="AJ91" i="4"/>
  <c r="AJ90" i="4"/>
  <c r="AJ89" i="4"/>
  <c r="AJ88" i="4"/>
  <c r="AJ87" i="4"/>
  <c r="AN87" i="4"/>
  <c r="AO87" i="4"/>
  <c r="AJ86" i="4"/>
  <c r="AJ85" i="4"/>
  <c r="AN85" i="4"/>
  <c r="AX81" i="4"/>
  <c r="BA81" i="4"/>
  <c r="BB81" i="4"/>
  <c r="AX82" i="4"/>
  <c r="BB82" i="4"/>
  <c r="AX83" i="4"/>
  <c r="BB83" i="4"/>
  <c r="AX84" i="4"/>
  <c r="BB84" i="4"/>
  <c r="BC84" i="4"/>
  <c r="BB129" i="4"/>
  <c r="BB128" i="4"/>
  <c r="BB127" i="4"/>
  <c r="BB126" i="4"/>
  <c r="BB125" i="4"/>
  <c r="BB124" i="4"/>
  <c r="BB123" i="4"/>
  <c r="BB122" i="4"/>
  <c r="BB121" i="4"/>
  <c r="BB120" i="4"/>
  <c r="BB119" i="4"/>
  <c r="BB118" i="4"/>
  <c r="BB117" i="4"/>
  <c r="AX108" i="4"/>
  <c r="BA104" i="4"/>
  <c r="BA108" i="4"/>
  <c r="BB108" i="4"/>
  <c r="BC108" i="4"/>
  <c r="AX107" i="4"/>
  <c r="AX106" i="4"/>
  <c r="BA102" i="4"/>
  <c r="BA106" i="4"/>
  <c r="BB106" i="4"/>
  <c r="BC106" i="4"/>
  <c r="AX105" i="4"/>
  <c r="BA85" i="4"/>
  <c r="BB85" i="4"/>
  <c r="BC85" i="4"/>
  <c r="AX104" i="4"/>
  <c r="BB104" i="4"/>
  <c r="BC104" i="4"/>
  <c r="AX103" i="4"/>
  <c r="AX102" i="4"/>
  <c r="BC102" i="4"/>
  <c r="BB102" i="4"/>
  <c r="AX101" i="4"/>
  <c r="AX100" i="4"/>
  <c r="BB100" i="4"/>
  <c r="BC100" i="4"/>
  <c r="AX99" i="4"/>
  <c r="AX98" i="4"/>
  <c r="BB98" i="4"/>
  <c r="BC98" i="4"/>
  <c r="AX97" i="4"/>
  <c r="AX96" i="4"/>
  <c r="BA88" i="4"/>
  <c r="BB88" i="4"/>
  <c r="AX95" i="4"/>
  <c r="AX94" i="4"/>
  <c r="BB94" i="4"/>
  <c r="BC94" i="4"/>
  <c r="AX93" i="4"/>
  <c r="AX92" i="4"/>
  <c r="AX91" i="4"/>
  <c r="AX89" i="4"/>
  <c r="AX88" i="4"/>
  <c r="AX87" i="4"/>
  <c r="BB87" i="4"/>
  <c r="BC87" i="4"/>
  <c r="AX86" i="4"/>
  <c r="AX85" i="4"/>
  <c r="BO78" i="4"/>
  <c r="BL78" i="4"/>
  <c r="BL79" i="4"/>
  <c r="BL80" i="4"/>
  <c r="BL81" i="4"/>
  <c r="BP129" i="4"/>
  <c r="BP128" i="4"/>
  <c r="BP127" i="4"/>
  <c r="BP126" i="4"/>
  <c r="BP124" i="4"/>
  <c r="BP123" i="4"/>
  <c r="BP122" i="4"/>
  <c r="BP121" i="4"/>
  <c r="BP120" i="4"/>
  <c r="BP119" i="4"/>
  <c r="BP118" i="4"/>
  <c r="BP117" i="4"/>
  <c r="BP116" i="4"/>
  <c r="BP115" i="4"/>
  <c r="BP114" i="4"/>
  <c r="BP113" i="4"/>
  <c r="BQ113" i="4"/>
  <c r="BP112" i="4"/>
  <c r="BP111" i="4"/>
  <c r="BP110" i="4"/>
  <c r="BP109" i="4"/>
  <c r="BP108" i="4"/>
  <c r="BP107" i="4"/>
  <c r="BP106" i="4"/>
  <c r="BP105" i="4"/>
  <c r="BP104" i="4"/>
  <c r="BP103" i="4"/>
  <c r="BP102" i="4"/>
  <c r="BP101" i="4"/>
  <c r="BP100" i="4"/>
  <c r="BP99" i="4"/>
  <c r="BP98" i="4"/>
  <c r="BO97" i="4"/>
  <c r="BP97" i="4"/>
  <c r="BQ97" i="4"/>
  <c r="BO96" i="4"/>
  <c r="BP96" i="4"/>
  <c r="BO95" i="4"/>
  <c r="BP95" i="4"/>
  <c r="BO94" i="4"/>
  <c r="BP94" i="4"/>
  <c r="BQ94" i="4"/>
  <c r="BO93" i="4"/>
  <c r="BP93" i="4"/>
  <c r="BQ93" i="4"/>
  <c r="BO92" i="4"/>
  <c r="BP92" i="4"/>
  <c r="BQ92" i="4"/>
  <c r="BO90" i="4"/>
  <c r="BP90" i="4"/>
  <c r="BQ90" i="4"/>
  <c r="BO89" i="4"/>
  <c r="BP89" i="4"/>
  <c r="BQ89" i="4"/>
  <c r="BO88" i="4"/>
  <c r="BP88" i="4"/>
  <c r="BQ88" i="4"/>
  <c r="BO87" i="4"/>
  <c r="BP87" i="4"/>
  <c r="BQ87" i="4"/>
  <c r="BL84" i="4"/>
  <c r="BL83" i="4"/>
  <c r="BL82" i="4"/>
  <c r="F146" i="4"/>
  <c r="AH146" i="4"/>
  <c r="AJ146" i="4"/>
  <c r="AL146" i="4"/>
  <c r="AK147" i="4"/>
  <c r="BF78" i="4"/>
  <c r="BJ78" i="4"/>
  <c r="BN78" i="4"/>
  <c r="BN79" i="4"/>
  <c r="BN80" i="4"/>
  <c r="BN81" i="4"/>
  <c r="BN82" i="4"/>
  <c r="BF79" i="4"/>
  <c r="BJ79" i="4"/>
  <c r="BF80" i="4"/>
  <c r="BJ80" i="4"/>
  <c r="F81" i="4"/>
  <c r="P81" i="4"/>
  <c r="T81" i="4"/>
  <c r="X81" i="4"/>
  <c r="X85" i="4"/>
  <c r="AD81" i="4"/>
  <c r="AH81" i="4"/>
  <c r="AR81" i="4"/>
  <c r="AV81" i="4"/>
  <c r="BF81" i="4"/>
  <c r="BJ81" i="4"/>
  <c r="F82" i="4"/>
  <c r="J82" i="4"/>
  <c r="J86" i="4"/>
  <c r="J90" i="4"/>
  <c r="J94" i="4"/>
  <c r="J98" i="4"/>
  <c r="J102" i="4"/>
  <c r="J106" i="4"/>
  <c r="T82" i="4"/>
  <c r="X82" i="4"/>
  <c r="AH82" i="4"/>
  <c r="AL82" i="4"/>
  <c r="AL86" i="4"/>
  <c r="AL90" i="4"/>
  <c r="AL94" i="4"/>
  <c r="AL98" i="4"/>
  <c r="AL102" i="4"/>
  <c r="AL106" i="4"/>
  <c r="AV82" i="4"/>
  <c r="BC82" i="4"/>
  <c r="BF82" i="4"/>
  <c r="BJ82" i="4"/>
  <c r="F83" i="4"/>
  <c r="M83" i="4"/>
  <c r="T83" i="4"/>
  <c r="X83" i="4"/>
  <c r="AH83" i="4"/>
  <c r="AV83" i="4"/>
  <c r="BF83" i="4"/>
  <c r="BJ83" i="4"/>
  <c r="BN83" i="4"/>
  <c r="BN84" i="4"/>
  <c r="F84" i="4"/>
  <c r="J84" i="4"/>
  <c r="J88" i="4"/>
  <c r="J92" i="4"/>
  <c r="J96" i="4"/>
  <c r="T84" i="4"/>
  <c r="AH84" i="4"/>
  <c r="AV84" i="4"/>
  <c r="AZ84" i="4"/>
  <c r="BF84" i="4"/>
  <c r="BJ84" i="4"/>
  <c r="F85" i="4"/>
  <c r="P85" i="4"/>
  <c r="T85" i="4"/>
  <c r="AD85" i="4"/>
  <c r="AH85" i="4"/>
  <c r="AL85" i="4"/>
  <c r="AL89" i="4"/>
  <c r="AO85" i="4"/>
  <c r="AR85" i="4"/>
  <c r="AV85" i="4"/>
  <c r="BF85" i="4"/>
  <c r="F86" i="4"/>
  <c r="T86" i="4"/>
  <c r="AH86" i="4"/>
  <c r="AV86" i="4"/>
  <c r="AZ86" i="4"/>
  <c r="BF86" i="4"/>
  <c r="F87" i="4"/>
  <c r="T87" i="4"/>
  <c r="X87" i="4"/>
  <c r="AH87" i="4"/>
  <c r="AL87" i="4"/>
  <c r="AV87" i="4"/>
  <c r="BF87" i="4"/>
  <c r="BJ87" i="4"/>
  <c r="BL87" i="4"/>
  <c r="BN87" i="4"/>
  <c r="F88" i="4"/>
  <c r="T88" i="4"/>
  <c r="AH88" i="4"/>
  <c r="AV88" i="4"/>
  <c r="BF88" i="4"/>
  <c r="BJ88" i="4"/>
  <c r="BL88" i="4"/>
  <c r="BN88" i="4"/>
  <c r="F89" i="4"/>
  <c r="P89" i="4"/>
  <c r="T89" i="4"/>
  <c r="AA89" i="4"/>
  <c r="AD89" i="4"/>
  <c r="AH89" i="4"/>
  <c r="AR89" i="4"/>
  <c r="AV89" i="4"/>
  <c r="BF89" i="4"/>
  <c r="BJ89" i="4"/>
  <c r="BL89" i="4"/>
  <c r="BN89" i="4"/>
  <c r="F90" i="4"/>
  <c r="T90" i="4"/>
  <c r="X90" i="4"/>
  <c r="AA90" i="4"/>
  <c r="AH90" i="4"/>
  <c r="AV90" i="4"/>
  <c r="BF90" i="4"/>
  <c r="BJ90" i="4"/>
  <c r="BL90" i="4"/>
  <c r="BN90" i="4"/>
  <c r="F91" i="4"/>
  <c r="T91" i="4"/>
  <c r="AH91" i="4"/>
  <c r="AL91" i="4"/>
  <c r="AV91" i="4"/>
  <c r="BN91" i="4"/>
  <c r="BQ91" i="4"/>
  <c r="F92" i="4"/>
  <c r="T92" i="4"/>
  <c r="AH92" i="4"/>
  <c r="AV92" i="4"/>
  <c r="BH92" i="4"/>
  <c r="BJ92" i="4"/>
  <c r="BL92" i="4"/>
  <c r="BN92" i="4"/>
  <c r="F93" i="4"/>
  <c r="P93" i="4"/>
  <c r="T93" i="4"/>
  <c r="X93" i="4"/>
  <c r="X97" i="4"/>
  <c r="X101" i="4"/>
  <c r="X105" i="4"/>
  <c r="AD93" i="4"/>
  <c r="AH93" i="4"/>
  <c r="AR93" i="4"/>
  <c r="AV93" i="4"/>
  <c r="BH93" i="4"/>
  <c r="BJ93" i="4"/>
  <c r="BL93" i="4"/>
  <c r="BN93" i="4"/>
  <c r="F94" i="4"/>
  <c r="T94" i="4"/>
  <c r="X94" i="4"/>
  <c r="X98" i="4"/>
  <c r="X102" i="4"/>
  <c r="X106" i="4"/>
  <c r="AH94" i="4"/>
  <c r="AV94" i="4"/>
  <c r="AZ94" i="4"/>
  <c r="BH94" i="4"/>
  <c r="BJ94" i="4"/>
  <c r="BL94" i="4"/>
  <c r="BN94" i="4"/>
  <c r="F95" i="4"/>
  <c r="T95" i="4"/>
  <c r="X95" i="4"/>
  <c r="X99" i="4"/>
  <c r="X103" i="4"/>
  <c r="X107" i="4"/>
  <c r="AH95" i="4"/>
  <c r="AL95" i="4"/>
  <c r="AL99" i="4"/>
  <c r="AV95" i="4"/>
  <c r="BF95" i="4"/>
  <c r="BH95" i="4"/>
  <c r="BJ95" i="4"/>
  <c r="BL95" i="4"/>
  <c r="BN95" i="4"/>
  <c r="BQ95" i="4"/>
  <c r="F96" i="4"/>
  <c r="T96" i="4"/>
  <c r="AH96" i="4"/>
  <c r="AV96" i="4"/>
  <c r="AZ96" i="4"/>
  <c r="BF96" i="4"/>
  <c r="BH96" i="4"/>
  <c r="BJ96" i="4"/>
  <c r="BL96" i="4"/>
  <c r="BN96" i="4"/>
  <c r="BQ96" i="4"/>
  <c r="F97" i="4"/>
  <c r="P97" i="4"/>
  <c r="T97" i="4"/>
  <c r="AD97" i="4"/>
  <c r="AH97" i="4"/>
  <c r="AR97" i="4"/>
  <c r="AV97" i="4"/>
  <c r="BH97" i="4"/>
  <c r="BJ97" i="4"/>
  <c r="BL97" i="4"/>
  <c r="BN97" i="4"/>
  <c r="F98" i="4"/>
  <c r="T98" i="4"/>
  <c r="AH98" i="4"/>
  <c r="AV98" i="4"/>
  <c r="BH98" i="4"/>
  <c r="BJ98" i="4"/>
  <c r="BL98" i="4"/>
  <c r="BN98" i="4"/>
  <c r="BQ98" i="4"/>
  <c r="F99" i="4"/>
  <c r="T99" i="4"/>
  <c r="AH99" i="4"/>
  <c r="AV99" i="4"/>
  <c r="BH99" i="4"/>
  <c r="BJ99" i="4"/>
  <c r="BL99" i="4"/>
  <c r="BN99" i="4"/>
  <c r="BQ99" i="4"/>
  <c r="F100" i="4"/>
  <c r="J100" i="4"/>
  <c r="J104" i="4"/>
  <c r="J108" i="4"/>
  <c r="T100" i="4"/>
  <c r="AH100" i="4"/>
  <c r="AV100" i="4"/>
  <c r="BH100" i="4"/>
  <c r="BL100" i="4"/>
  <c r="BN100" i="4"/>
  <c r="BQ100" i="4"/>
  <c r="F101" i="4"/>
  <c r="P101" i="4"/>
  <c r="T101" i="4"/>
  <c r="AD101" i="4"/>
  <c r="AH101" i="4"/>
  <c r="AR101" i="4"/>
  <c r="AV101" i="4"/>
  <c r="BH101" i="4"/>
  <c r="BJ101" i="4"/>
  <c r="BL101" i="4"/>
  <c r="BN101" i="4"/>
  <c r="BQ101" i="4"/>
  <c r="F102" i="4"/>
  <c r="T102" i="4"/>
  <c r="AH102" i="4"/>
  <c r="AV102" i="4"/>
  <c r="BH102" i="4"/>
  <c r="BJ102" i="4"/>
  <c r="BL102" i="4"/>
  <c r="BN102" i="4"/>
  <c r="BQ102" i="4"/>
  <c r="F103" i="4"/>
  <c r="J103" i="4"/>
  <c r="T103" i="4"/>
  <c r="AH103" i="4"/>
  <c r="AL103" i="4"/>
  <c r="AL107" i="4"/>
  <c r="AV103" i="4"/>
  <c r="BH103" i="4"/>
  <c r="BL103" i="4"/>
  <c r="BN103" i="4"/>
  <c r="BQ103" i="4"/>
  <c r="F104" i="4"/>
  <c r="T104" i="4"/>
  <c r="AH104" i="4"/>
  <c r="AV104" i="4"/>
  <c r="AZ104" i="4"/>
  <c r="BH104" i="4"/>
  <c r="BL104" i="4"/>
  <c r="BN104" i="4"/>
  <c r="BQ104" i="4"/>
  <c r="P105" i="4"/>
  <c r="AD105" i="4"/>
  <c r="AR105" i="4"/>
  <c r="AV105" i="4"/>
  <c r="BH105" i="4"/>
  <c r="BL105" i="4"/>
  <c r="BN105" i="4"/>
  <c r="BQ105" i="4"/>
  <c r="AV106" i="4"/>
  <c r="AZ106" i="4"/>
  <c r="BH106" i="4"/>
  <c r="BL106" i="4"/>
  <c r="BN106" i="4"/>
  <c r="BQ106" i="4"/>
  <c r="AV107" i="4"/>
  <c r="BH107" i="4"/>
  <c r="BL107" i="4"/>
  <c r="BN107" i="4"/>
  <c r="BQ107" i="4"/>
  <c r="AV108" i="4"/>
  <c r="BH108" i="4"/>
  <c r="BL108" i="4"/>
  <c r="BN108" i="4"/>
  <c r="BQ108" i="4"/>
  <c r="BH109" i="4"/>
  <c r="BL109" i="4"/>
  <c r="BN109" i="4"/>
  <c r="BQ109" i="4"/>
  <c r="BH110" i="4"/>
  <c r="BL110" i="4"/>
  <c r="BN110" i="4"/>
  <c r="BQ110" i="4"/>
  <c r="BH111" i="4"/>
  <c r="BL111" i="4"/>
  <c r="BN111" i="4"/>
  <c r="BQ111" i="4"/>
  <c r="BH112" i="4"/>
  <c r="BL112" i="4"/>
  <c r="BN112" i="4"/>
  <c r="BQ112" i="4"/>
  <c r="BH113" i="4"/>
  <c r="BL113" i="4"/>
  <c r="BN113" i="4"/>
  <c r="BH114" i="4"/>
  <c r="BL114" i="4"/>
  <c r="BN114" i="4"/>
  <c r="BQ114" i="4"/>
  <c r="BH115" i="4"/>
  <c r="BL115" i="4"/>
  <c r="BN115" i="4"/>
  <c r="BQ115" i="4"/>
  <c r="BH116" i="4"/>
  <c r="BL116" i="4"/>
  <c r="BN116" i="4"/>
  <c r="BQ116" i="4"/>
  <c r="F117" i="4"/>
  <c r="H117" i="4"/>
  <c r="J117" i="4"/>
  <c r="K117" i="4"/>
  <c r="P117" i="4"/>
  <c r="T117" i="4"/>
  <c r="V117" i="4"/>
  <c r="AA117" i="4"/>
  <c r="X117" i="4"/>
  <c r="AD117" i="4"/>
  <c r="AH117" i="4"/>
  <c r="AJ117" i="4"/>
  <c r="AO117" i="4"/>
  <c r="AL117" i="4"/>
  <c r="AM117" i="4"/>
  <c r="AR117" i="4"/>
  <c r="AV117" i="4"/>
  <c r="AX117" i="4"/>
  <c r="BC117" i="4"/>
  <c r="AZ117" i="4"/>
  <c r="BA117" i="4"/>
  <c r="BH117" i="4"/>
  <c r="BL117" i="4"/>
  <c r="BQ117" i="4"/>
  <c r="F118" i="4"/>
  <c r="H118" i="4"/>
  <c r="M118" i="4"/>
  <c r="J118" i="4"/>
  <c r="K118" i="4"/>
  <c r="T118" i="4"/>
  <c r="V118" i="4"/>
  <c r="X118" i="4"/>
  <c r="Y118" i="4"/>
  <c r="AA118" i="4"/>
  <c r="AH118" i="4"/>
  <c r="AJ118" i="4"/>
  <c r="AO118" i="4"/>
  <c r="AM118" i="4"/>
  <c r="AV118" i="4"/>
  <c r="AX118" i="4"/>
  <c r="AZ118" i="4"/>
  <c r="BA118" i="4"/>
  <c r="BH118" i="4"/>
  <c r="BL118" i="4"/>
  <c r="BQ118" i="4"/>
  <c r="F119" i="4"/>
  <c r="H119" i="4"/>
  <c r="M119" i="4"/>
  <c r="J119" i="4"/>
  <c r="K119" i="4"/>
  <c r="T119" i="4"/>
  <c r="V119" i="4"/>
  <c r="AA119" i="4"/>
  <c r="X119" i="4"/>
  <c r="Y119" i="4"/>
  <c r="AH119" i="4"/>
  <c r="AJ119" i="4"/>
  <c r="AO119" i="4"/>
  <c r="AL119" i="4"/>
  <c r="AM119" i="4"/>
  <c r="AV119" i="4"/>
  <c r="AX119" i="4"/>
  <c r="BC119" i="4"/>
  <c r="AZ119" i="4"/>
  <c r="BA119" i="4"/>
  <c r="BH119" i="4"/>
  <c r="BL119" i="4"/>
  <c r="BQ119" i="4"/>
  <c r="F120" i="4"/>
  <c r="H120" i="4"/>
  <c r="M120" i="4"/>
  <c r="J120" i="4"/>
  <c r="K120" i="4"/>
  <c r="T120" i="4"/>
  <c r="V120" i="4"/>
  <c r="AA120" i="4"/>
  <c r="X120" i="4"/>
  <c r="AH120" i="4"/>
  <c r="AJ120" i="4"/>
  <c r="AO120" i="4"/>
  <c r="AL120" i="4"/>
  <c r="AM120" i="4"/>
  <c r="AV120" i="4"/>
  <c r="AX120" i="4"/>
  <c r="BA120" i="4"/>
  <c r="BC120" i="4"/>
  <c r="BH120" i="4"/>
  <c r="BL120" i="4"/>
  <c r="BQ120" i="4"/>
  <c r="F121" i="4"/>
  <c r="H121" i="4"/>
  <c r="J121" i="4"/>
  <c r="K121" i="4"/>
  <c r="M121" i="4"/>
  <c r="P121" i="4"/>
  <c r="T121" i="4"/>
  <c r="V121" i="4"/>
  <c r="X121" i="4"/>
  <c r="Y121" i="4"/>
  <c r="AA121" i="4"/>
  <c r="AD121" i="4"/>
  <c r="AH121" i="4"/>
  <c r="AJ121" i="4"/>
  <c r="AL121" i="4"/>
  <c r="AM121" i="4"/>
  <c r="AO121" i="4"/>
  <c r="AR121" i="4"/>
  <c r="AV121" i="4"/>
  <c r="AX121" i="4"/>
  <c r="AZ121" i="4"/>
  <c r="BA121" i="4"/>
  <c r="BC121" i="4"/>
  <c r="BH121" i="4"/>
  <c r="BL121" i="4"/>
  <c r="BQ121" i="4"/>
  <c r="F122" i="4"/>
  <c r="H122" i="4"/>
  <c r="J122" i="4"/>
  <c r="K122" i="4"/>
  <c r="M122" i="4"/>
  <c r="T122" i="4"/>
  <c r="V122" i="4"/>
  <c r="AA122" i="4"/>
  <c r="X122" i="4"/>
  <c r="Y122" i="4"/>
  <c r="AH122" i="4"/>
  <c r="AJ122" i="4"/>
  <c r="AL122" i="4"/>
  <c r="AM122" i="4"/>
  <c r="AO122" i="4"/>
  <c r="AV122" i="4"/>
  <c r="AX122" i="4"/>
  <c r="AZ122" i="4"/>
  <c r="BA122" i="4"/>
  <c r="BC122" i="4"/>
  <c r="BH122" i="4"/>
  <c r="BL122" i="4"/>
  <c r="BQ122" i="4"/>
  <c r="F123" i="4"/>
  <c r="H123" i="4"/>
  <c r="M123" i="4"/>
  <c r="J123" i="4"/>
  <c r="K123" i="4"/>
  <c r="T123" i="4"/>
  <c r="V123" i="4"/>
  <c r="X123" i="4"/>
  <c r="Y123" i="4"/>
  <c r="AA123" i="4"/>
  <c r="AH123" i="4"/>
  <c r="AJ123" i="4"/>
  <c r="AO123" i="4"/>
  <c r="AL123" i="4"/>
  <c r="AM123" i="4"/>
  <c r="AV123" i="4"/>
  <c r="AX123" i="4"/>
  <c r="AZ123" i="4"/>
  <c r="BA123" i="4"/>
  <c r="BC123" i="4"/>
  <c r="BH123" i="4"/>
  <c r="BL123" i="4"/>
  <c r="BQ123" i="4"/>
  <c r="F124" i="4"/>
  <c r="H124" i="4"/>
  <c r="J124" i="4"/>
  <c r="K124" i="4"/>
  <c r="M124" i="4"/>
  <c r="T124" i="4"/>
  <c r="V124" i="4"/>
  <c r="X124" i="4"/>
  <c r="AA124" i="4"/>
  <c r="AH124" i="4"/>
  <c r="AJ124" i="4"/>
  <c r="AL124" i="4"/>
  <c r="AO124" i="4"/>
  <c r="AV124" i="4"/>
  <c r="AX124" i="4"/>
  <c r="BC124" i="4"/>
  <c r="AZ124" i="4"/>
  <c r="BA124" i="4"/>
  <c r="BH124" i="4"/>
  <c r="BL124" i="4"/>
  <c r="BQ124" i="4"/>
  <c r="F125" i="4"/>
  <c r="H125" i="4"/>
  <c r="M125" i="4"/>
  <c r="J125" i="4"/>
  <c r="K125" i="4"/>
  <c r="P125" i="4"/>
  <c r="T125" i="4"/>
  <c r="V125" i="4"/>
  <c r="X125" i="4"/>
  <c r="Y125" i="4"/>
  <c r="AA125" i="4"/>
  <c r="AD125" i="4"/>
  <c r="AH125" i="4"/>
  <c r="AJ125" i="4"/>
  <c r="AO125" i="4"/>
  <c r="AL125" i="4"/>
  <c r="AM125" i="4"/>
  <c r="AR125" i="4"/>
  <c r="AV125" i="4"/>
  <c r="AX125" i="4"/>
  <c r="AZ125" i="4"/>
  <c r="BA125" i="4"/>
  <c r="BC125" i="4"/>
  <c r="F126" i="4"/>
  <c r="H126" i="4"/>
  <c r="J126" i="4"/>
  <c r="K126" i="4"/>
  <c r="M126" i="4"/>
  <c r="T126" i="4"/>
  <c r="V126" i="4"/>
  <c r="AA126" i="4"/>
  <c r="X126" i="4"/>
  <c r="Y126" i="4"/>
  <c r="AH126" i="4"/>
  <c r="AJ126" i="4"/>
  <c r="AO126" i="4"/>
  <c r="AL126" i="4"/>
  <c r="AV126" i="4"/>
  <c r="AX126" i="4"/>
  <c r="BC126" i="4"/>
  <c r="AZ126" i="4"/>
  <c r="BH126" i="4"/>
  <c r="BL126" i="4"/>
  <c r="BQ126" i="4"/>
  <c r="F127" i="4"/>
  <c r="H127" i="4"/>
  <c r="M127" i="4"/>
  <c r="J127" i="4"/>
  <c r="T127" i="4"/>
  <c r="V127" i="4"/>
  <c r="X127" i="4"/>
  <c r="Y127" i="4"/>
  <c r="AA127" i="4"/>
  <c r="AH127" i="4"/>
  <c r="AJ127" i="4"/>
  <c r="AO127" i="4"/>
  <c r="AL127" i="4"/>
  <c r="AM127" i="4"/>
  <c r="AV127" i="4"/>
  <c r="AX127" i="4"/>
  <c r="BC127" i="4"/>
  <c r="AZ127" i="4"/>
  <c r="BA127" i="4"/>
  <c r="BH127" i="4"/>
  <c r="BL127" i="4"/>
  <c r="BQ127" i="4"/>
  <c r="F128" i="4"/>
  <c r="J128" i="4"/>
  <c r="K128" i="4"/>
  <c r="M128" i="4"/>
  <c r="T128" i="4"/>
  <c r="V128" i="4"/>
  <c r="AA128" i="4"/>
  <c r="X128" i="4"/>
  <c r="Y128" i="4"/>
  <c r="AH128" i="4"/>
  <c r="AJ128" i="4"/>
  <c r="AL128" i="4"/>
  <c r="AM128" i="4"/>
  <c r="AO128" i="4"/>
  <c r="AV128" i="4"/>
  <c r="AX128" i="4"/>
  <c r="AZ128" i="4"/>
  <c r="BA128" i="4"/>
  <c r="BC128" i="4"/>
  <c r="BH128" i="4"/>
  <c r="BL128" i="4"/>
  <c r="BQ128" i="4"/>
  <c r="F129" i="4"/>
  <c r="H129" i="4"/>
  <c r="J129" i="4"/>
  <c r="K129" i="4"/>
  <c r="M129" i="4"/>
  <c r="P129" i="4"/>
  <c r="T129" i="4"/>
  <c r="V129" i="4"/>
  <c r="AA129" i="4"/>
  <c r="X129" i="4"/>
  <c r="AD129" i="4"/>
  <c r="AH129" i="4"/>
  <c r="AJ129" i="4"/>
  <c r="AL129" i="4"/>
  <c r="AM129" i="4"/>
  <c r="AO129" i="4"/>
  <c r="AR129" i="4"/>
  <c r="AV129" i="4"/>
  <c r="AX129" i="4"/>
  <c r="BC129" i="4"/>
  <c r="AZ129" i="4"/>
  <c r="BL129" i="4"/>
  <c r="BQ129" i="4"/>
  <c r="F130" i="4"/>
  <c r="H130" i="4"/>
  <c r="M130" i="4"/>
  <c r="J130" i="4"/>
  <c r="K130" i="4"/>
  <c r="L130" i="4"/>
  <c r="T130" i="4"/>
  <c r="V130" i="4"/>
  <c r="AA130" i="4"/>
  <c r="X130" i="4"/>
  <c r="Y130" i="4"/>
  <c r="Z130" i="4"/>
  <c r="AH130" i="4"/>
  <c r="AJ130" i="4"/>
  <c r="AO130" i="4"/>
  <c r="AL130" i="4"/>
  <c r="AM130" i="4"/>
  <c r="AN130" i="4"/>
  <c r="AV130" i="4"/>
  <c r="AX130" i="4"/>
  <c r="BC130" i="4"/>
  <c r="AZ130" i="4"/>
  <c r="BA130" i="4"/>
  <c r="BB130" i="4"/>
  <c r="F131" i="4"/>
  <c r="H131" i="4"/>
  <c r="M131" i="4"/>
  <c r="J131" i="4"/>
  <c r="K131" i="4"/>
  <c r="L131" i="4"/>
  <c r="T131" i="4"/>
  <c r="V131" i="4"/>
  <c r="AA131" i="4"/>
  <c r="X131" i="4"/>
  <c r="Y131" i="4"/>
  <c r="Z131" i="4"/>
  <c r="AH131" i="4"/>
  <c r="AJ131" i="4"/>
  <c r="AO131" i="4"/>
  <c r="AL131" i="4"/>
  <c r="AM131" i="4"/>
  <c r="AN131" i="4"/>
  <c r="AV131" i="4"/>
  <c r="AX131" i="4"/>
  <c r="BC131" i="4"/>
  <c r="AZ131" i="4"/>
  <c r="BA131" i="4"/>
  <c r="BB131" i="4"/>
  <c r="F132" i="4"/>
  <c r="H132" i="4"/>
  <c r="M132" i="4"/>
  <c r="J132" i="4"/>
  <c r="K132" i="4"/>
  <c r="L132" i="4"/>
  <c r="T132" i="4"/>
  <c r="V132" i="4"/>
  <c r="AA132" i="4"/>
  <c r="X132" i="4"/>
  <c r="Y132" i="4"/>
  <c r="Z132" i="4"/>
  <c r="AH132" i="4"/>
  <c r="AJ132" i="4"/>
  <c r="AO132" i="4"/>
  <c r="AL132" i="4"/>
  <c r="AM132" i="4"/>
  <c r="AN132" i="4"/>
  <c r="AV132" i="4"/>
  <c r="AX132" i="4"/>
  <c r="BC132" i="4"/>
  <c r="AZ132" i="4"/>
  <c r="BA132" i="4"/>
  <c r="BB132" i="4"/>
  <c r="BH202" i="4"/>
  <c r="BH201" i="4"/>
  <c r="BH200" i="4"/>
  <c r="BH198" i="4"/>
  <c r="BH197" i="4"/>
  <c r="BH196" i="4"/>
  <c r="BH195" i="4"/>
  <c r="BH194" i="4"/>
  <c r="BH193" i="4"/>
  <c r="BH192" i="4"/>
  <c r="BH191" i="4"/>
  <c r="BH190" i="4"/>
  <c r="BH189" i="4"/>
  <c r="BH188" i="4"/>
  <c r="BH187" i="4"/>
  <c r="BH186" i="4"/>
  <c r="BH185" i="4"/>
  <c r="BH184" i="4"/>
  <c r="BH183" i="4"/>
  <c r="BH182" i="4"/>
  <c r="BH181" i="4"/>
  <c r="BH180" i="4"/>
  <c r="BH179" i="4"/>
  <c r="BH178" i="4"/>
  <c r="BH177" i="4"/>
  <c r="BH176" i="4"/>
  <c r="BH175" i="4"/>
  <c r="BH207" i="4"/>
  <c r="BH136" i="4"/>
  <c r="BH174" i="4"/>
  <c r="BH173" i="4"/>
  <c r="BH172" i="4"/>
  <c r="BH171" i="4"/>
  <c r="BH170" i="4"/>
  <c r="BH169" i="4"/>
  <c r="BH168" i="4"/>
  <c r="BH167" i="4"/>
  <c r="BH166" i="4"/>
  <c r="D139" i="4"/>
  <c r="J139" i="4"/>
  <c r="K139" i="4"/>
  <c r="R139" i="4"/>
  <c r="V139" i="4"/>
  <c r="X139" i="4"/>
  <c r="Y139" i="4"/>
  <c r="AJ139" i="4"/>
  <c r="AL139" i="4"/>
  <c r="AM139" i="4"/>
  <c r="AT139" i="4"/>
  <c r="AZ139" i="4"/>
  <c r="BA139" i="4"/>
  <c r="J140" i="4"/>
  <c r="K140" i="4"/>
  <c r="V140" i="4"/>
  <c r="X140" i="4"/>
  <c r="Y140" i="4"/>
  <c r="AL140" i="4"/>
  <c r="AM140" i="4"/>
  <c r="AZ140" i="4"/>
  <c r="BA140" i="4"/>
  <c r="J141" i="4"/>
  <c r="K141" i="4"/>
  <c r="X141" i="4"/>
  <c r="Y141" i="4"/>
  <c r="AF141" i="4"/>
  <c r="AL141" i="4"/>
  <c r="AM141" i="4"/>
  <c r="AZ141" i="4"/>
  <c r="BA141" i="4"/>
  <c r="D142" i="4"/>
  <c r="J142" i="4"/>
  <c r="K142" i="4"/>
  <c r="X142" i="4"/>
  <c r="Y142" i="4"/>
  <c r="AL142" i="4"/>
  <c r="AM142" i="4"/>
  <c r="AT142" i="4"/>
  <c r="AZ142" i="4"/>
  <c r="BA142" i="4"/>
  <c r="F197" i="4"/>
  <c r="BN152" i="4"/>
  <c r="BN153" i="4"/>
  <c r="BN154" i="4"/>
  <c r="BN155" i="4"/>
  <c r="BN156" i="4"/>
  <c r="BN157" i="4"/>
  <c r="BN158" i="4"/>
  <c r="BN159" i="4"/>
  <c r="BN160" i="4"/>
  <c r="BN162" i="4"/>
  <c r="BN163" i="4"/>
  <c r="BN164" i="4"/>
  <c r="BN165" i="4"/>
  <c r="BN166" i="4"/>
  <c r="BN167" i="4"/>
  <c r="BN168" i="4"/>
  <c r="BN169" i="4"/>
  <c r="BN170" i="4"/>
  <c r="BN171" i="4"/>
  <c r="BN172" i="4"/>
  <c r="BN173" i="4"/>
  <c r="BN174" i="4"/>
  <c r="BN175" i="4"/>
  <c r="BN176" i="4"/>
  <c r="BN177" i="4"/>
  <c r="BN178" i="4"/>
  <c r="BN179" i="4"/>
  <c r="BN180" i="4"/>
  <c r="BN181" i="4"/>
  <c r="BN182" i="4"/>
  <c r="BN183" i="4"/>
  <c r="BN184" i="4"/>
  <c r="BN185" i="4"/>
  <c r="BN186" i="4"/>
  <c r="BN187" i="4"/>
  <c r="BN188" i="4"/>
  <c r="BN189" i="4"/>
  <c r="BN190" i="4"/>
  <c r="AZ155" i="4"/>
  <c r="A286" i="4"/>
  <c r="BO233" i="4"/>
  <c r="BP233" i="4"/>
  <c r="BQ233" i="4"/>
  <c r="BL233" i="4"/>
  <c r="BJ233" i="4"/>
  <c r="BH233" i="4"/>
  <c r="BL232" i="4"/>
  <c r="BJ232" i="4"/>
  <c r="BH232" i="4"/>
  <c r="BB260" i="4"/>
  <c r="AZ260" i="4"/>
  <c r="AX260" i="4"/>
  <c r="BC260" i="4"/>
  <c r="AV260" i="4"/>
  <c r="AT260" i="4"/>
  <c r="BA260" i="4"/>
  <c r="BB259" i="4"/>
  <c r="AZ259" i="4"/>
  <c r="AX259" i="4"/>
  <c r="AV259" i="4"/>
  <c r="AT259" i="4"/>
  <c r="BA259" i="4"/>
  <c r="BB258" i="4"/>
  <c r="AZ258" i="4"/>
  <c r="AX258" i="4"/>
  <c r="BC258" i="4"/>
  <c r="AV258" i="4"/>
  <c r="AT258" i="4"/>
  <c r="BA258" i="4"/>
  <c r="BB257" i="4"/>
  <c r="AZ257" i="4"/>
  <c r="AX257" i="4"/>
  <c r="BC257" i="4"/>
  <c r="AV257" i="4"/>
  <c r="AT257" i="4"/>
  <c r="BA257" i="4"/>
  <c r="AZ244" i="4"/>
  <c r="AZ248" i="4"/>
  <c r="AZ252" i="4"/>
  <c r="AZ256" i="4"/>
  <c r="AX256" i="4"/>
  <c r="AV256" i="4"/>
  <c r="AT256" i="4"/>
  <c r="AX255" i="4"/>
  <c r="AV255" i="4"/>
  <c r="AT255" i="4"/>
  <c r="AX254" i="4"/>
  <c r="AV254" i="4"/>
  <c r="AT254" i="4"/>
  <c r="AX253" i="4"/>
  <c r="AV253" i="4"/>
  <c r="AT253" i="4"/>
  <c r="AN260" i="4"/>
  <c r="AL260" i="4"/>
  <c r="AJ260" i="4"/>
  <c r="AO260" i="4"/>
  <c r="AH260" i="4"/>
  <c r="AF260" i="4"/>
  <c r="AM260" i="4"/>
  <c r="AN259" i="4"/>
  <c r="AL259" i="4"/>
  <c r="AJ259" i="4"/>
  <c r="AH259" i="4"/>
  <c r="AF259" i="4"/>
  <c r="AM259" i="4"/>
  <c r="AN258" i="4"/>
  <c r="AL258" i="4"/>
  <c r="AJ258" i="4"/>
  <c r="AO258" i="4"/>
  <c r="AH258" i="4"/>
  <c r="AF258" i="4"/>
  <c r="AM258" i="4"/>
  <c r="AN257" i="4"/>
  <c r="AF257" i="4"/>
  <c r="AM257" i="4"/>
  <c r="AL257" i="4"/>
  <c r="AJ257" i="4"/>
  <c r="AO257" i="4"/>
  <c r="AH257" i="4"/>
  <c r="AJ256" i="4"/>
  <c r="AH256" i="4"/>
  <c r="AF256" i="4"/>
  <c r="AL231" i="4"/>
  <c r="AL235" i="4"/>
  <c r="AL239" i="4"/>
  <c r="AL243" i="4"/>
  <c r="AL247" i="4"/>
  <c r="AL251" i="4"/>
  <c r="AL255" i="4"/>
  <c r="AJ255" i="4"/>
  <c r="AH255" i="4"/>
  <c r="AF255" i="4"/>
  <c r="AJ254" i="4"/>
  <c r="AH254" i="4"/>
  <c r="AF254" i="4"/>
  <c r="AJ253" i="4"/>
  <c r="AH253" i="4"/>
  <c r="AF253" i="4"/>
  <c r="Z260" i="4"/>
  <c r="X260" i="4"/>
  <c r="V260" i="4"/>
  <c r="AA260" i="4"/>
  <c r="T260" i="4"/>
  <c r="R260" i="4"/>
  <c r="Y260" i="4"/>
  <c r="Z259" i="4"/>
  <c r="X259" i="4"/>
  <c r="V259" i="4"/>
  <c r="AA259" i="4"/>
  <c r="T259" i="4"/>
  <c r="R259" i="4"/>
  <c r="Y259" i="4"/>
  <c r="Z258" i="4"/>
  <c r="X258" i="4"/>
  <c r="V258" i="4"/>
  <c r="AA258" i="4"/>
  <c r="T258" i="4"/>
  <c r="R258" i="4"/>
  <c r="Y258" i="4"/>
  <c r="Z257" i="4"/>
  <c r="X257" i="4"/>
  <c r="V257" i="4"/>
  <c r="AA257" i="4"/>
  <c r="T257" i="4"/>
  <c r="R257" i="4"/>
  <c r="Y257" i="4"/>
  <c r="V256" i="4"/>
  <c r="T256" i="4"/>
  <c r="R256" i="4"/>
  <c r="X231" i="4"/>
  <c r="X235" i="4"/>
  <c r="X239" i="4"/>
  <c r="X243" i="4"/>
  <c r="X247" i="4"/>
  <c r="X251" i="4"/>
  <c r="X255" i="4"/>
  <c r="V255" i="4"/>
  <c r="T255" i="4"/>
  <c r="R255" i="4"/>
  <c r="V254" i="4"/>
  <c r="T254" i="4"/>
  <c r="R254" i="4"/>
  <c r="V253" i="4"/>
  <c r="T253" i="4"/>
  <c r="R253" i="4"/>
  <c r="L260" i="4"/>
  <c r="J260" i="4"/>
  <c r="H260" i="4"/>
  <c r="M260" i="4"/>
  <c r="F260" i="4"/>
  <c r="D260" i="4"/>
  <c r="K260" i="4"/>
  <c r="L259" i="4"/>
  <c r="D259" i="4"/>
  <c r="K259" i="4"/>
  <c r="J259" i="4"/>
  <c r="H259" i="4"/>
  <c r="M259" i="4"/>
  <c r="F259" i="4"/>
  <c r="L258" i="4"/>
  <c r="J258" i="4"/>
  <c r="H258" i="4"/>
  <c r="M258" i="4"/>
  <c r="F258" i="4"/>
  <c r="D258" i="4"/>
  <c r="K258" i="4"/>
  <c r="L257" i="4"/>
  <c r="D257" i="4"/>
  <c r="K257" i="4"/>
  <c r="J257" i="4"/>
  <c r="H257" i="4"/>
  <c r="M257" i="4"/>
  <c r="F257" i="4"/>
  <c r="H256" i="4"/>
  <c r="F256" i="4"/>
  <c r="D256" i="4"/>
  <c r="J231" i="4"/>
  <c r="J235" i="4"/>
  <c r="J239" i="4"/>
  <c r="J243" i="4"/>
  <c r="J247" i="4"/>
  <c r="J251" i="4"/>
  <c r="J255" i="4"/>
  <c r="H255" i="4"/>
  <c r="F255" i="4"/>
  <c r="D255" i="4"/>
  <c r="H254" i="4"/>
  <c r="F254" i="4"/>
  <c r="D254" i="4"/>
  <c r="J253" i="4"/>
  <c r="H253" i="4"/>
  <c r="F253" i="4"/>
  <c r="D253" i="4"/>
  <c r="BL153" i="4"/>
  <c r="BJ153" i="4"/>
  <c r="BO152" i="4"/>
  <c r="BO153" i="4"/>
  <c r="BL152" i="4"/>
  <c r="BJ152" i="4"/>
  <c r="AX186" i="4"/>
  <c r="BA158" i="4"/>
  <c r="BA162" i="4"/>
  <c r="BA166" i="4"/>
  <c r="AZ158" i="4"/>
  <c r="AZ162" i="4"/>
  <c r="AZ166" i="4"/>
  <c r="AZ170" i="4"/>
  <c r="AZ174" i="4"/>
  <c r="AZ178" i="4"/>
  <c r="AZ182" i="4"/>
  <c r="AZ186" i="4"/>
  <c r="AZ190" i="4"/>
  <c r="AV186" i="4"/>
  <c r="AX185" i="4"/>
  <c r="BA181" i="4"/>
  <c r="BB181" i="4"/>
  <c r="BA185" i="4"/>
  <c r="AZ181" i="4"/>
  <c r="AZ185" i="4"/>
  <c r="AZ189" i="4"/>
  <c r="AV185" i="4"/>
  <c r="AX184" i="4"/>
  <c r="BA156" i="4"/>
  <c r="BA160" i="4"/>
  <c r="BA164" i="4"/>
  <c r="AZ168" i="4"/>
  <c r="AZ172" i="4"/>
  <c r="AZ176" i="4"/>
  <c r="AZ180" i="4"/>
  <c r="AZ184" i="4"/>
  <c r="AZ188" i="4"/>
  <c r="AV184" i="4"/>
  <c r="AX183" i="4"/>
  <c r="BA155" i="4"/>
  <c r="BA159" i="4"/>
  <c r="BA163" i="4"/>
  <c r="AZ167" i="4"/>
  <c r="AZ171" i="4"/>
  <c r="AZ175" i="4"/>
  <c r="AZ179" i="4"/>
  <c r="AZ183" i="4"/>
  <c r="AV183" i="4"/>
  <c r="AX182" i="4"/>
  <c r="AV182" i="4"/>
  <c r="AX181" i="4"/>
  <c r="AV181" i="4"/>
  <c r="AX180" i="4"/>
  <c r="AV180" i="4"/>
  <c r="AX179" i="4"/>
  <c r="AV179" i="4"/>
  <c r="AX178" i="4"/>
  <c r="AV178" i="4"/>
  <c r="AX177" i="4"/>
  <c r="BB177" i="4"/>
  <c r="BC177" i="4"/>
  <c r="AV177" i="4"/>
  <c r="AX176" i="4"/>
  <c r="AV176" i="4"/>
  <c r="AX175" i="4"/>
  <c r="AV175" i="4"/>
  <c r="AX174" i="4"/>
  <c r="AV174" i="4"/>
  <c r="AX173" i="4"/>
  <c r="BA157" i="4"/>
  <c r="BA161" i="4"/>
  <c r="BA165" i="4"/>
  <c r="BB165" i="4"/>
  <c r="BC165" i="4"/>
  <c r="BA169" i="4"/>
  <c r="AZ157" i="4"/>
  <c r="AZ161" i="4"/>
  <c r="AZ165" i="4"/>
  <c r="AZ169" i="4"/>
  <c r="AZ173" i="4"/>
  <c r="AV173" i="4"/>
  <c r="AX172" i="4"/>
  <c r="AV172" i="4"/>
  <c r="AX171" i="4"/>
  <c r="AV171" i="4"/>
  <c r="AX170" i="4"/>
  <c r="AV170" i="4"/>
  <c r="AX169" i="4"/>
  <c r="AV169" i="4"/>
  <c r="AX168" i="4"/>
  <c r="AV168" i="4"/>
  <c r="AX167" i="4"/>
  <c r="AV167" i="4"/>
  <c r="AX166" i="4"/>
  <c r="AV166" i="4"/>
  <c r="AX165" i="4"/>
  <c r="AV165" i="4"/>
  <c r="AX164" i="4"/>
  <c r="AV164" i="4"/>
  <c r="AX163" i="4"/>
  <c r="AV163" i="4"/>
  <c r="AJ186" i="4"/>
  <c r="AL170" i="4"/>
  <c r="AL174" i="4"/>
  <c r="AL178" i="4"/>
  <c r="AL182" i="4"/>
  <c r="AL186" i="4"/>
  <c r="AL190" i="4"/>
  <c r="AH186" i="4"/>
  <c r="AJ185" i="4"/>
  <c r="AM157" i="4"/>
  <c r="AM161" i="4"/>
  <c r="AM165" i="4"/>
  <c r="AM169" i="4"/>
  <c r="AM173" i="4"/>
  <c r="AM177" i="4"/>
  <c r="AL157" i="4"/>
  <c r="AL161" i="4"/>
  <c r="AL165" i="4"/>
  <c r="AL169" i="4"/>
  <c r="AL173" i="4"/>
  <c r="AL177" i="4"/>
  <c r="AL181" i="4"/>
  <c r="AL185" i="4"/>
  <c r="AL189" i="4"/>
  <c r="AH185" i="4"/>
  <c r="AJ184" i="4"/>
  <c r="AM156" i="4"/>
  <c r="AM160" i="4"/>
  <c r="AM164" i="4"/>
  <c r="AM168" i="4"/>
  <c r="AM172" i="4"/>
  <c r="AM176" i="4"/>
  <c r="AL156" i="4"/>
  <c r="AL160" i="4"/>
  <c r="AL164" i="4"/>
  <c r="AL168" i="4"/>
  <c r="AL172" i="4"/>
  <c r="AL176" i="4"/>
  <c r="AL180" i="4"/>
  <c r="AL184" i="4"/>
  <c r="AH184" i="4"/>
  <c r="AJ183" i="4"/>
  <c r="AH183" i="4"/>
  <c r="AJ182" i="4"/>
  <c r="AH182" i="4"/>
  <c r="AJ181" i="4"/>
  <c r="AH181" i="4"/>
  <c r="AJ180" i="4"/>
  <c r="AH180" i="4"/>
  <c r="AJ179" i="4"/>
  <c r="AM155" i="4"/>
  <c r="AM159" i="4"/>
  <c r="AM163" i="4"/>
  <c r="AM167" i="4"/>
  <c r="AM171" i="4"/>
  <c r="AM175" i="4"/>
  <c r="AM179" i="4"/>
  <c r="AN179" i="4"/>
  <c r="AH179" i="4"/>
  <c r="AJ178" i="4"/>
  <c r="AH178" i="4"/>
  <c r="AJ177" i="4"/>
  <c r="AH177" i="4"/>
  <c r="AJ176" i="4"/>
  <c r="AH176" i="4"/>
  <c r="AJ175" i="4"/>
  <c r="AN175" i="4"/>
  <c r="AO175" i="4"/>
  <c r="AL159" i="4"/>
  <c r="AL163" i="4"/>
  <c r="AL167" i="4"/>
  <c r="AL171" i="4"/>
  <c r="AL175" i="4"/>
  <c r="AH175" i="4"/>
  <c r="AJ174" i="4"/>
  <c r="AH174" i="4"/>
  <c r="AJ173" i="4"/>
  <c r="AH173" i="4"/>
  <c r="AJ172" i="4"/>
  <c r="AH172" i="4"/>
  <c r="AJ171" i="4"/>
  <c r="AH171" i="4"/>
  <c r="AJ170" i="4"/>
  <c r="AH170" i="4"/>
  <c r="AJ169" i="4"/>
  <c r="AH169" i="4"/>
  <c r="AJ168" i="4"/>
  <c r="AH168" i="4"/>
  <c r="AJ167" i="4"/>
  <c r="AH167" i="4"/>
  <c r="AJ166" i="4"/>
  <c r="AH166" i="4"/>
  <c r="AJ165" i="4"/>
  <c r="AH165" i="4"/>
  <c r="AJ164" i="4"/>
  <c r="AH164" i="4"/>
  <c r="AJ163" i="4"/>
  <c r="AN163" i="4"/>
  <c r="AO163" i="4"/>
  <c r="AH163" i="4"/>
  <c r="V186" i="4"/>
  <c r="Y158" i="4"/>
  <c r="Y162" i="4"/>
  <c r="Y166" i="4"/>
  <c r="Y170" i="4"/>
  <c r="Y174" i="4"/>
  <c r="Y178" i="4"/>
  <c r="X186" i="4"/>
  <c r="T186" i="4"/>
  <c r="V185" i="4"/>
  <c r="Y157" i="4"/>
  <c r="Y161" i="4"/>
  <c r="Y165" i="4"/>
  <c r="Y169" i="4"/>
  <c r="Y173" i="4"/>
  <c r="Y177" i="4"/>
  <c r="Y181" i="4"/>
  <c r="Y185" i="4"/>
  <c r="Y189" i="4"/>
  <c r="X157" i="4"/>
  <c r="X161" i="4"/>
  <c r="X165" i="4"/>
  <c r="X169" i="4"/>
  <c r="X173" i="4"/>
  <c r="X177" i="4"/>
  <c r="X181" i="4"/>
  <c r="X185" i="4"/>
  <c r="X189" i="4"/>
  <c r="T185" i="4"/>
  <c r="V184" i="4"/>
  <c r="Y156" i="4"/>
  <c r="Y160" i="4"/>
  <c r="Y164" i="4"/>
  <c r="Y168" i="4"/>
  <c r="Y172" i="4"/>
  <c r="Y176" i="4"/>
  <c r="Y180" i="4"/>
  <c r="Y184" i="4"/>
  <c r="X156" i="4"/>
  <c r="X160" i="4"/>
  <c r="X164" i="4"/>
  <c r="X168" i="4"/>
  <c r="X172" i="4"/>
  <c r="X176" i="4"/>
  <c r="X180" i="4"/>
  <c r="X184" i="4"/>
  <c r="X188" i="4"/>
  <c r="T184" i="4"/>
  <c r="V183" i="4"/>
  <c r="Y155" i="4"/>
  <c r="Y159" i="4"/>
  <c r="Y163" i="4"/>
  <c r="Y167" i="4"/>
  <c r="Y171" i="4"/>
  <c r="Y175" i="4"/>
  <c r="Y179" i="4"/>
  <c r="Y183" i="4"/>
  <c r="Y187" i="4"/>
  <c r="Z187" i="4"/>
  <c r="AA187" i="4"/>
  <c r="X155" i="4"/>
  <c r="X159" i="4"/>
  <c r="X163" i="4"/>
  <c r="X167" i="4"/>
  <c r="X171" i="4"/>
  <c r="X175" i="4"/>
  <c r="X179" i="4"/>
  <c r="X183" i="4"/>
  <c r="T183" i="4"/>
  <c r="V182" i="4"/>
  <c r="T182" i="4"/>
  <c r="V181" i="4"/>
  <c r="T181" i="4"/>
  <c r="V180" i="4"/>
  <c r="T180" i="4"/>
  <c r="V179" i="4"/>
  <c r="T179" i="4"/>
  <c r="V178" i="4"/>
  <c r="X158" i="4"/>
  <c r="X162" i="4"/>
  <c r="X166" i="4"/>
  <c r="X170" i="4"/>
  <c r="X174" i="4"/>
  <c r="X178" i="4"/>
  <c r="T178" i="4"/>
  <c r="V177" i="4"/>
  <c r="T177" i="4"/>
  <c r="V176" i="4"/>
  <c r="Z176" i="4"/>
  <c r="T176" i="4"/>
  <c r="V175" i="4"/>
  <c r="T175" i="4"/>
  <c r="V174" i="4"/>
  <c r="T174" i="4"/>
  <c r="V173" i="4"/>
  <c r="T173" i="4"/>
  <c r="V172" i="4"/>
  <c r="Z172" i="4"/>
  <c r="AA172" i="4"/>
  <c r="T172" i="4"/>
  <c r="V171" i="4"/>
  <c r="T171" i="4"/>
  <c r="V170" i="4"/>
  <c r="Z170" i="4"/>
  <c r="T170" i="4"/>
  <c r="V169" i="4"/>
  <c r="T169" i="4"/>
  <c r="V168" i="4"/>
  <c r="T168" i="4"/>
  <c r="V167" i="4"/>
  <c r="Z167" i="4"/>
  <c r="T167" i="4"/>
  <c r="V166" i="4"/>
  <c r="Z166" i="4"/>
  <c r="AA166" i="4"/>
  <c r="T166" i="4"/>
  <c r="V165" i="4"/>
  <c r="Z165" i="4"/>
  <c r="AA165" i="4"/>
  <c r="T165" i="4"/>
  <c r="V164" i="4"/>
  <c r="Z164" i="4"/>
  <c r="T164" i="4"/>
  <c r="V163" i="4"/>
  <c r="T163" i="4"/>
  <c r="H170" i="4"/>
  <c r="K158" i="4"/>
  <c r="K162" i="4"/>
  <c r="K166" i="4"/>
  <c r="K170" i="4"/>
  <c r="K174" i="4"/>
  <c r="K178" i="4"/>
  <c r="K182" i="4"/>
  <c r="J158" i="4"/>
  <c r="J162" i="4"/>
  <c r="J166" i="4"/>
  <c r="J170" i="4"/>
  <c r="J174" i="4"/>
  <c r="J178" i="4"/>
  <c r="J182" i="4"/>
  <c r="J186" i="4"/>
  <c r="J190" i="4"/>
  <c r="H169" i="4"/>
  <c r="K157" i="4"/>
  <c r="K161" i="4"/>
  <c r="K165" i="4"/>
  <c r="L165" i="4"/>
  <c r="J165" i="4"/>
  <c r="J169" i="4"/>
  <c r="H168" i="4"/>
  <c r="K156" i="4"/>
  <c r="K160" i="4"/>
  <c r="K164" i="4"/>
  <c r="K168" i="4"/>
  <c r="J156" i="4"/>
  <c r="J160" i="4"/>
  <c r="J164" i="4"/>
  <c r="J168" i="4"/>
  <c r="J172" i="4"/>
  <c r="J176" i="4"/>
  <c r="J180" i="4"/>
  <c r="H167" i="4"/>
  <c r="K155" i="4"/>
  <c r="K159" i="4"/>
  <c r="K163" i="4"/>
  <c r="L163" i="4"/>
  <c r="J163" i="4"/>
  <c r="J167" i="4"/>
  <c r="H166" i="4"/>
  <c r="H165" i="4"/>
  <c r="H164" i="4"/>
  <c r="H163" i="4"/>
  <c r="M163" i="4"/>
  <c r="H186" i="4"/>
  <c r="H185" i="4"/>
  <c r="L185" i="4"/>
  <c r="M185" i="4"/>
  <c r="H184" i="4"/>
  <c r="J184" i="4"/>
  <c r="J188" i="4"/>
  <c r="H183" i="4"/>
  <c r="L183" i="4"/>
  <c r="K183" i="4"/>
  <c r="J183" i="4"/>
  <c r="H182" i="4"/>
  <c r="H181" i="4"/>
  <c r="J173" i="4"/>
  <c r="J177" i="4"/>
  <c r="J181" i="4"/>
  <c r="H180" i="4"/>
  <c r="H179" i="4"/>
  <c r="H178" i="4"/>
  <c r="H177" i="4"/>
  <c r="H176" i="4"/>
  <c r="H175" i="4"/>
  <c r="J175" i="4"/>
  <c r="AX162" i="4"/>
  <c r="AV162" i="4"/>
  <c r="AJ162" i="4"/>
  <c r="AH162" i="4"/>
  <c r="V162" i="4"/>
  <c r="T162" i="4"/>
  <c r="H162" i="4"/>
  <c r="F162" i="4"/>
  <c r="AX161" i="4"/>
  <c r="AV161" i="4"/>
  <c r="AJ161" i="4"/>
  <c r="AH161" i="4"/>
  <c r="V161" i="4"/>
  <c r="T161" i="4"/>
  <c r="H161" i="4"/>
  <c r="F161" i="4"/>
  <c r="AX160" i="4"/>
  <c r="AV160" i="4"/>
  <c r="AJ160" i="4"/>
  <c r="AH160" i="4"/>
  <c r="V160" i="4"/>
  <c r="T160" i="4"/>
  <c r="H160" i="4"/>
  <c r="F160" i="4"/>
  <c r="AX159" i="4"/>
  <c r="AV159" i="4"/>
  <c r="AR159" i="4"/>
  <c r="AJ159" i="4"/>
  <c r="AH159" i="4"/>
  <c r="AD159" i="4"/>
  <c r="V159" i="4"/>
  <c r="T159" i="4"/>
  <c r="P159" i="4"/>
  <c r="H159" i="4"/>
  <c r="F159" i="4"/>
  <c r="AX158" i="4"/>
  <c r="AV158" i="4"/>
  <c r="AL158" i="4"/>
  <c r="AJ158" i="4"/>
  <c r="AH158" i="4"/>
  <c r="V158" i="4"/>
  <c r="T158" i="4"/>
  <c r="H158" i="4"/>
  <c r="F158" i="4"/>
  <c r="AX157" i="4"/>
  <c r="AV157" i="4"/>
  <c r="BB161" i="4"/>
  <c r="AJ157" i="4"/>
  <c r="AH157" i="4"/>
  <c r="V157" i="4"/>
  <c r="T157" i="4"/>
  <c r="Z157" i="4"/>
  <c r="AA157" i="4"/>
  <c r="J157" i="4"/>
  <c r="H157" i="4"/>
  <c r="F157" i="4"/>
  <c r="AZ156" i="4"/>
  <c r="AZ160" i="4"/>
  <c r="AX156" i="4"/>
  <c r="AV156" i="4"/>
  <c r="AJ156" i="4"/>
  <c r="AH156" i="4"/>
  <c r="V156" i="4"/>
  <c r="T156" i="4"/>
  <c r="H156" i="4"/>
  <c r="F156" i="4"/>
  <c r="AZ159" i="4"/>
  <c r="AX155" i="4"/>
  <c r="AV155" i="4"/>
  <c r="AR155" i="4"/>
  <c r="AJ155" i="4"/>
  <c r="AH155" i="4"/>
  <c r="AD155" i="4"/>
  <c r="V155" i="4"/>
  <c r="T155" i="4"/>
  <c r="P155" i="4"/>
  <c r="J155" i="4"/>
  <c r="H155" i="4"/>
  <c r="F155" i="4"/>
  <c r="AL220" i="4"/>
  <c r="AJ220" i="4"/>
  <c r="AK221" i="4"/>
  <c r="AH220" i="4"/>
  <c r="F220" i="4"/>
  <c r="BA216" i="4"/>
  <c r="AZ216" i="4"/>
  <c r="AM216" i="4"/>
  <c r="AL216" i="4"/>
  <c r="Y216" i="4"/>
  <c r="X216" i="4"/>
  <c r="K216" i="4"/>
  <c r="J216" i="4"/>
  <c r="BA215" i="4"/>
  <c r="AZ215" i="4"/>
  <c r="AM215" i="4"/>
  <c r="AL215" i="4"/>
  <c r="Y215" i="4"/>
  <c r="X215" i="4"/>
  <c r="K215" i="4"/>
  <c r="J215" i="4"/>
  <c r="BA214" i="4"/>
  <c r="AZ214" i="4"/>
  <c r="AM214" i="4"/>
  <c r="AL214" i="4"/>
  <c r="Y214" i="4"/>
  <c r="X214" i="4"/>
  <c r="K214" i="4"/>
  <c r="J214" i="4"/>
  <c r="BA213" i="4"/>
  <c r="AZ213" i="4"/>
  <c r="AM213" i="4"/>
  <c r="AL213" i="4"/>
  <c r="Y213" i="4"/>
  <c r="X213" i="4"/>
  <c r="K213" i="4"/>
  <c r="J213" i="4"/>
  <c r="BB206" i="4"/>
  <c r="AZ206" i="4"/>
  <c r="AX206" i="4"/>
  <c r="BC206" i="4"/>
  <c r="AV206" i="4"/>
  <c r="BA206" i="4"/>
  <c r="AN206" i="4"/>
  <c r="AL206" i="4"/>
  <c r="AJ206" i="4"/>
  <c r="AO206" i="4"/>
  <c r="AH206" i="4"/>
  <c r="AM206" i="4"/>
  <c r="Z206" i="4"/>
  <c r="Y206" i="4"/>
  <c r="X206" i="4"/>
  <c r="V206" i="4"/>
  <c r="AA206" i="4"/>
  <c r="T206" i="4"/>
  <c r="L206" i="4"/>
  <c r="J206" i="4"/>
  <c r="H206" i="4"/>
  <c r="M206" i="4"/>
  <c r="F206" i="4"/>
  <c r="K206" i="4"/>
  <c r="BB205" i="4"/>
  <c r="BA205" i="4"/>
  <c r="AZ205" i="4"/>
  <c r="AX205" i="4"/>
  <c r="BC205" i="4"/>
  <c r="AV205" i="4"/>
  <c r="AN205" i="4"/>
  <c r="AL205" i="4"/>
  <c r="AJ205" i="4"/>
  <c r="AO205" i="4"/>
  <c r="AH205" i="4"/>
  <c r="AM205" i="4"/>
  <c r="V205" i="4"/>
  <c r="AA205" i="4"/>
  <c r="Z205" i="4"/>
  <c r="X205" i="4"/>
  <c r="T205" i="4"/>
  <c r="Y205" i="4"/>
  <c r="L205" i="4"/>
  <c r="J205" i="4"/>
  <c r="H205" i="4"/>
  <c r="M205" i="4"/>
  <c r="F205" i="4"/>
  <c r="K205" i="4"/>
  <c r="BB204" i="4"/>
  <c r="AZ204" i="4"/>
  <c r="AX204" i="4"/>
  <c r="BC204" i="4"/>
  <c r="AV204" i="4"/>
  <c r="BA204" i="4"/>
  <c r="AN204" i="4"/>
  <c r="AL204" i="4"/>
  <c r="AJ204" i="4"/>
  <c r="AO204" i="4"/>
  <c r="AH204" i="4"/>
  <c r="AM204" i="4"/>
  <c r="Z204" i="4"/>
  <c r="X204" i="4"/>
  <c r="V204" i="4"/>
  <c r="AA204" i="4"/>
  <c r="T204" i="4"/>
  <c r="Y204" i="4"/>
  <c r="L204" i="4"/>
  <c r="K204" i="4"/>
  <c r="J204" i="4"/>
  <c r="H204" i="4"/>
  <c r="M204" i="4"/>
  <c r="F204" i="4"/>
  <c r="BP203" i="4"/>
  <c r="BQ203" i="4"/>
  <c r="BL203" i="4"/>
  <c r="BB203" i="4"/>
  <c r="AZ203" i="4"/>
  <c r="AX203" i="4"/>
  <c r="BC203" i="4"/>
  <c r="AV203" i="4"/>
  <c r="BA203" i="4"/>
  <c r="AR203" i="4"/>
  <c r="AN203" i="4"/>
  <c r="AL203" i="4"/>
  <c r="AJ203" i="4"/>
  <c r="AO203" i="4"/>
  <c r="AH203" i="4"/>
  <c r="AM203" i="4"/>
  <c r="AD203" i="4"/>
  <c r="Z203" i="4"/>
  <c r="X203" i="4"/>
  <c r="V203" i="4"/>
  <c r="AA203" i="4"/>
  <c r="T203" i="4"/>
  <c r="Y203" i="4"/>
  <c r="P203" i="4"/>
  <c r="L203" i="4"/>
  <c r="J203" i="4"/>
  <c r="H203" i="4"/>
  <c r="M203" i="4"/>
  <c r="F203" i="4"/>
  <c r="K203" i="4"/>
  <c r="BP202" i="4"/>
  <c r="BQ202" i="4"/>
  <c r="BL202" i="4"/>
  <c r="BB202" i="4"/>
  <c r="AZ202" i="4"/>
  <c r="AX202" i="4"/>
  <c r="BC202" i="4"/>
  <c r="AV202" i="4"/>
  <c r="BA202" i="4"/>
  <c r="AN202" i="4"/>
  <c r="AL202" i="4"/>
  <c r="AJ202" i="4"/>
  <c r="AO202" i="4"/>
  <c r="AH202" i="4"/>
  <c r="AM202" i="4"/>
  <c r="Z202" i="4"/>
  <c r="X202" i="4"/>
  <c r="V202" i="4"/>
  <c r="AA202" i="4"/>
  <c r="T202" i="4"/>
  <c r="Y202" i="4"/>
  <c r="M202" i="4"/>
  <c r="L202" i="4"/>
  <c r="J202" i="4"/>
  <c r="F202" i="4"/>
  <c r="K202" i="4"/>
  <c r="BP201" i="4"/>
  <c r="BQ201" i="4"/>
  <c r="BL201" i="4"/>
  <c r="BB201" i="4"/>
  <c r="AZ201" i="4"/>
  <c r="AX201" i="4"/>
  <c r="BC201" i="4"/>
  <c r="AV201" i="4"/>
  <c r="BA201" i="4"/>
  <c r="AN201" i="4"/>
  <c r="AL201" i="4"/>
  <c r="AJ201" i="4"/>
  <c r="AO201" i="4"/>
  <c r="AH201" i="4"/>
  <c r="AM201" i="4"/>
  <c r="Z201" i="4"/>
  <c r="X201" i="4"/>
  <c r="V201" i="4"/>
  <c r="AA201" i="4"/>
  <c r="T201" i="4"/>
  <c r="Y201" i="4"/>
  <c r="L201" i="4"/>
  <c r="J201" i="4"/>
  <c r="H201" i="4"/>
  <c r="M201" i="4"/>
  <c r="F201" i="4"/>
  <c r="K201" i="4"/>
  <c r="BP200" i="4"/>
  <c r="BQ200" i="4"/>
  <c r="BL200" i="4"/>
  <c r="AX200" i="4"/>
  <c r="BC200" i="4"/>
  <c r="BB200" i="4"/>
  <c r="AZ200" i="4"/>
  <c r="AV200" i="4"/>
  <c r="BA200" i="4"/>
  <c r="AN200" i="4"/>
  <c r="AL200" i="4"/>
  <c r="AJ200" i="4"/>
  <c r="AO200" i="4"/>
  <c r="AH200" i="4"/>
  <c r="AM200" i="4"/>
  <c r="Z200" i="4"/>
  <c r="X200" i="4"/>
  <c r="V200" i="4"/>
  <c r="AA200" i="4"/>
  <c r="T200" i="4"/>
  <c r="L200" i="4"/>
  <c r="K200" i="4"/>
  <c r="J200" i="4"/>
  <c r="H200" i="4"/>
  <c r="M200" i="4"/>
  <c r="F200" i="4"/>
  <c r="BB199" i="4"/>
  <c r="AZ199" i="4"/>
  <c r="AX199" i="4"/>
  <c r="BC199" i="4"/>
  <c r="AV199" i="4"/>
  <c r="BA199" i="4"/>
  <c r="AR199" i="4"/>
  <c r="AJ199" i="4"/>
  <c r="AO199" i="4"/>
  <c r="AN199" i="4"/>
  <c r="AL199" i="4"/>
  <c r="AH199" i="4"/>
  <c r="AM199" i="4"/>
  <c r="AD199" i="4"/>
  <c r="Z199" i="4"/>
  <c r="Y199" i="4"/>
  <c r="X199" i="4"/>
  <c r="V199" i="4"/>
  <c r="AA199" i="4"/>
  <c r="T199" i="4"/>
  <c r="P199" i="4"/>
  <c r="L199" i="4"/>
  <c r="J199" i="4"/>
  <c r="H199" i="4"/>
  <c r="M199" i="4"/>
  <c r="F199" i="4"/>
  <c r="K199" i="4"/>
  <c r="BP198" i="4"/>
  <c r="BQ198" i="4"/>
  <c r="BL198" i="4"/>
  <c r="BB198" i="4"/>
  <c r="AZ198" i="4"/>
  <c r="AX198" i="4"/>
  <c r="BC198" i="4"/>
  <c r="AV198" i="4"/>
  <c r="BA198" i="4"/>
  <c r="AN198" i="4"/>
  <c r="AL198" i="4"/>
  <c r="AJ198" i="4"/>
  <c r="AO198" i="4"/>
  <c r="AH198" i="4"/>
  <c r="AM198" i="4"/>
  <c r="Z198" i="4"/>
  <c r="X198" i="4"/>
  <c r="V198" i="4"/>
  <c r="AA198" i="4"/>
  <c r="T198" i="4"/>
  <c r="Y198" i="4"/>
  <c r="L198" i="4"/>
  <c r="J198" i="4"/>
  <c r="H198" i="4"/>
  <c r="M198" i="4"/>
  <c r="F198" i="4"/>
  <c r="K198" i="4"/>
  <c r="BP197" i="4"/>
  <c r="BQ197" i="4"/>
  <c r="BL197" i="4"/>
  <c r="AX197" i="4"/>
  <c r="BC197" i="4"/>
  <c r="BB197" i="4"/>
  <c r="AZ197" i="4"/>
  <c r="AV197" i="4"/>
  <c r="BA197" i="4"/>
  <c r="AJ197" i="4"/>
  <c r="AO197" i="4"/>
  <c r="AN197" i="4"/>
  <c r="AL197" i="4"/>
  <c r="AH197" i="4"/>
  <c r="AM197" i="4"/>
  <c r="Z197" i="4"/>
  <c r="X197" i="4"/>
  <c r="V197" i="4"/>
  <c r="AA197" i="4"/>
  <c r="T197" i="4"/>
  <c r="Y197" i="4"/>
  <c r="L197" i="4"/>
  <c r="K197" i="4"/>
  <c r="J197" i="4"/>
  <c r="H197" i="4"/>
  <c r="M197" i="4"/>
  <c r="BP196" i="4"/>
  <c r="BQ196" i="4"/>
  <c r="BL196" i="4"/>
  <c r="BB196" i="4"/>
  <c r="AZ196" i="4"/>
  <c r="AX196" i="4"/>
  <c r="BC196" i="4"/>
  <c r="AV196" i="4"/>
  <c r="BA196" i="4"/>
  <c r="AN196" i="4"/>
  <c r="AL196" i="4"/>
  <c r="AJ196" i="4"/>
  <c r="AO196" i="4"/>
  <c r="AH196" i="4"/>
  <c r="AM196" i="4"/>
  <c r="V196" i="4"/>
  <c r="AA196" i="4"/>
  <c r="Z196" i="4"/>
  <c r="X196" i="4"/>
  <c r="T196" i="4"/>
  <c r="Y196" i="4"/>
  <c r="L196" i="4"/>
  <c r="K196" i="4"/>
  <c r="J196" i="4"/>
  <c r="H196" i="4"/>
  <c r="M196" i="4"/>
  <c r="F196" i="4"/>
  <c r="BP195" i="4"/>
  <c r="BQ195" i="4"/>
  <c r="BL195" i="4"/>
  <c r="BB195" i="4"/>
  <c r="AZ195" i="4"/>
  <c r="AX195" i="4"/>
  <c r="BC195" i="4"/>
  <c r="AV195" i="4"/>
  <c r="BA195" i="4"/>
  <c r="AR195" i="4"/>
  <c r="AJ195" i="4"/>
  <c r="AO195" i="4"/>
  <c r="AN195" i="4"/>
  <c r="AL195" i="4"/>
  <c r="AH195" i="4"/>
  <c r="AM195" i="4"/>
  <c r="AD195" i="4"/>
  <c r="Z195" i="4"/>
  <c r="X195" i="4"/>
  <c r="V195" i="4"/>
  <c r="AA195" i="4"/>
  <c r="T195" i="4"/>
  <c r="Y195" i="4"/>
  <c r="P195" i="4"/>
  <c r="L195" i="4"/>
  <c r="J195" i="4"/>
  <c r="H195" i="4"/>
  <c r="M195" i="4"/>
  <c r="F195" i="4"/>
  <c r="BP194" i="4"/>
  <c r="BQ194" i="4"/>
  <c r="BL194" i="4"/>
  <c r="BP193" i="4"/>
  <c r="BQ193" i="4"/>
  <c r="BL193" i="4"/>
  <c r="BP192" i="4"/>
  <c r="BQ192" i="4"/>
  <c r="BL192" i="4"/>
  <c r="BP191" i="4"/>
  <c r="BQ191" i="4"/>
  <c r="BL191" i="4"/>
  <c r="BP190" i="4"/>
  <c r="BQ190" i="4"/>
  <c r="BL190" i="4"/>
  <c r="AX190" i="4"/>
  <c r="AV190" i="4"/>
  <c r="AJ190" i="4"/>
  <c r="AH190" i="4"/>
  <c r="V190" i="4"/>
  <c r="X190" i="4"/>
  <c r="T190" i="4"/>
  <c r="H190" i="4"/>
  <c r="F190" i="4"/>
  <c r="BP189" i="4"/>
  <c r="BQ189" i="4"/>
  <c r="BL189" i="4"/>
  <c r="AX189" i="4"/>
  <c r="AV189" i="4"/>
  <c r="AJ189" i="4"/>
  <c r="AH189" i="4"/>
  <c r="V189" i="4"/>
  <c r="T189" i="4"/>
  <c r="H189" i="4"/>
  <c r="K189" i="4"/>
  <c r="L189" i="4"/>
  <c r="M189" i="4"/>
  <c r="J189" i="4"/>
  <c r="F189" i="4"/>
  <c r="BP188" i="4"/>
  <c r="BQ188" i="4"/>
  <c r="BL188" i="4"/>
  <c r="AX188" i="4"/>
  <c r="AV188" i="4"/>
  <c r="AJ188" i="4"/>
  <c r="AH188" i="4"/>
  <c r="V188" i="4"/>
  <c r="T188" i="4"/>
  <c r="H188" i="4"/>
  <c r="F188" i="4"/>
  <c r="BP187" i="4"/>
  <c r="BQ187" i="4"/>
  <c r="BL187" i="4"/>
  <c r="AX187" i="4"/>
  <c r="BB187" i="4"/>
  <c r="BC187" i="4"/>
  <c r="AV187" i="4"/>
  <c r="AR187" i="4"/>
  <c r="AJ187" i="4"/>
  <c r="AM187" i="4"/>
  <c r="AN187" i="4"/>
  <c r="AO187" i="4"/>
  <c r="AL187" i="4"/>
  <c r="AH187" i="4"/>
  <c r="AD187" i="4"/>
  <c r="V187" i="4"/>
  <c r="X187" i="4"/>
  <c r="T187" i="4"/>
  <c r="P187" i="4"/>
  <c r="H187" i="4"/>
  <c r="K187" i="4"/>
  <c r="J187" i="4"/>
  <c r="F187" i="4"/>
  <c r="BP186" i="4"/>
  <c r="BQ186" i="4"/>
  <c r="BL186" i="4"/>
  <c r="F186" i="4"/>
  <c r="BP185" i="4"/>
  <c r="BQ185" i="4"/>
  <c r="BL185" i="4"/>
  <c r="F185" i="4"/>
  <c r="BP184" i="4"/>
  <c r="BQ184" i="4"/>
  <c r="BL184" i="4"/>
  <c r="F184" i="4"/>
  <c r="BP183" i="4"/>
  <c r="BQ183" i="4"/>
  <c r="BL183" i="4"/>
  <c r="AR183" i="4"/>
  <c r="AD183" i="4"/>
  <c r="P183" i="4"/>
  <c r="M183" i="4"/>
  <c r="F183" i="4"/>
  <c r="BP182" i="4"/>
  <c r="BQ182" i="4"/>
  <c r="BL182" i="4"/>
  <c r="F182" i="4"/>
  <c r="BP181" i="4"/>
  <c r="BQ181" i="4"/>
  <c r="BL181" i="4"/>
  <c r="F181" i="4"/>
  <c r="BP180" i="4"/>
  <c r="BQ180" i="4"/>
  <c r="BL180" i="4"/>
  <c r="F180" i="4"/>
  <c r="BP179" i="4"/>
  <c r="BQ179" i="4"/>
  <c r="BL179" i="4"/>
  <c r="AR179" i="4"/>
  <c r="AD179" i="4"/>
  <c r="P179" i="4"/>
  <c r="F179" i="4"/>
  <c r="BP178" i="4"/>
  <c r="BQ178" i="4"/>
  <c r="BL178" i="4"/>
  <c r="F178" i="4"/>
  <c r="BP177" i="4"/>
  <c r="BQ177" i="4"/>
  <c r="BL177" i="4"/>
  <c r="F177" i="4"/>
  <c r="BP176" i="4"/>
  <c r="BQ176" i="4"/>
  <c r="BL176" i="4"/>
  <c r="BJ176" i="4"/>
  <c r="F176" i="4"/>
  <c r="BP175" i="4"/>
  <c r="BQ175" i="4"/>
  <c r="BL175" i="4"/>
  <c r="BJ175" i="4"/>
  <c r="AR175" i="4"/>
  <c r="AD175" i="4"/>
  <c r="P175" i="4"/>
  <c r="F175" i="4"/>
  <c r="BP174" i="4"/>
  <c r="BQ174" i="4"/>
  <c r="BL174" i="4"/>
  <c r="H174" i="4"/>
  <c r="F174" i="4"/>
  <c r="BP173" i="4"/>
  <c r="BQ173" i="4"/>
  <c r="BL173" i="4"/>
  <c r="BJ173" i="4"/>
  <c r="H173" i="4"/>
  <c r="F173" i="4"/>
  <c r="BP172" i="4"/>
  <c r="BQ172" i="4"/>
  <c r="BL172" i="4"/>
  <c r="BJ172" i="4"/>
  <c r="H172" i="4"/>
  <c r="F172" i="4"/>
  <c r="BO171" i="4"/>
  <c r="BP171" i="4"/>
  <c r="BQ171" i="4"/>
  <c r="BL171" i="4"/>
  <c r="BJ171" i="4"/>
  <c r="AR171" i="4"/>
  <c r="AD171" i="4"/>
  <c r="P171" i="4"/>
  <c r="H171" i="4"/>
  <c r="F171" i="4"/>
  <c r="BO170" i="4"/>
  <c r="BP170" i="4"/>
  <c r="BQ170" i="4"/>
  <c r="BL170" i="4"/>
  <c r="BJ170" i="4"/>
  <c r="BF170" i="4"/>
  <c r="F170" i="4"/>
  <c r="BO169" i="4"/>
  <c r="BP169" i="4"/>
  <c r="BQ169" i="4"/>
  <c r="BL169" i="4"/>
  <c r="BJ169" i="4"/>
  <c r="BF169" i="4"/>
  <c r="F169" i="4"/>
  <c r="BO168" i="4"/>
  <c r="BP168" i="4"/>
  <c r="BQ168" i="4"/>
  <c r="BL168" i="4"/>
  <c r="BJ168" i="4"/>
  <c r="F168" i="4"/>
  <c r="BO167" i="4"/>
  <c r="BP167" i="4"/>
  <c r="BQ167" i="4"/>
  <c r="BL167" i="4"/>
  <c r="BJ167" i="4"/>
  <c r="AR167" i="4"/>
  <c r="AD167" i="4"/>
  <c r="P167" i="4"/>
  <c r="F167" i="4"/>
  <c r="BO166" i="4"/>
  <c r="BP166" i="4"/>
  <c r="BQ166" i="4"/>
  <c r="BL166" i="4"/>
  <c r="BJ166" i="4"/>
  <c r="F166" i="4"/>
  <c r="BQ165" i="4"/>
  <c r="F165" i="4"/>
  <c r="BO164" i="4"/>
  <c r="BP164" i="4"/>
  <c r="BQ164" i="4"/>
  <c r="BL164" i="4"/>
  <c r="BJ164" i="4"/>
  <c r="BF164" i="4"/>
  <c r="F164" i="4"/>
  <c r="BO163" i="4"/>
  <c r="BP163" i="4"/>
  <c r="BQ163" i="4"/>
  <c r="BL163" i="4"/>
  <c r="BJ163" i="4"/>
  <c r="BF163" i="4"/>
  <c r="AR163" i="4"/>
  <c r="AD163" i="4"/>
  <c r="P163" i="4"/>
  <c r="F163" i="4"/>
  <c r="BO162" i="4"/>
  <c r="BP162" i="4"/>
  <c r="BQ162" i="4"/>
  <c r="BL162" i="4"/>
  <c r="BJ162" i="4"/>
  <c r="BF162" i="4"/>
  <c r="BF161" i="4"/>
  <c r="BL160" i="4"/>
  <c r="BJ160" i="4"/>
  <c r="BF160" i="4"/>
  <c r="BL159" i="4"/>
  <c r="BJ159" i="4"/>
  <c r="BF159" i="4"/>
  <c r="BL158" i="4"/>
  <c r="BJ158" i="4"/>
  <c r="BF158" i="4"/>
  <c r="BL157" i="4"/>
  <c r="BJ157" i="4"/>
  <c r="BF157" i="4"/>
  <c r="BL156" i="4"/>
  <c r="BJ156" i="4"/>
  <c r="BF156" i="4"/>
  <c r="BL155" i="4"/>
  <c r="BJ155" i="4"/>
  <c r="BF155" i="4"/>
  <c r="BL154" i="4"/>
  <c r="BJ154" i="4"/>
  <c r="BF154" i="4"/>
  <c r="BF153" i="4"/>
  <c r="BF152" i="4"/>
  <c r="H237" i="4"/>
  <c r="H238" i="4"/>
  <c r="H239" i="4"/>
  <c r="H240" i="4"/>
  <c r="BL227" i="4"/>
  <c r="AL289" i="4"/>
  <c r="AT229" i="4"/>
  <c r="BA229" i="4"/>
  <c r="AT230" i="4"/>
  <c r="BA230" i="4"/>
  <c r="AT231" i="4"/>
  <c r="BA231" i="4"/>
  <c r="AT232" i="4"/>
  <c r="BA232" i="4"/>
  <c r="BA236" i="4"/>
  <c r="AT233" i="4"/>
  <c r="BA233" i="4"/>
  <c r="AT237" i="4"/>
  <c r="BA237" i="4"/>
  <c r="AT234" i="4"/>
  <c r="AT235" i="4"/>
  <c r="AT236" i="4"/>
  <c r="AZ229" i="4"/>
  <c r="AZ233" i="4"/>
  <c r="AZ237" i="4"/>
  <c r="AZ241" i="4"/>
  <c r="AZ245" i="4"/>
  <c r="AZ249" i="4"/>
  <c r="AZ253" i="4"/>
  <c r="AZ230" i="4"/>
  <c r="AZ231" i="4"/>
  <c r="AZ235" i="4"/>
  <c r="AZ239" i="4"/>
  <c r="AZ232" i="4"/>
  <c r="AZ234" i="4"/>
  <c r="AZ238" i="4"/>
  <c r="AZ236" i="4"/>
  <c r="H229" i="4"/>
  <c r="D229" i="4"/>
  <c r="K229" i="4"/>
  <c r="D233" i="4"/>
  <c r="H230" i="4"/>
  <c r="D230" i="4"/>
  <c r="K230" i="4"/>
  <c r="L230" i="4"/>
  <c r="H231" i="4"/>
  <c r="D231" i="4"/>
  <c r="H232" i="4"/>
  <c r="D232" i="4"/>
  <c r="K232" i="4"/>
  <c r="L232" i="4"/>
  <c r="M232" i="4"/>
  <c r="H233" i="4"/>
  <c r="H234" i="4"/>
  <c r="D234" i="4"/>
  <c r="H235" i="4"/>
  <c r="D235" i="4"/>
  <c r="H236" i="4"/>
  <c r="D236" i="4"/>
  <c r="D238" i="4"/>
  <c r="D239" i="4"/>
  <c r="D240" i="4"/>
  <c r="D290" i="4"/>
  <c r="H241" i="4"/>
  <c r="D241" i="4"/>
  <c r="K241" i="4"/>
  <c r="D245" i="4"/>
  <c r="K245" i="4"/>
  <c r="K249" i="4"/>
  <c r="H245" i="4"/>
  <c r="L245" i="4"/>
  <c r="M245" i="4"/>
  <c r="H242" i="4"/>
  <c r="D242" i="4"/>
  <c r="H243" i="4"/>
  <c r="D243" i="4"/>
  <c r="H244" i="4"/>
  <c r="D244" i="4"/>
  <c r="H246" i="4"/>
  <c r="D246" i="4"/>
  <c r="H247" i="4"/>
  <c r="D247" i="4"/>
  <c r="H248" i="4"/>
  <c r="D248" i="4"/>
  <c r="H249" i="4"/>
  <c r="H250" i="4"/>
  <c r="H251" i="4"/>
  <c r="H252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V229" i="4"/>
  <c r="R229" i="4"/>
  <c r="Y229" i="4"/>
  <c r="Y233" i="4"/>
  <c r="R233" i="4"/>
  <c r="V230" i="4"/>
  <c r="R230" i="4"/>
  <c r="Y230" i="4"/>
  <c r="V231" i="4"/>
  <c r="R231" i="4"/>
  <c r="Y231" i="4"/>
  <c r="V232" i="4"/>
  <c r="R232" i="4"/>
  <c r="Y232" i="4"/>
  <c r="V233" i="4"/>
  <c r="V234" i="4"/>
  <c r="R234" i="4"/>
  <c r="V235" i="4"/>
  <c r="R235" i="4"/>
  <c r="V236" i="4"/>
  <c r="R236" i="4"/>
  <c r="V237" i="4"/>
  <c r="R237" i="4"/>
  <c r="V238" i="4"/>
  <c r="R238" i="4"/>
  <c r="V239" i="4"/>
  <c r="R239" i="4"/>
  <c r="V240" i="4"/>
  <c r="R240" i="4"/>
  <c r="V241" i="4"/>
  <c r="R241" i="4"/>
  <c r="V242" i="4"/>
  <c r="R242" i="4"/>
  <c r="V243" i="4"/>
  <c r="R243" i="4"/>
  <c r="V244" i="4"/>
  <c r="R244" i="4"/>
  <c r="V245" i="4"/>
  <c r="R245" i="4"/>
  <c r="V246" i="4"/>
  <c r="R246" i="4"/>
  <c r="V247" i="4"/>
  <c r="R247" i="4"/>
  <c r="V248" i="4"/>
  <c r="R248" i="4"/>
  <c r="V249" i="4"/>
  <c r="V250" i="4"/>
  <c r="V251" i="4"/>
  <c r="V252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AJ229" i="4"/>
  <c r="AF229" i="4"/>
  <c r="AM229" i="4"/>
  <c r="AJ230" i="4"/>
  <c r="AF230" i="4"/>
  <c r="AM230" i="4"/>
  <c r="AJ231" i="4"/>
  <c r="AF231" i="4"/>
  <c r="AM231" i="4"/>
  <c r="AJ232" i="4"/>
  <c r="AF232" i="4"/>
  <c r="AM232" i="4"/>
  <c r="AJ233" i="4"/>
  <c r="AF233" i="4"/>
  <c r="AJ234" i="4"/>
  <c r="AJ238" i="4"/>
  <c r="AJ242" i="4"/>
  <c r="AJ246" i="4"/>
  <c r="AJ249" i="4"/>
  <c r="AJ274" i="4"/>
  <c r="AJ270" i="4"/>
  <c r="AJ266" i="4"/>
  <c r="AJ262" i="4"/>
  <c r="AO262" i="4"/>
  <c r="AJ288" i="4"/>
  <c r="AF234" i="4"/>
  <c r="AJ235" i="4"/>
  <c r="AF235" i="4"/>
  <c r="AJ236" i="4"/>
  <c r="AF236" i="4"/>
  <c r="AJ237" i="4"/>
  <c r="AF237" i="4"/>
  <c r="AF238" i="4"/>
  <c r="AJ239" i="4"/>
  <c r="AF239" i="4"/>
  <c r="AJ240" i="4"/>
  <c r="AF240" i="4"/>
  <c r="AJ241" i="4"/>
  <c r="AF241" i="4"/>
  <c r="AF242" i="4"/>
  <c r="AJ243" i="4"/>
  <c r="AF243" i="4"/>
  <c r="AJ244" i="4"/>
  <c r="AF244" i="4"/>
  <c r="AJ245" i="4"/>
  <c r="AF245" i="4"/>
  <c r="AF246" i="4"/>
  <c r="AJ247" i="4"/>
  <c r="AF247" i="4"/>
  <c r="AJ248" i="4"/>
  <c r="AF248" i="4"/>
  <c r="AJ250" i="4"/>
  <c r="AJ251" i="4"/>
  <c r="AJ252" i="4"/>
  <c r="AN261" i="4"/>
  <c r="AN262" i="4"/>
  <c r="AN263" i="4"/>
  <c r="AN264" i="4"/>
  <c r="AN265" i="4"/>
  <c r="AN266" i="4"/>
  <c r="AN267" i="4"/>
  <c r="AN268" i="4"/>
  <c r="AN269" i="4"/>
  <c r="AN270" i="4"/>
  <c r="AN271" i="4"/>
  <c r="AN272" i="4"/>
  <c r="AN273" i="4"/>
  <c r="AN274" i="4"/>
  <c r="AN275" i="4"/>
  <c r="AN276" i="4"/>
  <c r="AN277" i="4"/>
  <c r="AX229" i="4"/>
  <c r="AX230" i="4"/>
  <c r="AX231" i="4"/>
  <c r="AX232" i="4"/>
  <c r="AX233" i="4"/>
  <c r="AX234" i="4"/>
  <c r="AX235" i="4"/>
  <c r="AX236" i="4"/>
  <c r="AX237" i="4"/>
  <c r="AX238" i="4"/>
  <c r="AT238" i="4"/>
  <c r="AX239" i="4"/>
  <c r="AT239" i="4"/>
  <c r="AX240" i="4"/>
  <c r="BB240" i="4"/>
  <c r="BC240" i="4"/>
  <c r="AX241" i="4"/>
  <c r="AT241" i="4"/>
  <c r="AX242" i="4"/>
  <c r="AT242" i="4"/>
  <c r="AX243" i="4"/>
  <c r="BB243" i="4"/>
  <c r="AT243" i="4"/>
  <c r="BC243" i="4"/>
  <c r="AX244" i="4"/>
  <c r="AT244" i="4"/>
  <c r="BA244" i="4"/>
  <c r="AX245" i="4"/>
  <c r="AT245" i="4"/>
  <c r="AX246" i="4"/>
  <c r="AT246" i="4"/>
  <c r="AX247" i="4"/>
  <c r="AT247" i="4"/>
  <c r="BA247" i="4"/>
  <c r="AT251" i="4"/>
  <c r="BA251" i="4"/>
  <c r="AX248" i="4"/>
  <c r="AT248" i="4"/>
  <c r="AX249" i="4"/>
  <c r="AX250" i="4"/>
  <c r="AX251" i="4"/>
  <c r="AX252" i="4"/>
  <c r="BB261" i="4"/>
  <c r="BB262" i="4"/>
  <c r="BB263" i="4"/>
  <c r="BB264" i="4"/>
  <c r="BB265" i="4"/>
  <c r="BB266" i="4"/>
  <c r="BB267" i="4"/>
  <c r="BB268" i="4"/>
  <c r="BB269" i="4"/>
  <c r="BB270" i="4"/>
  <c r="BB271" i="4"/>
  <c r="BB272" i="4"/>
  <c r="BB273" i="4"/>
  <c r="BB274" i="4"/>
  <c r="BB275" i="4"/>
  <c r="BB276" i="4"/>
  <c r="BB277" i="4"/>
  <c r="BO226" i="4"/>
  <c r="BL226" i="4"/>
  <c r="BL228" i="4"/>
  <c r="BL229" i="4"/>
  <c r="BL230" i="4"/>
  <c r="BL231" i="4"/>
  <c r="BO234" i="4"/>
  <c r="BP234" i="4"/>
  <c r="BQ234" i="4"/>
  <c r="BO235" i="4"/>
  <c r="BP235" i="4"/>
  <c r="BQ235" i="4"/>
  <c r="BO236" i="4"/>
  <c r="BP236" i="4"/>
  <c r="BQ236" i="4"/>
  <c r="BO237" i="4"/>
  <c r="BP237" i="4"/>
  <c r="BQ237" i="4"/>
  <c r="BO238" i="4"/>
  <c r="BP238" i="4"/>
  <c r="BQ238" i="4"/>
  <c r="BO240" i="4"/>
  <c r="BP240" i="4"/>
  <c r="BQ240" i="4"/>
  <c r="BO241" i="4"/>
  <c r="BP241" i="4"/>
  <c r="BQ241" i="4"/>
  <c r="BO242" i="4"/>
  <c r="BP242" i="4"/>
  <c r="BQ242" i="4"/>
  <c r="BO243" i="4"/>
  <c r="BP243" i="4"/>
  <c r="BQ243" i="4"/>
  <c r="BO244" i="4"/>
  <c r="BP244" i="4"/>
  <c r="BQ244" i="4"/>
  <c r="BO245" i="4"/>
  <c r="BP245" i="4"/>
  <c r="BQ245" i="4"/>
  <c r="BP246" i="4"/>
  <c r="BQ246" i="4"/>
  <c r="BP247" i="4"/>
  <c r="BP248" i="4"/>
  <c r="BQ248" i="4"/>
  <c r="BP249" i="4"/>
  <c r="BQ249" i="4"/>
  <c r="BP250" i="4"/>
  <c r="BQ250" i="4"/>
  <c r="BP251" i="4"/>
  <c r="BP252" i="4"/>
  <c r="BP253" i="4"/>
  <c r="BP254" i="4"/>
  <c r="BQ254" i="4"/>
  <c r="BP255" i="4"/>
  <c r="BQ255" i="4"/>
  <c r="BP256" i="4"/>
  <c r="BP257" i="4"/>
  <c r="BQ257" i="4"/>
  <c r="BP258" i="4"/>
  <c r="BQ258" i="4"/>
  <c r="BP259" i="4"/>
  <c r="BQ259" i="4"/>
  <c r="BP260" i="4"/>
  <c r="BQ260" i="4"/>
  <c r="BP261" i="4"/>
  <c r="BP262" i="4"/>
  <c r="BP263" i="4"/>
  <c r="BQ263" i="4"/>
  <c r="BP264" i="4"/>
  <c r="BQ264" i="4"/>
  <c r="BP265" i="4"/>
  <c r="BP266" i="4"/>
  <c r="BQ266" i="4"/>
  <c r="BP267" i="4"/>
  <c r="BQ267" i="4"/>
  <c r="BP268" i="4"/>
  <c r="BQ268" i="4"/>
  <c r="BP269" i="4"/>
  <c r="BP270" i="4"/>
  <c r="BQ270" i="4"/>
  <c r="BP271" i="4"/>
  <c r="BP272" i="4"/>
  <c r="BQ272" i="4"/>
  <c r="BP274" i="4"/>
  <c r="BQ274" i="4"/>
  <c r="BP275" i="4"/>
  <c r="BQ275" i="4"/>
  <c r="BP276" i="4"/>
  <c r="BQ276" i="4"/>
  <c r="BP277" i="4"/>
  <c r="BQ277" i="4"/>
  <c r="BH226" i="4"/>
  <c r="BH227" i="4"/>
  <c r="D237" i="4"/>
  <c r="AT240" i="4"/>
  <c r="BH228" i="4"/>
  <c r="BH229" i="4"/>
  <c r="BH230" i="4"/>
  <c r="D249" i="4"/>
  <c r="D250" i="4"/>
  <c r="D251" i="4"/>
  <c r="D252" i="4"/>
  <c r="R249" i="4"/>
  <c r="R250" i="4"/>
  <c r="R251" i="4"/>
  <c r="R252" i="4"/>
  <c r="AF249" i="4"/>
  <c r="AF250" i="4"/>
  <c r="AF251" i="4"/>
  <c r="AF252" i="4"/>
  <c r="AT249" i="4"/>
  <c r="AT250" i="4"/>
  <c r="AT252" i="4"/>
  <c r="BH231" i="4"/>
  <c r="D261" i="4"/>
  <c r="D262" i="4"/>
  <c r="D263" i="4"/>
  <c r="K263" i="4"/>
  <c r="D264" i="4"/>
  <c r="R261" i="4"/>
  <c r="Y261" i="4"/>
  <c r="R262" i="4"/>
  <c r="Y262" i="4"/>
  <c r="R263" i="4"/>
  <c r="Y263" i="4"/>
  <c r="R264" i="4"/>
  <c r="Y264" i="4"/>
  <c r="AF261" i="4"/>
  <c r="AM261" i="4"/>
  <c r="AF262" i="4"/>
  <c r="AM262" i="4"/>
  <c r="AF263" i="4"/>
  <c r="AM263" i="4"/>
  <c r="AF264" i="4"/>
  <c r="AM264" i="4"/>
  <c r="AT261" i="4"/>
  <c r="BA261" i="4"/>
  <c r="AT262" i="4"/>
  <c r="AT263" i="4"/>
  <c r="AT264" i="4"/>
  <c r="BA264" i="4"/>
  <c r="BH234" i="4"/>
  <c r="D265" i="4"/>
  <c r="D266" i="4"/>
  <c r="K266" i="4"/>
  <c r="D267" i="4"/>
  <c r="D268" i="4"/>
  <c r="K268" i="4"/>
  <c r="R265" i="4"/>
  <c r="Y265" i="4"/>
  <c r="R266" i="4"/>
  <c r="R267" i="4"/>
  <c r="Y267" i="4"/>
  <c r="R268" i="4"/>
  <c r="AF265" i="4"/>
  <c r="AF266" i="4"/>
  <c r="AM266" i="4"/>
  <c r="AF267" i="4"/>
  <c r="AM267" i="4"/>
  <c r="AF268" i="4"/>
  <c r="AM268" i="4"/>
  <c r="AT265" i="4"/>
  <c r="BA265" i="4"/>
  <c r="AT266" i="4"/>
  <c r="AT267" i="4"/>
  <c r="BA267" i="4"/>
  <c r="AT268" i="4"/>
  <c r="BA268" i="4"/>
  <c r="BH235" i="4"/>
  <c r="D269" i="4"/>
  <c r="D270" i="4"/>
  <c r="D271" i="4"/>
  <c r="D272" i="4"/>
  <c r="R269" i="4"/>
  <c r="R270" i="4"/>
  <c r="R271" i="4"/>
  <c r="Y271" i="4"/>
  <c r="R272" i="4"/>
  <c r="Y272" i="4"/>
  <c r="AF269" i="4"/>
  <c r="AM269" i="4"/>
  <c r="AF270" i="4"/>
  <c r="AF271" i="4"/>
  <c r="AM271" i="4"/>
  <c r="AF272" i="4"/>
  <c r="AM272" i="4"/>
  <c r="AT269" i="4"/>
  <c r="AT270" i="4"/>
  <c r="AT271" i="4"/>
  <c r="AT272" i="4"/>
  <c r="BH236" i="4"/>
  <c r="D273" i="4"/>
  <c r="D274" i="4"/>
  <c r="K274" i="4"/>
  <c r="D275" i="4"/>
  <c r="K275" i="4"/>
  <c r="D276" i="4"/>
  <c r="R273" i="4"/>
  <c r="R274" i="4"/>
  <c r="Y274" i="4"/>
  <c r="R275" i="4"/>
  <c r="Y275" i="4"/>
  <c r="R276" i="4"/>
  <c r="AF273" i="4"/>
  <c r="AF274" i="4"/>
  <c r="AF275" i="4"/>
  <c r="AM275" i="4"/>
  <c r="AF276" i="4"/>
  <c r="AT273" i="4"/>
  <c r="AT274" i="4"/>
  <c r="BA274" i="4"/>
  <c r="AT275" i="4"/>
  <c r="BA275" i="4"/>
  <c r="AT276" i="4"/>
  <c r="BH237" i="4"/>
  <c r="AM274" i="4"/>
  <c r="AM276" i="4"/>
  <c r="BA276" i="4"/>
  <c r="D277" i="4"/>
  <c r="K277" i="4"/>
  <c r="D278" i="4"/>
  <c r="K278" i="4"/>
  <c r="D279" i="4"/>
  <c r="D280" i="4"/>
  <c r="R277" i="4"/>
  <c r="R278" i="4"/>
  <c r="Y278" i="4"/>
  <c r="R279" i="4"/>
  <c r="R280" i="4"/>
  <c r="Y280" i="4"/>
  <c r="AF277" i="4"/>
  <c r="AM277" i="4"/>
  <c r="AF278" i="4"/>
  <c r="AM278" i="4"/>
  <c r="AF279" i="4"/>
  <c r="AF280" i="4"/>
  <c r="AT277" i="4"/>
  <c r="BA277" i="4"/>
  <c r="AT278" i="4"/>
  <c r="BA278" i="4"/>
  <c r="AT279" i="4"/>
  <c r="AT280" i="4"/>
  <c r="BA280" i="4"/>
  <c r="BH238" i="4"/>
  <c r="F294" i="4"/>
  <c r="AH294" i="4"/>
  <c r="AJ294" i="4"/>
  <c r="AK295" i="4"/>
  <c r="AL294" i="4"/>
  <c r="AZ264" i="4"/>
  <c r="AX264" i="4"/>
  <c r="BC264" i="4"/>
  <c r="AV264" i="4"/>
  <c r="AZ263" i="4"/>
  <c r="AX263" i="4"/>
  <c r="BC263" i="4"/>
  <c r="AV263" i="4"/>
  <c r="BA262" i="4"/>
  <c r="AZ262" i="4"/>
  <c r="AX262" i="4"/>
  <c r="BC262" i="4"/>
  <c r="AV262" i="4"/>
  <c r="AX261" i="4"/>
  <c r="BC261" i="4"/>
  <c r="AZ261" i="4"/>
  <c r="AV261" i="4"/>
  <c r="AV252" i="4"/>
  <c r="AZ247" i="4"/>
  <c r="AZ251" i="4"/>
  <c r="AZ255" i="4"/>
  <c r="AV251" i="4"/>
  <c r="AV250" i="4"/>
  <c r="AV249" i="4"/>
  <c r="AV248" i="4"/>
  <c r="AV247" i="4"/>
  <c r="AZ246" i="4"/>
  <c r="AZ250" i="4"/>
  <c r="AZ254" i="4"/>
  <c r="AV246" i="4"/>
  <c r="AV245" i="4"/>
  <c r="AV244" i="4"/>
  <c r="AV243" i="4"/>
  <c r="AV242" i="4"/>
  <c r="AV241" i="4"/>
  <c r="AV240" i="4"/>
  <c r="AV239" i="4"/>
  <c r="AV238" i="4"/>
  <c r="AV237" i="4"/>
  <c r="AV236" i="4"/>
  <c r="AV235" i="4"/>
  <c r="AV234" i="4"/>
  <c r="AV233" i="4"/>
  <c r="AX266" i="4"/>
  <c r="BC266" i="4"/>
  <c r="AX270" i="4"/>
  <c r="BC270" i="4"/>
  <c r="AX274" i="4"/>
  <c r="AL264" i="4"/>
  <c r="AJ264" i="4"/>
  <c r="AO264" i="4"/>
  <c r="AH264" i="4"/>
  <c r="AL263" i="4"/>
  <c r="AJ263" i="4"/>
  <c r="AO263" i="4"/>
  <c r="AH263" i="4"/>
  <c r="AL262" i="4"/>
  <c r="AH262" i="4"/>
  <c r="AJ261" i="4"/>
  <c r="AO261" i="4"/>
  <c r="AL261" i="4"/>
  <c r="AH261" i="4"/>
  <c r="AH252" i="4"/>
  <c r="AH251" i="4"/>
  <c r="AH250" i="4"/>
  <c r="AH249" i="4"/>
  <c r="AL240" i="4"/>
  <c r="AL244" i="4"/>
  <c r="AL248" i="4"/>
  <c r="AL252" i="4"/>
  <c r="AL256" i="4"/>
  <c r="AH248" i="4"/>
  <c r="AH247" i="4"/>
  <c r="AL230" i="4"/>
  <c r="AL234" i="4"/>
  <c r="AL238" i="4"/>
  <c r="AL242" i="4"/>
  <c r="AL246" i="4"/>
  <c r="AL250" i="4"/>
  <c r="AL254" i="4"/>
  <c r="AH246" i="4"/>
  <c r="AL229" i="4"/>
  <c r="AL233" i="4"/>
  <c r="AL237" i="4"/>
  <c r="AL241" i="4"/>
  <c r="AL245" i="4"/>
  <c r="AL249" i="4"/>
  <c r="AL253" i="4"/>
  <c r="AH245" i="4"/>
  <c r="AH244" i="4"/>
  <c r="AH243" i="4"/>
  <c r="AH242" i="4"/>
  <c r="AH241" i="4"/>
  <c r="AH240" i="4"/>
  <c r="AH239" i="4"/>
  <c r="AH238" i="4"/>
  <c r="AH237" i="4"/>
  <c r="AL232" i="4"/>
  <c r="AH236" i="4"/>
  <c r="AH235" i="4"/>
  <c r="AH234" i="4"/>
  <c r="AH233" i="4"/>
  <c r="AO266" i="4"/>
  <c r="AO270" i="4"/>
  <c r="AO274" i="4"/>
  <c r="X264" i="4"/>
  <c r="V264" i="4"/>
  <c r="AA264" i="4"/>
  <c r="T264" i="4"/>
  <c r="X263" i="4"/>
  <c r="V263" i="4"/>
  <c r="T263" i="4"/>
  <c r="X262" i="4"/>
  <c r="V262" i="4"/>
  <c r="AA262" i="4"/>
  <c r="T262" i="4"/>
  <c r="V261" i="4"/>
  <c r="AA261" i="4"/>
  <c r="X261" i="4"/>
  <c r="T261" i="4"/>
  <c r="T252" i="4"/>
  <c r="T251" i="4"/>
  <c r="T250" i="4"/>
  <c r="T249" i="4"/>
  <c r="X232" i="4"/>
  <c r="X236" i="4"/>
  <c r="X240" i="4"/>
  <c r="X244" i="4"/>
  <c r="X248" i="4"/>
  <c r="X252" i="4"/>
  <c r="X256" i="4"/>
  <c r="T248" i="4"/>
  <c r="T247" i="4"/>
  <c r="X230" i="4"/>
  <c r="X234" i="4"/>
  <c r="X238" i="4"/>
  <c r="X242" i="4"/>
  <c r="X246" i="4"/>
  <c r="X250" i="4"/>
  <c r="X254" i="4"/>
  <c r="T246" i="4"/>
  <c r="X229" i="4"/>
  <c r="X233" i="4"/>
  <c r="X237" i="4"/>
  <c r="X241" i="4"/>
  <c r="X245" i="4"/>
  <c r="X249" i="4"/>
  <c r="X253" i="4"/>
  <c r="T245" i="4"/>
  <c r="T244" i="4"/>
  <c r="T243" i="4"/>
  <c r="T242" i="4"/>
  <c r="T241" i="4"/>
  <c r="T240" i="4"/>
  <c r="T239" i="4"/>
  <c r="T238" i="4"/>
  <c r="T237" i="4"/>
  <c r="T236" i="4"/>
  <c r="V267" i="4"/>
  <c r="V271" i="4"/>
  <c r="AA271" i="4"/>
  <c r="V275" i="4"/>
  <c r="AA275" i="4"/>
  <c r="T235" i="4"/>
  <c r="T234" i="4"/>
  <c r="T233" i="4"/>
  <c r="J264" i="4"/>
  <c r="H264" i="4"/>
  <c r="M264" i="4"/>
  <c r="F264" i="4"/>
  <c r="K264" i="4"/>
  <c r="J263" i="4"/>
  <c r="H263" i="4"/>
  <c r="F263" i="4"/>
  <c r="J262" i="4"/>
  <c r="H262" i="4"/>
  <c r="M262" i="4"/>
  <c r="F262" i="4"/>
  <c r="K262" i="4"/>
  <c r="H261" i="4"/>
  <c r="M261" i="4"/>
  <c r="J261" i="4"/>
  <c r="F261" i="4"/>
  <c r="F252" i="4"/>
  <c r="F251" i="4"/>
  <c r="F250" i="4"/>
  <c r="F249" i="4"/>
  <c r="J232" i="4"/>
  <c r="J236" i="4"/>
  <c r="J240" i="4"/>
  <c r="J244" i="4"/>
  <c r="J248" i="4"/>
  <c r="J252" i="4"/>
  <c r="J256" i="4"/>
  <c r="F248" i="4"/>
  <c r="F247" i="4"/>
  <c r="J230" i="4"/>
  <c r="J234" i="4"/>
  <c r="J238" i="4"/>
  <c r="J242" i="4"/>
  <c r="J246" i="4"/>
  <c r="J250" i="4"/>
  <c r="J254" i="4"/>
  <c r="F246" i="4"/>
  <c r="J241" i="4"/>
  <c r="J245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J229" i="4"/>
  <c r="J233" i="4"/>
  <c r="F233" i="4"/>
  <c r="H268" i="4"/>
  <c r="M268" i="4"/>
  <c r="H272" i="4"/>
  <c r="BH240" i="4"/>
  <c r="BH241" i="4"/>
  <c r="BH242" i="4"/>
  <c r="BH243" i="4"/>
  <c r="BH244" i="4"/>
  <c r="BH245" i="4"/>
  <c r="BH246" i="4"/>
  <c r="BH247" i="4"/>
  <c r="BH248" i="4"/>
  <c r="BH249" i="4"/>
  <c r="BH250" i="4"/>
  <c r="BH251" i="4"/>
  <c r="BH252" i="4"/>
  <c r="BH253" i="4"/>
  <c r="BH254" i="4"/>
  <c r="BH255" i="4"/>
  <c r="BH256" i="4"/>
  <c r="BH257" i="4"/>
  <c r="BH258" i="4"/>
  <c r="BH259" i="4"/>
  <c r="BH260" i="4"/>
  <c r="BH261" i="4"/>
  <c r="BH262" i="4"/>
  <c r="BH263" i="4"/>
  <c r="BH264" i="4"/>
  <c r="BH265" i="4"/>
  <c r="BH266" i="4"/>
  <c r="BH267" i="4"/>
  <c r="BH268" i="4"/>
  <c r="BH269" i="4"/>
  <c r="BH270" i="4"/>
  <c r="BH271" i="4"/>
  <c r="BH272" i="4"/>
  <c r="BH274" i="4"/>
  <c r="BH275" i="4"/>
  <c r="BH276" i="4"/>
  <c r="AV265" i="4"/>
  <c r="AX265" i="4"/>
  <c r="BC265" i="4"/>
  <c r="AZ265" i="4"/>
  <c r="AV266" i="4"/>
  <c r="AZ266" i="4"/>
  <c r="BA266" i="4"/>
  <c r="AV267" i="4"/>
  <c r="AX267" i="4"/>
  <c r="BC267" i="4"/>
  <c r="AZ267" i="4"/>
  <c r="AV268" i="4"/>
  <c r="AX268" i="4"/>
  <c r="BC268" i="4"/>
  <c r="AZ268" i="4"/>
  <c r="AH265" i="4"/>
  <c r="AJ265" i="4"/>
  <c r="AO265" i="4"/>
  <c r="AL265" i="4"/>
  <c r="AH266" i="4"/>
  <c r="AL266" i="4"/>
  <c r="AH267" i="4"/>
  <c r="AJ267" i="4"/>
  <c r="AO267" i="4"/>
  <c r="AL267" i="4"/>
  <c r="AH268" i="4"/>
  <c r="AJ268" i="4"/>
  <c r="AO268" i="4"/>
  <c r="AL268" i="4"/>
  <c r="T265" i="4"/>
  <c r="V265" i="4"/>
  <c r="X265" i="4"/>
  <c r="T266" i="4"/>
  <c r="V266" i="4"/>
  <c r="AA266" i="4"/>
  <c r="X266" i="4"/>
  <c r="Y266" i="4"/>
  <c r="T267" i="4"/>
  <c r="X267" i="4"/>
  <c r="T268" i="4"/>
  <c r="V268" i="4"/>
  <c r="X268" i="4"/>
  <c r="Y268" i="4"/>
  <c r="BF226" i="4"/>
  <c r="BF227" i="4"/>
  <c r="BJ227" i="4"/>
  <c r="BF228" i="4"/>
  <c r="BJ228" i="4"/>
  <c r="P229" i="4"/>
  <c r="AD229" i="4"/>
  <c r="AR229" i="4"/>
  <c r="BF229" i="4"/>
  <c r="BJ229" i="4"/>
  <c r="BF230" i="4"/>
  <c r="BJ230" i="4"/>
  <c r="BF231" i="4"/>
  <c r="BJ231" i="4"/>
  <c r="BF232" i="4"/>
  <c r="P233" i="4"/>
  <c r="AD233" i="4"/>
  <c r="AR233" i="4"/>
  <c r="BF233" i="4"/>
  <c r="BF234" i="4"/>
  <c r="BJ234" i="4"/>
  <c r="BL234" i="4"/>
  <c r="BF235" i="4"/>
  <c r="BJ235" i="4"/>
  <c r="BL235" i="4"/>
  <c r="BF236" i="4"/>
  <c r="BJ236" i="4"/>
  <c r="BL236" i="4"/>
  <c r="P237" i="4"/>
  <c r="AD237" i="4"/>
  <c r="AR237" i="4"/>
  <c r="BF237" i="4"/>
  <c r="BJ237" i="4"/>
  <c r="BL237" i="4"/>
  <c r="BF238" i="4"/>
  <c r="BJ238" i="4"/>
  <c r="BL238" i="4"/>
  <c r="BQ239" i="4"/>
  <c r="BJ240" i="4"/>
  <c r="BL240" i="4"/>
  <c r="P241" i="4"/>
  <c r="AD241" i="4"/>
  <c r="AR241" i="4"/>
  <c r="BJ241" i="4"/>
  <c r="BL241" i="4"/>
  <c r="BJ242" i="4"/>
  <c r="BL242" i="4"/>
  <c r="BF243" i="4"/>
  <c r="BJ243" i="4"/>
  <c r="BL243" i="4"/>
  <c r="BF244" i="4"/>
  <c r="BJ244" i="4"/>
  <c r="BL244" i="4"/>
  <c r="P245" i="4"/>
  <c r="AD245" i="4"/>
  <c r="AR245" i="4"/>
  <c r="BJ245" i="4"/>
  <c r="BL245" i="4"/>
  <c r="BJ246" i="4"/>
  <c r="BL246" i="4"/>
  <c r="BJ247" i="4"/>
  <c r="BL247" i="4"/>
  <c r="BQ247" i="4"/>
  <c r="BL248" i="4"/>
  <c r="P249" i="4"/>
  <c r="AD249" i="4"/>
  <c r="AR249" i="4"/>
  <c r="BJ249" i="4"/>
  <c r="BL249" i="4"/>
  <c r="BJ250" i="4"/>
  <c r="BL250" i="4"/>
  <c r="BL251" i="4"/>
  <c r="BQ251" i="4"/>
  <c r="BL252" i="4"/>
  <c r="BQ252" i="4"/>
  <c r="P253" i="4"/>
  <c r="AD253" i="4"/>
  <c r="AR253" i="4"/>
  <c r="BL253" i="4"/>
  <c r="BQ253" i="4"/>
  <c r="BL254" i="4"/>
  <c r="BL255" i="4"/>
  <c r="BL256" i="4"/>
  <c r="BQ256" i="4"/>
  <c r="P257" i="4"/>
  <c r="AD257" i="4"/>
  <c r="AR257" i="4"/>
  <c r="BL257" i="4"/>
  <c r="BL258" i="4"/>
  <c r="BL259" i="4"/>
  <c r="BL260" i="4"/>
  <c r="P261" i="4"/>
  <c r="AD261" i="4"/>
  <c r="AR261" i="4"/>
  <c r="BL261" i="4"/>
  <c r="BQ261" i="4"/>
  <c r="BL262" i="4"/>
  <c r="BQ262" i="4"/>
  <c r="BL263" i="4"/>
  <c r="BL264" i="4"/>
  <c r="F265" i="4"/>
  <c r="H265" i="4"/>
  <c r="M265" i="4"/>
  <c r="J265" i="4"/>
  <c r="K265" i="4"/>
  <c r="P265" i="4"/>
  <c r="AD265" i="4"/>
  <c r="AR265" i="4"/>
  <c r="BL265" i="4"/>
  <c r="BQ265" i="4"/>
  <c r="F266" i="4"/>
  <c r="H266" i="4"/>
  <c r="M266" i="4"/>
  <c r="J266" i="4"/>
  <c r="BL266" i="4"/>
  <c r="F267" i="4"/>
  <c r="H267" i="4"/>
  <c r="M267" i="4"/>
  <c r="J267" i="4"/>
  <c r="K267" i="4"/>
  <c r="BL267" i="4"/>
  <c r="F268" i="4"/>
  <c r="J268" i="4"/>
  <c r="BL268" i="4"/>
  <c r="F269" i="4"/>
  <c r="H269" i="4"/>
  <c r="J269" i="4"/>
  <c r="K269" i="4"/>
  <c r="P269" i="4"/>
  <c r="T269" i="4"/>
  <c r="V269" i="4"/>
  <c r="AA269" i="4"/>
  <c r="X269" i="4"/>
  <c r="Y269" i="4"/>
  <c r="AD269" i="4"/>
  <c r="AH269" i="4"/>
  <c r="AJ269" i="4"/>
  <c r="AO269" i="4"/>
  <c r="AL269" i="4"/>
  <c r="AR269" i="4"/>
  <c r="AV269" i="4"/>
  <c r="AX269" i="4"/>
  <c r="BC269" i="4"/>
  <c r="AZ269" i="4"/>
  <c r="BA269" i="4"/>
  <c r="BL269" i="4"/>
  <c r="BQ269" i="4"/>
  <c r="F270" i="4"/>
  <c r="H270" i="4"/>
  <c r="M270" i="4"/>
  <c r="J270" i="4"/>
  <c r="K270" i="4"/>
  <c r="T270" i="4"/>
  <c r="V270" i="4"/>
  <c r="AA270" i="4"/>
  <c r="X270" i="4"/>
  <c r="Y270" i="4"/>
  <c r="AH270" i="4"/>
  <c r="AL270" i="4"/>
  <c r="AM270" i="4"/>
  <c r="AV270" i="4"/>
  <c r="AZ270" i="4"/>
  <c r="BA270" i="4"/>
  <c r="BL270" i="4"/>
  <c r="F271" i="4"/>
  <c r="H271" i="4"/>
  <c r="M271" i="4"/>
  <c r="J271" i="4"/>
  <c r="K271" i="4"/>
  <c r="T271" i="4"/>
  <c r="X271" i="4"/>
  <c r="AH271" i="4"/>
  <c r="AJ271" i="4"/>
  <c r="AO271" i="4"/>
  <c r="AL271" i="4"/>
  <c r="AV271" i="4"/>
  <c r="AX271" i="4"/>
  <c r="AZ271" i="4"/>
  <c r="BA271" i="4"/>
  <c r="BL271" i="4"/>
  <c r="BQ271" i="4"/>
  <c r="F272" i="4"/>
  <c r="J272" i="4"/>
  <c r="K272" i="4"/>
  <c r="M272" i="4"/>
  <c r="T272" i="4"/>
  <c r="V272" i="4"/>
  <c r="AA272" i="4"/>
  <c r="X272" i="4"/>
  <c r="AH272" i="4"/>
  <c r="AJ272" i="4"/>
  <c r="AL272" i="4"/>
  <c r="AO272" i="4"/>
  <c r="AV272" i="4"/>
  <c r="AX272" i="4"/>
  <c r="AZ272" i="4"/>
  <c r="BA272" i="4"/>
  <c r="BL272" i="4"/>
  <c r="F273" i="4"/>
  <c r="H273" i="4"/>
  <c r="M273" i="4"/>
  <c r="J273" i="4"/>
  <c r="K273" i="4"/>
  <c r="P273" i="4"/>
  <c r="T273" i="4"/>
  <c r="V273" i="4"/>
  <c r="X273" i="4"/>
  <c r="Y273" i="4"/>
  <c r="AA273" i="4"/>
  <c r="AD273" i="4"/>
  <c r="AH273" i="4"/>
  <c r="AJ273" i="4"/>
  <c r="AO273" i="4"/>
  <c r="AL273" i="4"/>
  <c r="AM273" i="4"/>
  <c r="AR273" i="4"/>
  <c r="AV273" i="4"/>
  <c r="AX273" i="4"/>
  <c r="AZ273" i="4"/>
  <c r="BA273" i="4"/>
  <c r="BC273" i="4"/>
  <c r="F274" i="4"/>
  <c r="H274" i="4"/>
  <c r="M274" i="4"/>
  <c r="J274" i="4"/>
  <c r="T274" i="4"/>
  <c r="V274" i="4"/>
  <c r="AA274" i="4"/>
  <c r="X274" i="4"/>
  <c r="AH274" i="4"/>
  <c r="AL274" i="4"/>
  <c r="AV274" i="4"/>
  <c r="AZ274" i="4"/>
  <c r="BC274" i="4"/>
  <c r="BL274" i="4"/>
  <c r="F275" i="4"/>
  <c r="H275" i="4"/>
  <c r="M275" i="4"/>
  <c r="J275" i="4"/>
  <c r="T275" i="4"/>
  <c r="X275" i="4"/>
  <c r="AH275" i="4"/>
  <c r="AJ275" i="4"/>
  <c r="AO275" i="4"/>
  <c r="AL275" i="4"/>
  <c r="AV275" i="4"/>
  <c r="AX275" i="4"/>
  <c r="BC275" i="4"/>
  <c r="AZ275" i="4"/>
  <c r="BL275" i="4"/>
  <c r="F276" i="4"/>
  <c r="J276" i="4"/>
  <c r="K276" i="4"/>
  <c r="M276" i="4"/>
  <c r="T276" i="4"/>
  <c r="V276" i="4"/>
  <c r="AA276" i="4"/>
  <c r="X276" i="4"/>
  <c r="Y276" i="4"/>
  <c r="AH276" i="4"/>
  <c r="AJ276" i="4"/>
  <c r="AO276" i="4"/>
  <c r="AL276" i="4"/>
  <c r="AV276" i="4"/>
  <c r="AX276" i="4"/>
  <c r="BC276" i="4"/>
  <c r="AZ276" i="4"/>
  <c r="BL276" i="4"/>
  <c r="F277" i="4"/>
  <c r="H277" i="4"/>
  <c r="M277" i="4"/>
  <c r="J277" i="4"/>
  <c r="P277" i="4"/>
  <c r="T277" i="4"/>
  <c r="V277" i="4"/>
  <c r="AA277" i="4"/>
  <c r="X277" i="4"/>
  <c r="Y277" i="4"/>
  <c r="AD277" i="4"/>
  <c r="AH277" i="4"/>
  <c r="AJ277" i="4"/>
  <c r="AO277" i="4"/>
  <c r="AL277" i="4"/>
  <c r="AR277" i="4"/>
  <c r="AV277" i="4"/>
  <c r="AX277" i="4"/>
  <c r="BC277" i="4"/>
  <c r="AZ277" i="4"/>
  <c r="BL277" i="4"/>
  <c r="F278" i="4"/>
  <c r="H278" i="4"/>
  <c r="M278" i="4"/>
  <c r="J278" i="4"/>
  <c r="L278" i="4"/>
  <c r="T278" i="4"/>
  <c r="V278" i="4"/>
  <c r="AA278" i="4"/>
  <c r="X278" i="4"/>
  <c r="Z278" i="4"/>
  <c r="AH278" i="4"/>
  <c r="AJ278" i="4"/>
  <c r="AO278" i="4"/>
  <c r="AL278" i="4"/>
  <c r="AN278" i="4"/>
  <c r="AV278" i="4"/>
  <c r="AX278" i="4"/>
  <c r="BC278" i="4"/>
  <c r="AZ278" i="4"/>
  <c r="BB278" i="4"/>
  <c r="F279" i="4"/>
  <c r="H279" i="4"/>
  <c r="M279" i="4"/>
  <c r="J279" i="4"/>
  <c r="K279" i="4"/>
  <c r="L279" i="4"/>
  <c r="T279" i="4"/>
  <c r="V279" i="4"/>
  <c r="AA279" i="4"/>
  <c r="X279" i="4"/>
  <c r="Z279" i="4"/>
  <c r="AH279" i="4"/>
  <c r="AJ279" i="4"/>
  <c r="AO279" i="4"/>
  <c r="AL279" i="4"/>
  <c r="AM279" i="4"/>
  <c r="AN279" i="4"/>
  <c r="AV279" i="4"/>
  <c r="AX279" i="4"/>
  <c r="BC279" i="4"/>
  <c r="AZ279" i="4"/>
  <c r="BA279" i="4"/>
  <c r="BB279" i="4"/>
  <c r="F280" i="4"/>
  <c r="H280" i="4"/>
  <c r="M280" i="4"/>
  <c r="J280" i="4"/>
  <c r="K280" i="4"/>
  <c r="L280" i="4"/>
  <c r="T280" i="4"/>
  <c r="V280" i="4"/>
  <c r="AA280" i="4"/>
  <c r="X280" i="4"/>
  <c r="Z280" i="4"/>
  <c r="AH280" i="4"/>
  <c r="AJ280" i="4"/>
  <c r="AL280" i="4"/>
  <c r="AM280" i="4"/>
  <c r="AN280" i="4"/>
  <c r="AO280" i="4"/>
  <c r="AV280" i="4"/>
  <c r="AX280" i="4"/>
  <c r="BC280" i="4"/>
  <c r="AZ280" i="4"/>
  <c r="BB280" i="4"/>
  <c r="BH300" i="4"/>
  <c r="BH301" i="4"/>
  <c r="BH302" i="4"/>
  <c r="BH303" i="4"/>
  <c r="BH304" i="4"/>
  <c r="BH305" i="4"/>
  <c r="BH306" i="4"/>
  <c r="BH307" i="4"/>
  <c r="BH308" i="4"/>
  <c r="BH310" i="4"/>
  <c r="BH311" i="4"/>
  <c r="BH312" i="4"/>
  <c r="BH314" i="4"/>
  <c r="BH315" i="4"/>
  <c r="BH316" i="4"/>
  <c r="BH317" i="4"/>
  <c r="BH318" i="4"/>
  <c r="BH319" i="4"/>
  <c r="BH320" i="4"/>
  <c r="BH321" i="4"/>
  <c r="BH322" i="4"/>
  <c r="BH323" i="4"/>
  <c r="BH324" i="4"/>
  <c r="BH325" i="4"/>
  <c r="BH326" i="4"/>
  <c r="BH327" i="4"/>
  <c r="BH328" i="4"/>
  <c r="BH329" i="4"/>
  <c r="BH330" i="4"/>
  <c r="BH331" i="4"/>
  <c r="BH332" i="4"/>
  <c r="BH333" i="4"/>
  <c r="BH334" i="4"/>
  <c r="BH335" i="4"/>
  <c r="BH336" i="4"/>
  <c r="BH337" i="4"/>
  <c r="BH338" i="4"/>
  <c r="BH339" i="4"/>
  <c r="BH340" i="4"/>
  <c r="BH341" i="4"/>
  <c r="BH342" i="4"/>
  <c r="BH343" i="4"/>
  <c r="BH344" i="4"/>
  <c r="BH345" i="4"/>
  <c r="BH346" i="4"/>
  <c r="BH348" i="4"/>
  <c r="BH349" i="4"/>
  <c r="BH350" i="4"/>
  <c r="J287" i="4"/>
  <c r="K287" i="4"/>
  <c r="X287" i="4"/>
  <c r="Y287" i="4"/>
  <c r="AL287" i="4"/>
  <c r="AM287" i="4"/>
  <c r="AZ287" i="4"/>
  <c r="BA287" i="4"/>
  <c r="J288" i="4"/>
  <c r="K288" i="4"/>
  <c r="X288" i="4"/>
  <c r="Y288" i="4"/>
  <c r="AL288" i="4"/>
  <c r="AM288" i="4"/>
  <c r="AZ288" i="4"/>
  <c r="BA288" i="4"/>
  <c r="J289" i="4"/>
  <c r="K289" i="4"/>
  <c r="X289" i="4"/>
  <c r="Y289" i="4"/>
  <c r="AM289" i="4"/>
  <c r="AZ289" i="4"/>
  <c r="BA289" i="4"/>
  <c r="J290" i="4"/>
  <c r="K290" i="4"/>
  <c r="X290" i="4"/>
  <c r="Y290" i="4"/>
  <c r="AL290" i="4"/>
  <c r="AM290" i="4"/>
  <c r="AZ290" i="4"/>
  <c r="BA290" i="4"/>
  <c r="D335" i="4"/>
  <c r="D336" i="4"/>
  <c r="D337" i="4"/>
  <c r="D338" i="4"/>
  <c r="R335" i="4"/>
  <c r="R336" i="4"/>
  <c r="R337" i="4"/>
  <c r="R338" i="4"/>
  <c r="AF335" i="4"/>
  <c r="AF336" i="4"/>
  <c r="AF337" i="4"/>
  <c r="AF338" i="4"/>
  <c r="AF306" i="4"/>
  <c r="AF310" i="4"/>
  <c r="AF314" i="4"/>
  <c r="AF318" i="4"/>
  <c r="AF350" i="4"/>
  <c r="AM350" i="4"/>
  <c r="AF346" i="4"/>
  <c r="AM346" i="4"/>
  <c r="AF334" i="4"/>
  <c r="AF330" i="4"/>
  <c r="AF326" i="4"/>
  <c r="AF322" i="4"/>
  <c r="AT335" i="4"/>
  <c r="AT336" i="4"/>
  <c r="AT337" i="4"/>
  <c r="AT338" i="4"/>
  <c r="D331" i="4"/>
  <c r="D332" i="4"/>
  <c r="D333" i="4"/>
  <c r="D334" i="4"/>
  <c r="R331" i="4"/>
  <c r="R332" i="4"/>
  <c r="R333" i="4"/>
  <c r="R334" i="4"/>
  <c r="AF331" i="4"/>
  <c r="AF332" i="4"/>
  <c r="AF333" i="4"/>
  <c r="AT331" i="4"/>
  <c r="AT332" i="4"/>
  <c r="AT333" i="4"/>
  <c r="AT334" i="4"/>
  <c r="BO300" i="4"/>
  <c r="BL300" i="4"/>
  <c r="BL301" i="4"/>
  <c r="BL302" i="4"/>
  <c r="BL303" i="4"/>
  <c r="BL304" i="4"/>
  <c r="BL305" i="4"/>
  <c r="BL306" i="4"/>
  <c r="BL307" i="4"/>
  <c r="BL308" i="4"/>
  <c r="BO310" i="4"/>
  <c r="BP310" i="4"/>
  <c r="BQ310" i="4"/>
  <c r="BO311" i="4"/>
  <c r="BP311" i="4"/>
  <c r="BQ311" i="4"/>
  <c r="BO312" i="4"/>
  <c r="BP312" i="4"/>
  <c r="BQ312" i="4"/>
  <c r="BO314" i="4"/>
  <c r="BP314" i="4"/>
  <c r="BQ314" i="4"/>
  <c r="BO315" i="4"/>
  <c r="BP315" i="4"/>
  <c r="BQ315" i="4"/>
  <c r="BO316" i="4"/>
  <c r="BP316" i="4"/>
  <c r="BQ316" i="4"/>
  <c r="BO317" i="4"/>
  <c r="BP317" i="4"/>
  <c r="BQ317" i="4"/>
  <c r="BO318" i="4"/>
  <c r="BP318" i="4"/>
  <c r="BQ318" i="4"/>
  <c r="BO319" i="4"/>
  <c r="BP319" i="4"/>
  <c r="BQ319" i="4"/>
  <c r="BP320" i="4"/>
  <c r="BQ320" i="4"/>
  <c r="BP321" i="4"/>
  <c r="BQ321" i="4"/>
  <c r="BP322" i="4"/>
  <c r="BP323" i="4"/>
  <c r="BQ323" i="4"/>
  <c r="BP324" i="4"/>
  <c r="BQ324" i="4"/>
  <c r="BP325" i="4"/>
  <c r="BQ325" i="4"/>
  <c r="BP326" i="4"/>
  <c r="BQ326" i="4"/>
  <c r="BP327" i="4"/>
  <c r="BQ327" i="4"/>
  <c r="BP328" i="4"/>
  <c r="BQ328" i="4"/>
  <c r="BP329" i="4"/>
  <c r="BP330" i="4"/>
  <c r="BQ330" i="4"/>
  <c r="BP331" i="4"/>
  <c r="BQ331" i="4"/>
  <c r="BP332" i="4"/>
  <c r="BQ332" i="4"/>
  <c r="BP333" i="4"/>
  <c r="BQ333" i="4"/>
  <c r="BP334" i="4"/>
  <c r="BQ334" i="4"/>
  <c r="BP335" i="4"/>
  <c r="BQ335" i="4"/>
  <c r="BP336" i="4"/>
  <c r="BQ336" i="4"/>
  <c r="BP337" i="4"/>
  <c r="BQ337" i="4"/>
  <c r="BP338" i="4"/>
  <c r="BP339" i="4"/>
  <c r="BP340" i="4"/>
  <c r="BQ340" i="4"/>
  <c r="BP341" i="4"/>
  <c r="BQ341" i="4"/>
  <c r="BP342" i="4"/>
  <c r="BP343" i="4"/>
  <c r="BP344" i="4"/>
  <c r="BQ344" i="4"/>
  <c r="BP345" i="4"/>
  <c r="BQ345" i="4"/>
  <c r="BP346" i="4"/>
  <c r="BQ346" i="4"/>
  <c r="BP348" i="4"/>
  <c r="BQ348" i="4"/>
  <c r="BP349" i="4"/>
  <c r="BQ349" i="4"/>
  <c r="BP350" i="4"/>
  <c r="BQ350" i="4"/>
  <c r="BP351" i="4"/>
  <c r="BQ351" i="4"/>
  <c r="BH358" i="4"/>
  <c r="BL348" i="4"/>
  <c r="BL349" i="4"/>
  <c r="BL350" i="4"/>
  <c r="BL351" i="4"/>
  <c r="BF300" i="4"/>
  <c r="BJ300" i="4"/>
  <c r="BF301" i="4"/>
  <c r="BJ301" i="4"/>
  <c r="BF302" i="4"/>
  <c r="BJ302" i="4"/>
  <c r="BF303" i="4"/>
  <c r="BJ303" i="4"/>
  <c r="BF304" i="4"/>
  <c r="BJ304" i="4"/>
  <c r="BF305" i="4"/>
  <c r="BJ305" i="4"/>
  <c r="BF306" i="4"/>
  <c r="BJ306" i="4"/>
  <c r="BF307" i="4"/>
  <c r="BJ307" i="4"/>
  <c r="BF308" i="4"/>
  <c r="BJ308" i="4"/>
  <c r="BF309" i="4"/>
  <c r="BF310" i="4"/>
  <c r="BJ310" i="4"/>
  <c r="BL310" i="4"/>
  <c r="BF311" i="4"/>
  <c r="BJ311" i="4"/>
  <c r="BL311" i="4"/>
  <c r="BF312" i="4"/>
  <c r="BJ312" i="4"/>
  <c r="BL312" i="4"/>
  <c r="BQ313" i="4"/>
  <c r="BJ314" i="4"/>
  <c r="BL314" i="4"/>
  <c r="BJ315" i="4"/>
  <c r="BL315" i="4"/>
  <c r="BJ316" i="4"/>
  <c r="BL316" i="4"/>
  <c r="BF317" i="4"/>
  <c r="BJ317" i="4"/>
  <c r="BL317" i="4"/>
  <c r="BF318" i="4"/>
  <c r="BJ318" i="4"/>
  <c r="BL318" i="4"/>
  <c r="BJ319" i="4"/>
  <c r="BL319" i="4"/>
  <c r="BJ320" i="4"/>
  <c r="BL320" i="4"/>
  <c r="BJ321" i="4"/>
  <c r="BL321" i="4"/>
  <c r="BL322" i="4"/>
  <c r="BQ322" i="4"/>
  <c r="BJ323" i="4"/>
  <c r="BL323" i="4"/>
  <c r="BJ324" i="4"/>
  <c r="BL324" i="4"/>
  <c r="BL325" i="4"/>
  <c r="BL326" i="4"/>
  <c r="BL327" i="4"/>
  <c r="BL328" i="4"/>
  <c r="BL329" i="4"/>
  <c r="BQ329" i="4"/>
  <c r="BL330" i="4"/>
  <c r="BL331" i="4"/>
  <c r="BL332" i="4"/>
  <c r="BL333" i="4"/>
  <c r="BL334" i="4"/>
  <c r="BL335" i="4"/>
  <c r="BL336" i="4"/>
  <c r="BL337" i="4"/>
  <c r="BL338" i="4"/>
  <c r="BQ338" i="4"/>
  <c r="BL339" i="4"/>
  <c r="BQ339" i="4"/>
  <c r="BL340" i="4"/>
  <c r="BL341" i="4"/>
  <c r="BL342" i="4"/>
  <c r="BQ342" i="4"/>
  <c r="BL343" i="4"/>
  <c r="BQ343" i="4"/>
  <c r="BL344" i="4"/>
  <c r="BL345" i="4"/>
  <c r="BL346" i="4"/>
  <c r="A360" i="4"/>
  <c r="R327" i="4"/>
  <c r="R328" i="4"/>
  <c r="R329" i="4"/>
  <c r="R330" i="4"/>
  <c r="R303" i="4"/>
  <c r="R304" i="4"/>
  <c r="Y304" i="4"/>
  <c r="R308" i="4"/>
  <c r="R362" i="4"/>
  <c r="Y308" i="4"/>
  <c r="Z308" i="4"/>
  <c r="AA308" i="4"/>
  <c r="R312" i="4"/>
  <c r="R316" i="4"/>
  <c r="R305" i="4"/>
  <c r="Y305" i="4"/>
  <c r="Y309" i="4"/>
  <c r="R306" i="4"/>
  <c r="Y306" i="4"/>
  <c r="R307" i="4"/>
  <c r="R309" i="4"/>
  <c r="R310" i="4"/>
  <c r="R311" i="4"/>
  <c r="R313" i="4"/>
  <c r="Y313" i="4"/>
  <c r="Z313" i="4"/>
  <c r="AA313" i="4"/>
  <c r="R314" i="4"/>
  <c r="Y310" i="4"/>
  <c r="R315" i="4"/>
  <c r="R317" i="4"/>
  <c r="R318" i="4"/>
  <c r="R319" i="4"/>
  <c r="R320" i="4"/>
  <c r="R321" i="4"/>
  <c r="R322" i="4"/>
  <c r="R323" i="4"/>
  <c r="R324" i="4"/>
  <c r="R325" i="4"/>
  <c r="R326" i="4"/>
  <c r="R364" i="4"/>
  <c r="U364" i="4"/>
  <c r="R343" i="4"/>
  <c r="Y343" i="4"/>
  <c r="R344" i="4"/>
  <c r="Y344" i="4"/>
  <c r="R345" i="4"/>
  <c r="R346" i="4"/>
  <c r="R347" i="4"/>
  <c r="R348" i="4"/>
  <c r="R349" i="4"/>
  <c r="Y349" i="4"/>
  <c r="R350" i="4"/>
  <c r="Y350" i="4"/>
  <c r="R351" i="4"/>
  <c r="V311" i="4"/>
  <c r="H311" i="4"/>
  <c r="D311" i="4"/>
  <c r="D307" i="4"/>
  <c r="D303" i="4"/>
  <c r="K303" i="4"/>
  <c r="H315" i="4"/>
  <c r="D315" i="4"/>
  <c r="H319" i="4"/>
  <c r="D319" i="4"/>
  <c r="H323" i="4"/>
  <c r="D323" i="4"/>
  <c r="H327" i="4"/>
  <c r="D327" i="4"/>
  <c r="H331" i="4"/>
  <c r="H335" i="4"/>
  <c r="L343" i="4"/>
  <c r="L347" i="4"/>
  <c r="L351" i="4"/>
  <c r="H312" i="4"/>
  <c r="D312" i="4"/>
  <c r="D308" i="4"/>
  <c r="D304" i="4"/>
  <c r="K304" i="4"/>
  <c r="H316" i="4"/>
  <c r="D316" i="4"/>
  <c r="H320" i="4"/>
  <c r="D320" i="4"/>
  <c r="D324" i="4"/>
  <c r="D328" i="4"/>
  <c r="D344" i="4"/>
  <c r="K344" i="4"/>
  <c r="D348" i="4"/>
  <c r="H324" i="4"/>
  <c r="H328" i="4"/>
  <c r="H332" i="4"/>
  <c r="H336" i="4"/>
  <c r="L344" i="4"/>
  <c r="L348" i="4"/>
  <c r="H313" i="4"/>
  <c r="D313" i="4"/>
  <c r="D309" i="4"/>
  <c r="D305" i="4"/>
  <c r="H317" i="4"/>
  <c r="D317" i="4"/>
  <c r="H321" i="4"/>
  <c r="D321" i="4"/>
  <c r="H325" i="4"/>
  <c r="D325" i="4"/>
  <c r="H329" i="4"/>
  <c r="D329" i="4"/>
  <c r="H333" i="4"/>
  <c r="H337" i="4"/>
  <c r="L345" i="4"/>
  <c r="L349" i="4"/>
  <c r="H314" i="4"/>
  <c r="D314" i="4"/>
  <c r="D310" i="4"/>
  <c r="D306" i="4"/>
  <c r="K306" i="4"/>
  <c r="L306" i="4"/>
  <c r="D318" i="4"/>
  <c r="H318" i="4"/>
  <c r="H322" i="4"/>
  <c r="D322" i="4"/>
  <c r="H326" i="4"/>
  <c r="D326" i="4"/>
  <c r="H330" i="4"/>
  <c r="D330" i="4"/>
  <c r="H334" i="4"/>
  <c r="H338" i="4"/>
  <c r="L346" i="4"/>
  <c r="L350" i="4"/>
  <c r="H303" i="4"/>
  <c r="H361" i="4"/>
  <c r="H304" i="4"/>
  <c r="H305" i="4"/>
  <c r="H306" i="4"/>
  <c r="H307" i="4"/>
  <c r="H308" i="4"/>
  <c r="H309" i="4"/>
  <c r="H310" i="4"/>
  <c r="V315" i="4"/>
  <c r="V319" i="4"/>
  <c r="V323" i="4"/>
  <c r="V327" i="4"/>
  <c r="V331" i="4"/>
  <c r="V335" i="4"/>
  <c r="Z343" i="4"/>
  <c r="Z347" i="4"/>
  <c r="Z351" i="4"/>
  <c r="V312" i="4"/>
  <c r="V316" i="4"/>
  <c r="V320" i="4"/>
  <c r="V324" i="4"/>
  <c r="V328" i="4"/>
  <c r="V332" i="4"/>
  <c r="V336" i="4"/>
  <c r="Z344" i="4"/>
  <c r="Z348" i="4"/>
  <c r="V313" i="4"/>
  <c r="V317" i="4"/>
  <c r="V321" i="4"/>
  <c r="V325" i="4"/>
  <c r="V329" i="4"/>
  <c r="V333" i="4"/>
  <c r="V337" i="4"/>
  <c r="Z345" i="4"/>
  <c r="Z349" i="4"/>
  <c r="V314" i="4"/>
  <c r="V310" i="4"/>
  <c r="V318" i="4"/>
  <c r="V322" i="4"/>
  <c r="V326" i="4"/>
  <c r="V330" i="4"/>
  <c r="V334" i="4"/>
  <c r="V338" i="4"/>
  <c r="Z346" i="4"/>
  <c r="Z350" i="4"/>
  <c r="V303" i="4"/>
  <c r="V307" i="4"/>
  <c r="V304" i="4"/>
  <c r="V305" i="4"/>
  <c r="Z305" i="4"/>
  <c r="V306" i="4"/>
  <c r="Z306" i="4"/>
  <c r="V308" i="4"/>
  <c r="V309" i="4"/>
  <c r="D343" i="4"/>
  <c r="D345" i="4"/>
  <c r="K345" i="4"/>
  <c r="D346" i="4"/>
  <c r="D347" i="4"/>
  <c r="D349" i="4"/>
  <c r="K349" i="4"/>
  <c r="D350" i="4"/>
  <c r="K350" i="4"/>
  <c r="D351" i="4"/>
  <c r="K351" i="4"/>
  <c r="AF311" i="4"/>
  <c r="AF315" i="4"/>
  <c r="AF312" i="4"/>
  <c r="AF316" i="4"/>
  <c r="AF313" i="4"/>
  <c r="AF317" i="4"/>
  <c r="AF319" i="4"/>
  <c r="AF320" i="4"/>
  <c r="AF321" i="4"/>
  <c r="AF363" i="4"/>
  <c r="AI363" i="4"/>
  <c r="AF323" i="4"/>
  <c r="AF324" i="4"/>
  <c r="AF325" i="4"/>
  <c r="AF327" i="4"/>
  <c r="AF328" i="4"/>
  <c r="AF329" i="4"/>
  <c r="AF303" i="4"/>
  <c r="AF304" i="4"/>
  <c r="AM304" i="4"/>
  <c r="AN304" i="4"/>
  <c r="AO304" i="4"/>
  <c r="AF305" i="4"/>
  <c r="AM305" i="4"/>
  <c r="AF307" i="4"/>
  <c r="AF308" i="4"/>
  <c r="AF309" i="4"/>
  <c r="AF343" i="4"/>
  <c r="AF344" i="4"/>
  <c r="AM344" i="4"/>
  <c r="AF345" i="4"/>
  <c r="AM345" i="4"/>
  <c r="AF347" i="4"/>
  <c r="AM347" i="4"/>
  <c r="AF348" i="4"/>
  <c r="AM348" i="4"/>
  <c r="AF349" i="4"/>
  <c r="AM349" i="4"/>
  <c r="AF351" i="4"/>
  <c r="AT311" i="4"/>
  <c r="AT315" i="4"/>
  <c r="AT312" i="4"/>
  <c r="AT316" i="4"/>
  <c r="AT313" i="4"/>
  <c r="AT317" i="4"/>
  <c r="AT314" i="4"/>
  <c r="AT318" i="4"/>
  <c r="AT319" i="4"/>
  <c r="AT320" i="4"/>
  <c r="AT321" i="4"/>
  <c r="AT322" i="4"/>
  <c r="AT323" i="4"/>
  <c r="AT324" i="4"/>
  <c r="AT325" i="4"/>
  <c r="AT326" i="4"/>
  <c r="AT327" i="4"/>
  <c r="AT328" i="4"/>
  <c r="AT329" i="4"/>
  <c r="AT330" i="4"/>
  <c r="AT303" i="4"/>
  <c r="BA303" i="4"/>
  <c r="BA307" i="4"/>
  <c r="AT304" i="4"/>
  <c r="BA304" i="4"/>
  <c r="BB304" i="4"/>
  <c r="BC304" i="4"/>
  <c r="AT305" i="4"/>
  <c r="BA305" i="4"/>
  <c r="AT306" i="4"/>
  <c r="AT307" i="4"/>
  <c r="AT308" i="4"/>
  <c r="AT309" i="4"/>
  <c r="AT310" i="4"/>
  <c r="AT343" i="4"/>
  <c r="BA343" i="4"/>
  <c r="AT344" i="4"/>
  <c r="BA344" i="4"/>
  <c r="AT345" i="4"/>
  <c r="BA345" i="4"/>
  <c r="AT346" i="4"/>
  <c r="BA346" i="4"/>
  <c r="AT347" i="4"/>
  <c r="BA347" i="4"/>
  <c r="AT348" i="4"/>
  <c r="AT349" i="4"/>
  <c r="AT350" i="4"/>
  <c r="BA350" i="4"/>
  <c r="AT351" i="4"/>
  <c r="BA351" i="4"/>
  <c r="D352" i="4"/>
  <c r="K352" i="4"/>
  <c r="D353" i="4"/>
  <c r="K353" i="4"/>
  <c r="D354" i="4"/>
  <c r="K354" i="4"/>
  <c r="R352" i="4"/>
  <c r="Y352" i="4"/>
  <c r="R353" i="4"/>
  <c r="Y353" i="4"/>
  <c r="R354" i="4"/>
  <c r="Y354" i="4"/>
  <c r="AF352" i="4"/>
  <c r="AM352" i="4"/>
  <c r="AF353" i="4"/>
  <c r="AM353" i="4"/>
  <c r="AF354" i="4"/>
  <c r="AT352" i="4"/>
  <c r="AT353" i="4"/>
  <c r="BA353" i="4"/>
  <c r="AT354" i="4"/>
  <c r="AR335" i="4"/>
  <c r="AR331" i="4"/>
  <c r="AR327" i="4"/>
  <c r="AR323" i="4"/>
  <c r="AR319" i="4"/>
  <c r="AR315" i="4"/>
  <c r="AR311" i="4"/>
  <c r="AR307" i="4"/>
  <c r="AR303" i="4"/>
  <c r="AD335" i="4"/>
  <c r="AD331" i="4"/>
  <c r="AD327" i="4"/>
  <c r="AD323" i="4"/>
  <c r="AD319" i="4"/>
  <c r="AD315" i="4"/>
  <c r="AD311" i="4"/>
  <c r="AD307" i="4"/>
  <c r="AD303" i="4"/>
  <c r="P335" i="4"/>
  <c r="P331" i="4"/>
  <c r="P327" i="4"/>
  <c r="P323" i="4"/>
  <c r="P319" i="4"/>
  <c r="P315" i="4"/>
  <c r="P311" i="4"/>
  <c r="P307" i="4"/>
  <c r="P303" i="4"/>
  <c r="AX338" i="4"/>
  <c r="BA306" i="4"/>
  <c r="BA310" i="4"/>
  <c r="AZ322" i="4"/>
  <c r="AZ326" i="4"/>
  <c r="AZ330" i="4"/>
  <c r="AZ334" i="4"/>
  <c r="AZ338" i="4"/>
  <c r="AV338" i="4"/>
  <c r="AX337" i="4"/>
  <c r="AZ337" i="4"/>
  <c r="AV337" i="4"/>
  <c r="AX336" i="4"/>
  <c r="AZ336" i="4"/>
  <c r="AV336" i="4"/>
  <c r="AX335" i="4"/>
  <c r="AX303" i="4"/>
  <c r="AZ303" i="4"/>
  <c r="AZ307" i="4"/>
  <c r="AZ311" i="4"/>
  <c r="AZ315" i="4"/>
  <c r="AZ319" i="4"/>
  <c r="AZ323" i="4"/>
  <c r="AZ327" i="4"/>
  <c r="AZ331" i="4"/>
  <c r="AZ335" i="4"/>
  <c r="AV335" i="4"/>
  <c r="AX334" i="4"/>
  <c r="AV334" i="4"/>
  <c r="AX333" i="4"/>
  <c r="AV333" i="4"/>
  <c r="AX332" i="4"/>
  <c r="AV332" i="4"/>
  <c r="AX331" i="4"/>
  <c r="AV331" i="4"/>
  <c r="AX330" i="4"/>
  <c r="AV330" i="4"/>
  <c r="AX329" i="4"/>
  <c r="AZ305" i="4"/>
  <c r="AZ309" i="4"/>
  <c r="AZ313" i="4"/>
  <c r="AZ317" i="4"/>
  <c r="AZ321" i="4"/>
  <c r="AZ325" i="4"/>
  <c r="AZ329" i="4"/>
  <c r="AV329" i="4"/>
  <c r="AX328" i="4"/>
  <c r="AZ304" i="4"/>
  <c r="AZ308" i="4"/>
  <c r="AZ312" i="4"/>
  <c r="AZ316" i="4"/>
  <c r="AZ320" i="4"/>
  <c r="AZ324" i="4"/>
  <c r="AZ328" i="4"/>
  <c r="AV328" i="4"/>
  <c r="AX327" i="4"/>
  <c r="AV327" i="4"/>
  <c r="AX326" i="4"/>
  <c r="AV326" i="4"/>
  <c r="AX325" i="4"/>
  <c r="AV325" i="4"/>
  <c r="AX324" i="4"/>
  <c r="AV324" i="4"/>
  <c r="AX323" i="4"/>
  <c r="AV323" i="4"/>
  <c r="AX322" i="4"/>
  <c r="AV322" i="4"/>
  <c r="AX321" i="4"/>
  <c r="AV321" i="4"/>
  <c r="AX320" i="4"/>
  <c r="AV320" i="4"/>
  <c r="AX319" i="4"/>
  <c r="AV319" i="4"/>
  <c r="AX318" i="4"/>
  <c r="AV318" i="4"/>
  <c r="AX317" i="4"/>
  <c r="AX363" i="4"/>
  <c r="AV317" i="4"/>
  <c r="AX316" i="4"/>
  <c r="AV316" i="4"/>
  <c r="AX315" i="4"/>
  <c r="AX361" i="4"/>
  <c r="AV315" i="4"/>
  <c r="AX314" i="4"/>
  <c r="AX305" i="4"/>
  <c r="AX309" i="4"/>
  <c r="AX345" i="4"/>
  <c r="AX349" i="4"/>
  <c r="AZ306" i="4"/>
  <c r="AZ310" i="4"/>
  <c r="AZ314" i="4"/>
  <c r="AV314" i="4"/>
  <c r="AX313" i="4"/>
  <c r="AV313" i="4"/>
  <c r="AX312" i="4"/>
  <c r="AV312" i="4"/>
  <c r="AX311" i="4"/>
  <c r="AV311" i="4"/>
  <c r="AJ338" i="4"/>
  <c r="AM306" i="4"/>
  <c r="AL306" i="4"/>
  <c r="AL310" i="4"/>
  <c r="AL314" i="4"/>
  <c r="AL318" i="4"/>
  <c r="AL322" i="4"/>
  <c r="AL326" i="4"/>
  <c r="AL330" i="4"/>
  <c r="AL334" i="4"/>
  <c r="AL338" i="4"/>
  <c r="AH338" i="4"/>
  <c r="AJ337" i="4"/>
  <c r="AL313" i="4"/>
  <c r="AL317" i="4"/>
  <c r="AL321" i="4"/>
  <c r="AL325" i="4"/>
  <c r="AL329" i="4"/>
  <c r="AL333" i="4"/>
  <c r="AL337" i="4"/>
  <c r="AH337" i="4"/>
  <c r="AJ336" i="4"/>
  <c r="AJ304" i="4"/>
  <c r="AL304" i="4"/>
  <c r="AL308" i="4"/>
  <c r="AL312" i="4"/>
  <c r="AL316" i="4"/>
  <c r="AL320" i="4"/>
  <c r="AL324" i="4"/>
  <c r="AL328" i="4"/>
  <c r="AL332" i="4"/>
  <c r="AL336" i="4"/>
  <c r="AH336" i="4"/>
  <c r="AJ335" i="4"/>
  <c r="AL323" i="4"/>
  <c r="AL327" i="4"/>
  <c r="AL331" i="4"/>
  <c r="AL335" i="4"/>
  <c r="AH335" i="4"/>
  <c r="AJ334" i="4"/>
  <c r="AH334" i="4"/>
  <c r="AJ333" i="4"/>
  <c r="AH333" i="4"/>
  <c r="AJ332" i="4"/>
  <c r="AH332" i="4"/>
  <c r="AJ331" i="4"/>
  <c r="AH331" i="4"/>
  <c r="AJ330" i="4"/>
  <c r="AH330" i="4"/>
  <c r="AJ329" i="4"/>
  <c r="AH329" i="4"/>
  <c r="AJ328" i="4"/>
  <c r="AH328" i="4"/>
  <c r="AJ327" i="4"/>
  <c r="AH327" i="4"/>
  <c r="AJ326" i="4"/>
  <c r="AH326" i="4"/>
  <c r="AJ325" i="4"/>
  <c r="AH325" i="4"/>
  <c r="AJ324" i="4"/>
  <c r="AH324" i="4"/>
  <c r="AJ323" i="4"/>
  <c r="AH323" i="4"/>
  <c r="AJ322" i="4"/>
  <c r="AH322" i="4"/>
  <c r="AJ321" i="4"/>
  <c r="AH321" i="4"/>
  <c r="AJ320" i="4"/>
  <c r="AH320" i="4"/>
  <c r="AJ319" i="4"/>
  <c r="AH319" i="4"/>
  <c r="AJ318" i="4"/>
  <c r="AH318" i="4"/>
  <c r="AJ317" i="4"/>
  <c r="AH317" i="4"/>
  <c r="AJ316" i="4"/>
  <c r="AH316" i="4"/>
  <c r="AJ315" i="4"/>
  <c r="AH315" i="4"/>
  <c r="AJ314" i="4"/>
  <c r="AH314" i="4"/>
  <c r="AJ313" i="4"/>
  <c r="AH313" i="4"/>
  <c r="AJ312" i="4"/>
  <c r="AH312" i="4"/>
  <c r="AJ311" i="4"/>
  <c r="AL303" i="4"/>
  <c r="AL307" i="4"/>
  <c r="AL311" i="4"/>
  <c r="AH311" i="4"/>
  <c r="X326" i="4"/>
  <c r="X330" i="4"/>
  <c r="X334" i="4"/>
  <c r="X338" i="4"/>
  <c r="T338" i="4"/>
  <c r="X305" i="4"/>
  <c r="X309" i="4"/>
  <c r="X313" i="4"/>
  <c r="X317" i="4"/>
  <c r="X321" i="4"/>
  <c r="X325" i="4"/>
  <c r="X329" i="4"/>
  <c r="X333" i="4"/>
  <c r="X337" i="4"/>
  <c r="T337" i="4"/>
  <c r="X304" i="4"/>
  <c r="X308" i="4"/>
  <c r="X312" i="4"/>
  <c r="X316" i="4"/>
  <c r="X320" i="4"/>
  <c r="X324" i="4"/>
  <c r="X328" i="4"/>
  <c r="X332" i="4"/>
  <c r="X336" i="4"/>
  <c r="T336" i="4"/>
  <c r="X303" i="4"/>
  <c r="X307" i="4"/>
  <c r="X311" i="4"/>
  <c r="X315" i="4"/>
  <c r="X319" i="4"/>
  <c r="X323" i="4"/>
  <c r="X327" i="4"/>
  <c r="X331" i="4"/>
  <c r="X335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X306" i="4"/>
  <c r="X310" i="4"/>
  <c r="X314" i="4"/>
  <c r="X318" i="4"/>
  <c r="T318" i="4"/>
  <c r="T317" i="4"/>
  <c r="T316" i="4"/>
  <c r="T315" i="4"/>
  <c r="T314" i="4"/>
  <c r="T313" i="4"/>
  <c r="T312" i="4"/>
  <c r="T311" i="4"/>
  <c r="J306" i="4"/>
  <c r="J310" i="4"/>
  <c r="J314" i="4"/>
  <c r="J318" i="4"/>
  <c r="J322" i="4"/>
  <c r="J326" i="4"/>
  <c r="J330" i="4"/>
  <c r="J334" i="4"/>
  <c r="J338" i="4"/>
  <c r="F318" i="4"/>
  <c r="J305" i="4"/>
  <c r="J309" i="4"/>
  <c r="J313" i="4"/>
  <c r="J317" i="4"/>
  <c r="J321" i="4"/>
  <c r="J325" i="4"/>
  <c r="J329" i="4"/>
  <c r="J333" i="4"/>
  <c r="J337" i="4"/>
  <c r="F317" i="4"/>
  <c r="J304" i="4"/>
  <c r="J308" i="4"/>
  <c r="J312" i="4"/>
  <c r="J316" i="4"/>
  <c r="J320" i="4"/>
  <c r="J324" i="4"/>
  <c r="J328" i="4"/>
  <c r="J332" i="4"/>
  <c r="J336" i="4"/>
  <c r="F316" i="4"/>
  <c r="J303" i="4"/>
  <c r="J307" i="4"/>
  <c r="J311" i="4"/>
  <c r="J315" i="4"/>
  <c r="F315" i="4"/>
  <c r="F314" i="4"/>
  <c r="F313" i="4"/>
  <c r="F312" i="4"/>
  <c r="F311" i="4"/>
  <c r="AX310" i="4"/>
  <c r="AX306" i="4"/>
  <c r="AX346" i="4"/>
  <c r="AX350" i="4"/>
  <c r="AV310" i="4"/>
  <c r="AV309" i="4"/>
  <c r="AX308" i="4"/>
  <c r="AV308" i="4"/>
  <c r="AX307" i="4"/>
  <c r="AV307" i="4"/>
  <c r="AV306" i="4"/>
  <c r="BB305" i="4"/>
  <c r="BC305" i="4"/>
  <c r="AV305" i="4"/>
  <c r="AX304" i="4"/>
  <c r="AX344" i="4"/>
  <c r="BC344" i="4"/>
  <c r="AX348" i="4"/>
  <c r="AV304" i="4"/>
  <c r="AX343" i="4"/>
  <c r="BC343" i="4"/>
  <c r="AX347" i="4"/>
  <c r="AV303" i="4"/>
  <c r="AJ310" i="4"/>
  <c r="AH310" i="4"/>
  <c r="AJ309" i="4"/>
  <c r="AH309" i="4"/>
  <c r="AJ308" i="4"/>
  <c r="AH308" i="4"/>
  <c r="AJ307" i="4"/>
  <c r="AH307" i="4"/>
  <c r="AJ306" i="4"/>
  <c r="AH306" i="4"/>
  <c r="AL305" i="4"/>
  <c r="AJ305" i="4"/>
  <c r="AJ345" i="4"/>
  <c r="AJ349" i="4"/>
  <c r="AJ363" i="4"/>
  <c r="AH305" i="4"/>
  <c r="AH304" i="4"/>
  <c r="AJ303" i="4"/>
  <c r="AH303" i="4"/>
  <c r="T310" i="4"/>
  <c r="T309" i="4"/>
  <c r="T308" i="4"/>
  <c r="T307" i="4"/>
  <c r="T306" i="4"/>
  <c r="T305" i="4"/>
  <c r="T304" i="4"/>
  <c r="T303" i="4"/>
  <c r="F310" i="4"/>
  <c r="F309" i="4"/>
  <c r="F308" i="4"/>
  <c r="F307" i="4"/>
  <c r="F306" i="4"/>
  <c r="F305" i="4"/>
  <c r="F304" i="4"/>
  <c r="F303" i="4"/>
  <c r="BA364" i="4"/>
  <c r="AZ364" i="4"/>
  <c r="AM364" i="4"/>
  <c r="AL364" i="4"/>
  <c r="Y364" i="4"/>
  <c r="X364" i="4"/>
  <c r="K364" i="4"/>
  <c r="J364" i="4"/>
  <c r="BA363" i="4"/>
  <c r="AZ363" i="4"/>
  <c r="AM363" i="4"/>
  <c r="AL363" i="4"/>
  <c r="Y363" i="4"/>
  <c r="X363" i="4"/>
  <c r="K363" i="4"/>
  <c r="J363" i="4"/>
  <c r="BA362" i="4"/>
  <c r="AZ362" i="4"/>
  <c r="AM362" i="4"/>
  <c r="AL362" i="4"/>
  <c r="Y362" i="4"/>
  <c r="X362" i="4"/>
  <c r="K362" i="4"/>
  <c r="J362" i="4"/>
  <c r="BA361" i="4"/>
  <c r="AZ361" i="4"/>
  <c r="AM361" i="4"/>
  <c r="AL361" i="4"/>
  <c r="Y361" i="4"/>
  <c r="X361" i="4"/>
  <c r="K361" i="4"/>
  <c r="J361" i="4"/>
  <c r="AX354" i="4"/>
  <c r="BC354" i="4"/>
  <c r="BB354" i="4"/>
  <c r="AZ354" i="4"/>
  <c r="AV354" i="4"/>
  <c r="BA354" i="4"/>
  <c r="AJ354" i="4"/>
  <c r="AO354" i="4"/>
  <c r="AN354" i="4"/>
  <c r="AM354" i="4"/>
  <c r="AL354" i="4"/>
  <c r="AH354" i="4"/>
  <c r="Z354" i="4"/>
  <c r="X354" i="4"/>
  <c r="V354" i="4"/>
  <c r="AA354" i="4"/>
  <c r="T354" i="4"/>
  <c r="H354" i="4"/>
  <c r="M354" i="4"/>
  <c r="L354" i="4"/>
  <c r="J354" i="4"/>
  <c r="F354" i="4"/>
  <c r="BB353" i="4"/>
  <c r="AZ353" i="4"/>
  <c r="AX353" i="4"/>
  <c r="BC353" i="4"/>
  <c r="AV353" i="4"/>
  <c r="AN353" i="4"/>
  <c r="AL353" i="4"/>
  <c r="AJ353" i="4"/>
  <c r="AO353" i="4"/>
  <c r="AH353" i="4"/>
  <c r="V353" i="4"/>
  <c r="AA353" i="4"/>
  <c r="Z353" i="4"/>
  <c r="X353" i="4"/>
  <c r="T353" i="4"/>
  <c r="H353" i="4"/>
  <c r="M353" i="4"/>
  <c r="L353" i="4"/>
  <c r="J353" i="4"/>
  <c r="F353" i="4"/>
  <c r="AX352" i="4"/>
  <c r="BC352" i="4"/>
  <c r="BB352" i="4"/>
  <c r="AZ352" i="4"/>
  <c r="AV352" i="4"/>
  <c r="BA352" i="4"/>
  <c r="AJ352" i="4"/>
  <c r="AO352" i="4"/>
  <c r="AN352" i="4"/>
  <c r="AL352" i="4"/>
  <c r="AH352" i="4"/>
  <c r="Z352" i="4"/>
  <c r="X352" i="4"/>
  <c r="V352" i="4"/>
  <c r="AA352" i="4"/>
  <c r="T352" i="4"/>
  <c r="L352" i="4"/>
  <c r="J352" i="4"/>
  <c r="H352" i="4"/>
  <c r="M352" i="4"/>
  <c r="F352" i="4"/>
  <c r="BB351" i="4"/>
  <c r="AZ351" i="4"/>
  <c r="AX351" i="4"/>
  <c r="BC351" i="4"/>
  <c r="AV351" i="4"/>
  <c r="AR351" i="4"/>
  <c r="AN351" i="4"/>
  <c r="AL351" i="4"/>
  <c r="AJ351" i="4"/>
  <c r="AO351" i="4"/>
  <c r="AH351" i="4"/>
  <c r="AM351" i="4"/>
  <c r="AD351" i="4"/>
  <c r="V351" i="4"/>
  <c r="AA351" i="4"/>
  <c r="X351" i="4"/>
  <c r="T351" i="4"/>
  <c r="P351" i="4"/>
  <c r="J351" i="4"/>
  <c r="H351" i="4"/>
  <c r="M351" i="4"/>
  <c r="F351" i="4"/>
  <c r="BB350" i="4"/>
  <c r="AZ350" i="4"/>
  <c r="BC350" i="4"/>
  <c r="AV350" i="4"/>
  <c r="AJ350" i="4"/>
  <c r="AO350" i="4"/>
  <c r="AN350" i="4"/>
  <c r="AL350" i="4"/>
  <c r="AH350" i="4"/>
  <c r="X350" i="4"/>
  <c r="V350" i="4"/>
  <c r="AA350" i="4"/>
  <c r="T350" i="4"/>
  <c r="M350" i="4"/>
  <c r="J350" i="4"/>
  <c r="F350" i="4"/>
  <c r="BB349" i="4"/>
  <c r="BA349" i="4"/>
  <c r="AZ349" i="4"/>
  <c r="BC349" i="4"/>
  <c r="AV349" i="4"/>
  <c r="AO349" i="4"/>
  <c r="AN349" i="4"/>
  <c r="AL349" i="4"/>
  <c r="AH349" i="4"/>
  <c r="V349" i="4"/>
  <c r="AA349" i="4"/>
  <c r="X349" i="4"/>
  <c r="T349" i="4"/>
  <c r="H349" i="4"/>
  <c r="M349" i="4"/>
  <c r="J349" i="4"/>
  <c r="F349" i="4"/>
  <c r="BC348" i="4"/>
  <c r="BB348" i="4"/>
  <c r="AZ348" i="4"/>
  <c r="AV348" i="4"/>
  <c r="AN348" i="4"/>
  <c r="AL348" i="4"/>
  <c r="AJ348" i="4"/>
  <c r="AO348" i="4"/>
  <c r="AH348" i="4"/>
  <c r="V348" i="4"/>
  <c r="AA348" i="4"/>
  <c r="Y348" i="4"/>
  <c r="X348" i="4"/>
  <c r="T348" i="4"/>
  <c r="J348" i="4"/>
  <c r="H348" i="4"/>
  <c r="M348" i="4"/>
  <c r="F348" i="4"/>
  <c r="BC347" i="4"/>
  <c r="BB347" i="4"/>
  <c r="AZ347" i="4"/>
  <c r="AV347" i="4"/>
  <c r="AR347" i="4"/>
  <c r="AN347" i="4"/>
  <c r="AL347" i="4"/>
  <c r="AJ347" i="4"/>
  <c r="AO347" i="4"/>
  <c r="AH347" i="4"/>
  <c r="AD347" i="4"/>
  <c r="X347" i="4"/>
  <c r="V347" i="4"/>
  <c r="AA347" i="4"/>
  <c r="T347" i="4"/>
  <c r="Y347" i="4"/>
  <c r="P347" i="4"/>
  <c r="H347" i="4"/>
  <c r="M347" i="4"/>
  <c r="J347" i="4"/>
  <c r="F347" i="4"/>
  <c r="BB346" i="4"/>
  <c r="AZ346" i="4"/>
  <c r="BC346" i="4"/>
  <c r="AV346" i="4"/>
  <c r="AN346" i="4"/>
  <c r="AL346" i="4"/>
  <c r="AJ346" i="4"/>
  <c r="AO346" i="4"/>
  <c r="AH346" i="4"/>
  <c r="Y346" i="4"/>
  <c r="X346" i="4"/>
  <c r="V346" i="4"/>
  <c r="AA346" i="4"/>
  <c r="T346" i="4"/>
  <c r="J346" i="4"/>
  <c r="H346" i="4"/>
  <c r="M346" i="4"/>
  <c r="F346" i="4"/>
  <c r="BC345" i="4"/>
  <c r="BB345" i="4"/>
  <c r="AZ345" i="4"/>
  <c r="AV345" i="4"/>
  <c r="AN345" i="4"/>
  <c r="AL345" i="4"/>
  <c r="AO345" i="4"/>
  <c r="AH345" i="4"/>
  <c r="X345" i="4"/>
  <c r="V345" i="4"/>
  <c r="AA345" i="4"/>
  <c r="T345" i="4"/>
  <c r="Y345" i="4"/>
  <c r="J345" i="4"/>
  <c r="H345" i="4"/>
  <c r="M345" i="4"/>
  <c r="F345" i="4"/>
  <c r="BB344" i="4"/>
  <c r="AZ344" i="4"/>
  <c r="AV344" i="4"/>
  <c r="AN344" i="4"/>
  <c r="AL344" i="4"/>
  <c r="AJ344" i="4"/>
  <c r="AO344" i="4"/>
  <c r="AH344" i="4"/>
  <c r="X344" i="4"/>
  <c r="V344" i="4"/>
  <c r="AA344" i="4"/>
  <c r="T344" i="4"/>
  <c r="J344" i="4"/>
  <c r="H344" i="4"/>
  <c r="M344" i="4"/>
  <c r="F344" i="4"/>
  <c r="BB343" i="4"/>
  <c r="AZ343" i="4"/>
  <c r="AV343" i="4"/>
  <c r="AR343" i="4"/>
  <c r="AN343" i="4"/>
  <c r="AL343" i="4"/>
  <c r="AJ343" i="4"/>
  <c r="AO343" i="4"/>
  <c r="AH343" i="4"/>
  <c r="AM343" i="4"/>
  <c r="AD343" i="4"/>
  <c r="X343" i="4"/>
  <c r="V343" i="4"/>
  <c r="AA343" i="4"/>
  <c r="T343" i="4"/>
  <c r="P343" i="4"/>
  <c r="H343" i="4"/>
  <c r="M343" i="4"/>
  <c r="J343" i="4"/>
  <c r="F343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J323" i="4"/>
  <c r="J327" i="4"/>
  <c r="J331" i="4"/>
  <c r="J335" i="4"/>
  <c r="F319" i="4"/>
  <c r="R405" i="4"/>
  <c r="A434" i="4"/>
  <c r="AT395" i="4"/>
  <c r="AT377" i="4"/>
  <c r="BA377" i="4"/>
  <c r="BA381" i="4"/>
  <c r="AT385" i="4"/>
  <c r="AT378" i="4"/>
  <c r="BA378" i="4"/>
  <c r="BA382" i="4"/>
  <c r="AT386" i="4"/>
  <c r="J389" i="4"/>
  <c r="K389" i="4"/>
  <c r="L389" i="4"/>
  <c r="M389" i="4"/>
  <c r="P389" i="4"/>
  <c r="AD389" i="4"/>
  <c r="AN389" i="4"/>
  <c r="AO389" i="4"/>
  <c r="AR389" i="4"/>
  <c r="AF386" i="4"/>
  <c r="AF378" i="4"/>
  <c r="AF377" i="4"/>
  <c r="AM377" i="4"/>
  <c r="AM381" i="4"/>
  <c r="AF379" i="4"/>
  <c r="AF380" i="4"/>
  <c r="AF385" i="4"/>
  <c r="AF425" i="4"/>
  <c r="AF424" i="4"/>
  <c r="AF423" i="4"/>
  <c r="AF422" i="4"/>
  <c r="AF421" i="4"/>
  <c r="AM421" i="4"/>
  <c r="AF420" i="4"/>
  <c r="AF419" i="4"/>
  <c r="AF418" i="4"/>
  <c r="AF417" i="4"/>
  <c r="AM417" i="4"/>
  <c r="AF408" i="4"/>
  <c r="AF407" i="4"/>
  <c r="AF406" i="4"/>
  <c r="AF405" i="4"/>
  <c r="AF404" i="4"/>
  <c r="AF403" i="4"/>
  <c r="AF402" i="4"/>
  <c r="AF401" i="4"/>
  <c r="AF400" i="4"/>
  <c r="AF399" i="4"/>
  <c r="AF398" i="4"/>
  <c r="AF397" i="4"/>
  <c r="AF396" i="4"/>
  <c r="AM396" i="4"/>
  <c r="AM400" i="4"/>
  <c r="AF395" i="4"/>
  <c r="AF394" i="4"/>
  <c r="AF393" i="4"/>
  <c r="AF388" i="4"/>
  <c r="AF387" i="4"/>
  <c r="AF429" i="4"/>
  <c r="AM378" i="4"/>
  <c r="AM382" i="4"/>
  <c r="L391" i="4"/>
  <c r="M391" i="4"/>
  <c r="AM379" i="4"/>
  <c r="AM383" i="4"/>
  <c r="AM387" i="4"/>
  <c r="AJ387" i="4"/>
  <c r="AN387" i="4"/>
  <c r="J392" i="4"/>
  <c r="J396" i="4"/>
  <c r="J400" i="4"/>
  <c r="J404" i="4"/>
  <c r="J408" i="4"/>
  <c r="K392" i="4"/>
  <c r="L392" i="4"/>
  <c r="M392" i="4"/>
  <c r="AN392" i="4"/>
  <c r="AO392" i="4"/>
  <c r="B389" i="4"/>
  <c r="D385" i="4"/>
  <c r="D386" i="4"/>
  <c r="D387" i="4"/>
  <c r="D379" i="4"/>
  <c r="D395" i="4"/>
  <c r="D399" i="4"/>
  <c r="D403" i="4"/>
  <c r="D407" i="4"/>
  <c r="D419" i="4"/>
  <c r="D423" i="4"/>
  <c r="D388" i="4"/>
  <c r="D393" i="4"/>
  <c r="D394" i="4"/>
  <c r="D396" i="4"/>
  <c r="D397" i="4"/>
  <c r="D398" i="4"/>
  <c r="D400" i="4"/>
  <c r="D401" i="4"/>
  <c r="D402" i="4"/>
  <c r="D404" i="4"/>
  <c r="D405" i="4"/>
  <c r="D406" i="4"/>
  <c r="D408" i="4"/>
  <c r="D417" i="4"/>
  <c r="D418" i="4"/>
  <c r="K418" i="4"/>
  <c r="D420" i="4"/>
  <c r="K420" i="4"/>
  <c r="R387" i="4"/>
  <c r="Y387" i="4"/>
  <c r="R388" i="4"/>
  <c r="Y388" i="4"/>
  <c r="V388" i="4"/>
  <c r="Z388" i="4"/>
  <c r="AA388" i="4"/>
  <c r="R385" i="4"/>
  <c r="Y385" i="4"/>
  <c r="Z385" i="4"/>
  <c r="R386" i="4"/>
  <c r="Y386" i="4"/>
  <c r="Z386" i="4"/>
  <c r="AA386" i="4"/>
  <c r="R393" i="4"/>
  <c r="Y393" i="4"/>
  <c r="R394" i="4"/>
  <c r="Y394" i="4"/>
  <c r="R395" i="4"/>
  <c r="R396" i="4"/>
  <c r="R397" i="4"/>
  <c r="R398" i="4"/>
  <c r="R399" i="4"/>
  <c r="R400" i="4"/>
  <c r="R401" i="4"/>
  <c r="R377" i="4"/>
  <c r="R417" i="4"/>
  <c r="B417" i="4"/>
  <c r="R421" i="4"/>
  <c r="Y401" i="4"/>
  <c r="R402" i="4"/>
  <c r="Y402" i="4"/>
  <c r="R403" i="4"/>
  <c r="R404" i="4"/>
  <c r="R406" i="4"/>
  <c r="R407" i="4"/>
  <c r="R408" i="4"/>
  <c r="R380" i="4"/>
  <c r="Y380" i="4"/>
  <c r="Z380" i="4"/>
  <c r="AA380" i="4"/>
  <c r="Y417" i="4"/>
  <c r="R418" i="4"/>
  <c r="R419" i="4"/>
  <c r="R420" i="4"/>
  <c r="Y420" i="4"/>
  <c r="AJ386" i="4"/>
  <c r="AM420" i="4"/>
  <c r="AT387" i="4"/>
  <c r="AT379" i="4"/>
  <c r="BA379" i="4"/>
  <c r="BA383" i="4"/>
  <c r="BA387" i="4"/>
  <c r="AT388" i="4"/>
  <c r="AT380" i="4"/>
  <c r="AT393" i="4"/>
  <c r="AT394" i="4"/>
  <c r="AT396" i="4"/>
  <c r="AX396" i="4"/>
  <c r="BB396" i="4"/>
  <c r="AT400" i="4"/>
  <c r="BA400" i="4"/>
  <c r="AT404" i="4"/>
  <c r="AT408" i="4"/>
  <c r="AT420" i="4"/>
  <c r="BA420" i="4"/>
  <c r="AT424" i="4"/>
  <c r="AT397" i="4"/>
  <c r="AT398" i="4"/>
  <c r="AT399" i="4"/>
  <c r="AT401" i="4"/>
  <c r="AT402" i="4"/>
  <c r="AT403" i="4"/>
  <c r="AT437" i="4"/>
  <c r="AT405" i="4"/>
  <c r="AT406" i="4"/>
  <c r="AT418" i="4"/>
  <c r="AT422" i="4"/>
  <c r="BA422" i="4"/>
  <c r="AT407" i="4"/>
  <c r="AT417" i="4"/>
  <c r="BA417" i="4"/>
  <c r="BA418" i="4"/>
  <c r="AT419" i="4"/>
  <c r="BA419" i="4"/>
  <c r="AT421" i="4"/>
  <c r="AT423" i="4"/>
  <c r="AT425" i="4"/>
  <c r="BA425" i="4"/>
  <c r="L419" i="4"/>
  <c r="L423" i="4"/>
  <c r="H385" i="4"/>
  <c r="L385" i="4"/>
  <c r="H393" i="4"/>
  <c r="H397" i="4"/>
  <c r="H401" i="4"/>
  <c r="H405" i="4"/>
  <c r="L417" i="4"/>
  <c r="L421" i="4"/>
  <c r="L425" i="4"/>
  <c r="H386" i="4"/>
  <c r="H394" i="4"/>
  <c r="H398" i="4"/>
  <c r="H402" i="4"/>
  <c r="H406" i="4"/>
  <c r="L418" i="4"/>
  <c r="L422" i="4"/>
  <c r="H387" i="4"/>
  <c r="H380" i="4"/>
  <c r="H396" i="4"/>
  <c r="H400" i="4"/>
  <c r="H438" i="4"/>
  <c r="H404" i="4"/>
  <c r="H420" i="4"/>
  <c r="H408" i="4"/>
  <c r="H395" i="4"/>
  <c r="K395" i="4"/>
  <c r="H399" i="4"/>
  <c r="H403" i="4"/>
  <c r="H407" i="4"/>
  <c r="H388" i="4"/>
  <c r="L420" i="4"/>
  <c r="L424" i="4"/>
  <c r="V387" i="4"/>
  <c r="V395" i="4"/>
  <c r="Y395" i="4"/>
  <c r="Y399" i="4"/>
  <c r="V399" i="4"/>
  <c r="V403" i="4"/>
  <c r="V407" i="4"/>
  <c r="Z419" i="4"/>
  <c r="Z423" i="4"/>
  <c r="V396" i="4"/>
  <c r="V400" i="4"/>
  <c r="Y398" i="4"/>
  <c r="V398" i="4"/>
  <c r="V404" i="4"/>
  <c r="V408" i="4"/>
  <c r="Z420" i="4"/>
  <c r="Z424" i="4"/>
  <c r="V385" i="4"/>
  <c r="V393" i="4"/>
  <c r="V397" i="4"/>
  <c r="Z397" i="4"/>
  <c r="AA397" i="4"/>
  <c r="V401" i="4"/>
  <c r="V405" i="4"/>
  <c r="Z417" i="4"/>
  <c r="Z421" i="4"/>
  <c r="Z425" i="4"/>
  <c r="V386" i="4"/>
  <c r="V394" i="4"/>
  <c r="Z394" i="4"/>
  <c r="V402" i="4"/>
  <c r="V406" i="4"/>
  <c r="Z418" i="4"/>
  <c r="Z422" i="4"/>
  <c r="V380" i="4"/>
  <c r="B381" i="4"/>
  <c r="AD381" i="4"/>
  <c r="P381" i="4"/>
  <c r="AV379" i="4"/>
  <c r="D447" i="4"/>
  <c r="D448" i="4"/>
  <c r="D452" i="4"/>
  <c r="D456" i="4"/>
  <c r="D460" i="4"/>
  <c r="D476" i="4"/>
  <c r="K476" i="4"/>
  <c r="D496" i="4"/>
  <c r="K496" i="4"/>
  <c r="D492" i="4"/>
  <c r="K492" i="4"/>
  <c r="D488" i="4"/>
  <c r="D484" i="4"/>
  <c r="D480" i="4"/>
  <c r="D449" i="4"/>
  <c r="D450" i="4"/>
  <c r="D451" i="4"/>
  <c r="D453" i="4"/>
  <c r="K453" i="4"/>
  <c r="D454" i="4"/>
  <c r="D455" i="4"/>
  <c r="D457" i="4"/>
  <c r="D461" i="4"/>
  <c r="D477" i="4"/>
  <c r="K477" i="4"/>
  <c r="D481" i="4"/>
  <c r="D485" i="4"/>
  <c r="D497" i="4"/>
  <c r="D493" i="4"/>
  <c r="K493" i="4"/>
  <c r="D489" i="4"/>
  <c r="D458" i="4"/>
  <c r="K458" i="4"/>
  <c r="D459" i="4"/>
  <c r="D462" i="4"/>
  <c r="D474" i="4"/>
  <c r="D475" i="4"/>
  <c r="D478" i="4"/>
  <c r="D479" i="4"/>
  <c r="K479" i="4"/>
  <c r="K480" i="4"/>
  <c r="K481" i="4"/>
  <c r="D482" i="4"/>
  <c r="D483" i="4"/>
  <c r="K483" i="4"/>
  <c r="K484" i="4"/>
  <c r="K485" i="4"/>
  <c r="D486" i="4"/>
  <c r="D487" i="4"/>
  <c r="K487" i="4"/>
  <c r="D490" i="4"/>
  <c r="K490" i="4"/>
  <c r="D491" i="4"/>
  <c r="D494" i="4"/>
  <c r="K494" i="4"/>
  <c r="D495" i="4"/>
  <c r="D498" i="4"/>
  <c r="D499" i="4"/>
  <c r="A508" i="4"/>
  <c r="R447" i="4"/>
  <c r="R451" i="4"/>
  <c r="R448" i="4"/>
  <c r="R449" i="4"/>
  <c r="R450" i="4"/>
  <c r="R452" i="4"/>
  <c r="R499" i="4"/>
  <c r="R498" i="4"/>
  <c r="Y498" i="4"/>
  <c r="R497" i="4"/>
  <c r="Y497" i="4"/>
  <c r="R496" i="4"/>
  <c r="R495" i="4"/>
  <c r="R494" i="4"/>
  <c r="Y494" i="4"/>
  <c r="R493" i="4"/>
  <c r="R492" i="4"/>
  <c r="R491" i="4"/>
  <c r="Y491" i="4"/>
  <c r="R490" i="4"/>
  <c r="Y490" i="4"/>
  <c r="R489" i="4"/>
  <c r="R488" i="4"/>
  <c r="R487" i="4"/>
  <c r="Y487" i="4"/>
  <c r="R486" i="4"/>
  <c r="R485" i="4"/>
  <c r="R484" i="4"/>
  <c r="R483" i="4"/>
  <c r="Y483" i="4"/>
  <c r="R482" i="4"/>
  <c r="R481" i="4"/>
  <c r="R480" i="4"/>
  <c r="R479" i="4"/>
  <c r="R478" i="4"/>
  <c r="R477" i="4"/>
  <c r="R476" i="4"/>
  <c r="R475" i="4"/>
  <c r="R474" i="4"/>
  <c r="R462" i="4"/>
  <c r="R461" i="4"/>
  <c r="R460" i="4"/>
  <c r="Y460" i="4"/>
  <c r="R459" i="4"/>
  <c r="R458" i="4"/>
  <c r="R457" i="4"/>
  <c r="R456" i="4"/>
  <c r="Y456" i="4"/>
  <c r="R455" i="4"/>
  <c r="R454" i="4"/>
  <c r="R453" i="4"/>
  <c r="R503" i="4"/>
  <c r="R504" i="4"/>
  <c r="S504" i="4"/>
  <c r="Y475" i="4"/>
  <c r="Y453" i="4"/>
  <c r="Y454" i="4"/>
  <c r="Y478" i="4"/>
  <c r="Y480" i="4"/>
  <c r="Y481" i="4"/>
  <c r="Y488" i="4"/>
  <c r="Y492" i="4"/>
  <c r="Y493" i="4"/>
  <c r="Y496" i="4"/>
  <c r="AF451" i="4"/>
  <c r="AM451" i="4"/>
  <c r="AF452" i="4"/>
  <c r="AF453" i="4"/>
  <c r="AF454" i="4"/>
  <c r="AM454" i="4"/>
  <c r="AM458" i="4"/>
  <c r="AF459" i="4"/>
  <c r="AF460" i="4"/>
  <c r="AF461" i="4"/>
  <c r="AF462" i="4"/>
  <c r="AF474" i="4"/>
  <c r="AM474" i="4"/>
  <c r="AF478" i="4"/>
  <c r="AF482" i="4"/>
  <c r="AF486" i="4"/>
  <c r="AM486" i="4"/>
  <c r="AF498" i="4"/>
  <c r="AM498" i="4"/>
  <c r="AF494" i="4"/>
  <c r="AF490" i="4"/>
  <c r="AF475" i="4"/>
  <c r="AF479" i="4"/>
  <c r="AF483" i="4"/>
  <c r="AM483" i="4"/>
  <c r="AF487" i="4"/>
  <c r="AF491" i="4"/>
  <c r="AF495" i="4"/>
  <c r="AF509" i="4"/>
  <c r="AI509" i="4"/>
  <c r="AF476" i="4"/>
  <c r="AF477" i="4"/>
  <c r="AF480" i="4"/>
  <c r="AM480" i="4"/>
  <c r="AF481" i="4"/>
  <c r="AF484" i="4"/>
  <c r="AM484" i="4"/>
  <c r="AF485" i="4"/>
  <c r="AM485" i="4"/>
  <c r="AM487" i="4"/>
  <c r="AF488" i="4"/>
  <c r="AF489" i="4"/>
  <c r="AM490" i="4"/>
  <c r="AF492" i="4"/>
  <c r="AM492" i="4"/>
  <c r="AF493" i="4"/>
  <c r="AM493" i="4"/>
  <c r="AM495" i="4"/>
  <c r="AF496" i="4"/>
  <c r="AM496" i="4"/>
  <c r="AF497" i="4"/>
  <c r="AM497" i="4"/>
  <c r="AF499" i="4"/>
  <c r="AM499" i="4"/>
  <c r="AT451" i="4"/>
  <c r="AT452" i="4"/>
  <c r="AT453" i="4"/>
  <c r="BA453" i="4"/>
  <c r="BA457" i="4"/>
  <c r="BB457" i="4"/>
  <c r="BC457" i="4"/>
  <c r="AT454" i="4"/>
  <c r="AT503" i="4"/>
  <c r="AT459" i="4"/>
  <c r="AT460" i="4"/>
  <c r="AT461" i="4"/>
  <c r="AT462" i="4"/>
  <c r="AT474" i="4"/>
  <c r="BA474" i="4"/>
  <c r="AT478" i="4"/>
  <c r="BA478" i="4"/>
  <c r="AT482" i="4"/>
  <c r="BA482" i="4"/>
  <c r="AT486" i="4"/>
  <c r="BA486" i="4"/>
  <c r="AT490" i="4"/>
  <c r="BA490" i="4"/>
  <c r="AT494" i="4"/>
  <c r="AT498" i="4"/>
  <c r="AT475" i="4"/>
  <c r="BA475" i="4"/>
  <c r="AT476" i="4"/>
  <c r="BA476" i="4"/>
  <c r="AT477" i="4"/>
  <c r="AT479" i="4"/>
  <c r="BA479" i="4"/>
  <c r="AT483" i="4"/>
  <c r="AT487" i="4"/>
  <c r="AT491" i="4"/>
  <c r="BA491" i="4"/>
  <c r="AT495" i="4"/>
  <c r="BA495" i="4"/>
  <c r="AT480" i="4"/>
  <c r="AT484" i="4"/>
  <c r="AT488" i="4"/>
  <c r="AT492" i="4"/>
  <c r="AT496" i="4"/>
  <c r="BA496" i="4"/>
  <c r="AT481" i="4"/>
  <c r="BA481" i="4"/>
  <c r="BA483" i="4"/>
  <c r="AT485" i="4"/>
  <c r="BA485" i="4"/>
  <c r="BA487" i="4"/>
  <c r="AT489" i="4"/>
  <c r="BA492" i="4"/>
  <c r="AT493" i="4"/>
  <c r="BA493" i="4"/>
  <c r="BA494" i="4"/>
  <c r="AT497" i="4"/>
  <c r="BA497" i="4"/>
  <c r="AT499" i="4"/>
  <c r="BA424" i="4"/>
  <c r="AM380" i="4"/>
  <c r="AM422" i="4"/>
  <c r="AM424" i="4"/>
  <c r="AM425" i="4"/>
  <c r="R378" i="4"/>
  <c r="R436" i="4"/>
  <c r="R379" i="4"/>
  <c r="R422" i="4"/>
  <c r="R423" i="4"/>
  <c r="R424" i="4"/>
  <c r="R425" i="4"/>
  <c r="Y425" i="4"/>
  <c r="V462" i="4"/>
  <c r="H451" i="4"/>
  <c r="AZ428" i="4"/>
  <c r="AZ427" i="4"/>
  <c r="AZ426" i="4"/>
  <c r="AZ425" i="4"/>
  <c r="AZ424" i="4"/>
  <c r="AZ423" i="4"/>
  <c r="AZ422" i="4"/>
  <c r="AZ421" i="4"/>
  <c r="AZ420" i="4"/>
  <c r="AZ419" i="4"/>
  <c r="AZ418" i="4"/>
  <c r="AZ417" i="4"/>
  <c r="AZ395" i="4"/>
  <c r="AZ399" i="4"/>
  <c r="AZ403" i="4"/>
  <c r="AZ407" i="4"/>
  <c r="AZ394" i="4"/>
  <c r="AZ398" i="4"/>
  <c r="AZ402" i="4"/>
  <c r="AZ406" i="4"/>
  <c r="AZ396" i="4"/>
  <c r="AZ400" i="4"/>
  <c r="AZ404" i="4"/>
  <c r="AZ408" i="4"/>
  <c r="AZ393" i="4"/>
  <c r="AZ397" i="4"/>
  <c r="AZ401" i="4"/>
  <c r="AZ405" i="4"/>
  <c r="AZ388" i="4"/>
  <c r="AZ387" i="4"/>
  <c r="AZ386" i="4"/>
  <c r="AZ385" i="4"/>
  <c r="AZ380" i="4"/>
  <c r="AZ379" i="4"/>
  <c r="AZ378" i="4"/>
  <c r="AZ377" i="4"/>
  <c r="AX380" i="4"/>
  <c r="AX387" i="4"/>
  <c r="AX400" i="4"/>
  <c r="AX404" i="4"/>
  <c r="AX424" i="4"/>
  <c r="AX420" i="4"/>
  <c r="AX408" i="4"/>
  <c r="AV396" i="4"/>
  <c r="AX395" i="4"/>
  <c r="AV395" i="4"/>
  <c r="AX394" i="4"/>
  <c r="AV394" i="4"/>
  <c r="AX393" i="4"/>
  <c r="AV393" i="4"/>
  <c r="AX388" i="4"/>
  <c r="AV388" i="4"/>
  <c r="AV387" i="4"/>
  <c r="AX386" i="4"/>
  <c r="AV386" i="4"/>
  <c r="AX385" i="4"/>
  <c r="AV385" i="4"/>
  <c r="AJ396" i="4"/>
  <c r="AN396" i="4"/>
  <c r="AO396" i="4"/>
  <c r="AL396" i="4"/>
  <c r="AL400" i="4"/>
  <c r="AL404" i="4"/>
  <c r="AL408" i="4"/>
  <c r="AH396" i="4"/>
  <c r="AJ395" i="4"/>
  <c r="AL395" i="4"/>
  <c r="AL399" i="4"/>
  <c r="AL403" i="4"/>
  <c r="AL407" i="4"/>
  <c r="AH395" i="4"/>
  <c r="AJ394" i="4"/>
  <c r="AL394" i="4"/>
  <c r="AL398" i="4"/>
  <c r="AL402" i="4"/>
  <c r="AL406" i="4"/>
  <c r="AH394" i="4"/>
  <c r="AJ393" i="4"/>
  <c r="AL393" i="4"/>
  <c r="AL397" i="4"/>
  <c r="AL401" i="4"/>
  <c r="AL405" i="4"/>
  <c r="AH393" i="4"/>
  <c r="AJ388" i="4"/>
  <c r="AL388" i="4"/>
  <c r="AH388" i="4"/>
  <c r="AL387" i="4"/>
  <c r="AH387" i="4"/>
  <c r="AL386" i="4"/>
  <c r="AH386" i="4"/>
  <c r="AJ385" i="4"/>
  <c r="AN385" i="4"/>
  <c r="AH385" i="4"/>
  <c r="X396" i="4"/>
  <c r="X400" i="4"/>
  <c r="X404" i="4"/>
  <c r="X408" i="4"/>
  <c r="T396" i="4"/>
  <c r="X395" i="4"/>
  <c r="X399" i="4"/>
  <c r="T395" i="4"/>
  <c r="X394" i="4"/>
  <c r="X398" i="4"/>
  <c r="X402" i="4"/>
  <c r="X406" i="4"/>
  <c r="T394" i="4"/>
  <c r="X393" i="4"/>
  <c r="T393" i="4"/>
  <c r="X388" i="4"/>
  <c r="T388" i="4"/>
  <c r="X387" i="4"/>
  <c r="T387" i="4"/>
  <c r="X386" i="4"/>
  <c r="T386" i="4"/>
  <c r="X385" i="4"/>
  <c r="T385" i="4"/>
  <c r="AD425" i="4"/>
  <c r="AD421" i="4"/>
  <c r="AD417" i="4"/>
  <c r="AD405" i="4"/>
  <c r="AD401" i="4"/>
  <c r="AD397" i="4"/>
  <c r="AD393" i="4"/>
  <c r="AD385" i="4"/>
  <c r="AD377" i="4"/>
  <c r="AR425" i="4"/>
  <c r="AR421" i="4"/>
  <c r="AR417" i="4"/>
  <c r="AR405" i="4"/>
  <c r="AR401" i="4"/>
  <c r="AR397" i="4"/>
  <c r="AR393" i="4"/>
  <c r="AR385" i="4"/>
  <c r="AR377" i="4"/>
  <c r="P425" i="4"/>
  <c r="P421" i="4"/>
  <c r="P417" i="4"/>
  <c r="P405" i="4"/>
  <c r="P401" i="4"/>
  <c r="P397" i="4"/>
  <c r="P393" i="4"/>
  <c r="P385" i="4"/>
  <c r="P377" i="4"/>
  <c r="BB380" i="4"/>
  <c r="AV380" i="4"/>
  <c r="AL380" i="4"/>
  <c r="AJ380" i="4"/>
  <c r="AH380" i="4"/>
  <c r="BB379" i="4"/>
  <c r="AX379" i="4"/>
  <c r="BC379" i="4"/>
  <c r="AJ379" i="4"/>
  <c r="AJ399" i="4"/>
  <c r="AJ403" i="4"/>
  <c r="AJ407" i="4"/>
  <c r="AJ419" i="4"/>
  <c r="AO419" i="4"/>
  <c r="AJ423" i="4"/>
  <c r="AO423" i="4"/>
  <c r="AL379" i="4"/>
  <c r="AH379" i="4"/>
  <c r="BB378" i="4"/>
  <c r="AX378" i="4"/>
  <c r="AV378" i="4"/>
  <c r="AL378" i="4"/>
  <c r="AJ378" i="4"/>
  <c r="AH378" i="4"/>
  <c r="BB377" i="4"/>
  <c r="AX377" i="4"/>
  <c r="BC377" i="4"/>
  <c r="AV377" i="4"/>
  <c r="AL377" i="4"/>
  <c r="AJ377" i="4"/>
  <c r="AH377" i="4"/>
  <c r="X380" i="4"/>
  <c r="T380" i="4"/>
  <c r="X379" i="4"/>
  <c r="V379" i="4"/>
  <c r="T379" i="4"/>
  <c r="V378" i="4"/>
  <c r="X378" i="4"/>
  <c r="T378" i="4"/>
  <c r="X377" i="4"/>
  <c r="V377" i="4"/>
  <c r="T377" i="4"/>
  <c r="J380" i="4"/>
  <c r="F380" i="4"/>
  <c r="D380" i="4"/>
  <c r="J379" i="4"/>
  <c r="J387" i="4"/>
  <c r="J395" i="4"/>
  <c r="J399" i="4"/>
  <c r="J403" i="4"/>
  <c r="J407" i="4"/>
  <c r="H379" i="4"/>
  <c r="F379" i="4"/>
  <c r="J378" i="4"/>
  <c r="J386" i="4"/>
  <c r="J390" i="4"/>
  <c r="J394" i="4"/>
  <c r="J398" i="4"/>
  <c r="J402" i="4"/>
  <c r="J406" i="4"/>
  <c r="H378" i="4"/>
  <c r="F378" i="4"/>
  <c r="D378" i="4"/>
  <c r="K378" i="4"/>
  <c r="L378" i="4"/>
  <c r="M378" i="4"/>
  <c r="D377" i="4"/>
  <c r="H377" i="4"/>
  <c r="J377" i="4"/>
  <c r="F377" i="4"/>
  <c r="BA438" i="4"/>
  <c r="AZ438" i="4"/>
  <c r="AM438" i="4"/>
  <c r="AL438" i="4"/>
  <c r="Y438" i="4"/>
  <c r="X438" i="4"/>
  <c r="K438" i="4"/>
  <c r="J438" i="4"/>
  <c r="BA437" i="4"/>
  <c r="AZ437" i="4"/>
  <c r="AM437" i="4"/>
  <c r="AL437" i="4"/>
  <c r="Y437" i="4"/>
  <c r="X437" i="4"/>
  <c r="K437" i="4"/>
  <c r="J437" i="4"/>
  <c r="BA436" i="4"/>
  <c r="AZ436" i="4"/>
  <c r="AM436" i="4"/>
  <c r="AL436" i="4"/>
  <c r="Y436" i="4"/>
  <c r="X436" i="4"/>
  <c r="K436" i="4"/>
  <c r="J436" i="4"/>
  <c r="BA435" i="4"/>
  <c r="AZ435" i="4"/>
  <c r="AM435" i="4"/>
  <c r="AL435" i="4"/>
  <c r="Y435" i="4"/>
  <c r="X435" i="4"/>
  <c r="K435" i="4"/>
  <c r="J435" i="4"/>
  <c r="BB428" i="4"/>
  <c r="AX428" i="4"/>
  <c r="BC428" i="4"/>
  <c r="AV428" i="4"/>
  <c r="AT428" i="4"/>
  <c r="BA428" i="4"/>
  <c r="AJ428" i="4"/>
  <c r="AO428" i="4"/>
  <c r="AN428" i="4"/>
  <c r="AF428" i="4"/>
  <c r="AM428" i="4"/>
  <c r="AL428" i="4"/>
  <c r="AH428" i="4"/>
  <c r="Z428" i="4"/>
  <c r="X428" i="4"/>
  <c r="V428" i="4"/>
  <c r="AA428" i="4"/>
  <c r="T428" i="4"/>
  <c r="R428" i="4"/>
  <c r="Y428" i="4"/>
  <c r="H428" i="4"/>
  <c r="M428" i="4"/>
  <c r="L428" i="4"/>
  <c r="J428" i="4"/>
  <c r="F428" i="4"/>
  <c r="D428" i="4"/>
  <c r="K428" i="4"/>
  <c r="BB427" i="4"/>
  <c r="AT427" i="4"/>
  <c r="BA427" i="4"/>
  <c r="AX427" i="4"/>
  <c r="BC427" i="4"/>
  <c r="AV427" i="4"/>
  <c r="AN427" i="4"/>
  <c r="AF427" i="4"/>
  <c r="AM427" i="4"/>
  <c r="AL427" i="4"/>
  <c r="AJ427" i="4"/>
  <c r="AO427" i="4"/>
  <c r="AH427" i="4"/>
  <c r="V427" i="4"/>
  <c r="AA427" i="4"/>
  <c r="Z427" i="4"/>
  <c r="R427" i="4"/>
  <c r="Y427" i="4"/>
  <c r="X427" i="4"/>
  <c r="T427" i="4"/>
  <c r="L427" i="4"/>
  <c r="J427" i="4"/>
  <c r="H427" i="4"/>
  <c r="M427" i="4"/>
  <c r="F427" i="4"/>
  <c r="D427" i="4"/>
  <c r="D425" i="4"/>
  <c r="K425" i="4"/>
  <c r="D426" i="4"/>
  <c r="K426" i="4"/>
  <c r="R426" i="4"/>
  <c r="Y426" i="4"/>
  <c r="AF426" i="4"/>
  <c r="AM426" i="4"/>
  <c r="AT426" i="4"/>
  <c r="BA426" i="4"/>
  <c r="AX426" i="4"/>
  <c r="BC426" i="4"/>
  <c r="BB426" i="4"/>
  <c r="AV426" i="4"/>
  <c r="AN426" i="4"/>
  <c r="AL426" i="4"/>
  <c r="AJ426" i="4"/>
  <c r="AO426" i="4"/>
  <c r="AH426" i="4"/>
  <c r="V426" i="4"/>
  <c r="AA426" i="4"/>
  <c r="Z426" i="4"/>
  <c r="X426" i="4"/>
  <c r="T426" i="4"/>
  <c r="L426" i="4"/>
  <c r="J426" i="4"/>
  <c r="H426" i="4"/>
  <c r="M426" i="4"/>
  <c r="F426" i="4"/>
  <c r="BB425" i="4"/>
  <c r="AX425" i="4"/>
  <c r="BC425" i="4"/>
  <c r="AV425" i="4"/>
  <c r="AJ425" i="4"/>
  <c r="AO425" i="4"/>
  <c r="AN425" i="4"/>
  <c r="AL425" i="4"/>
  <c r="AH425" i="4"/>
  <c r="V425" i="4"/>
  <c r="AA425" i="4"/>
  <c r="X425" i="4"/>
  <c r="T425" i="4"/>
  <c r="J425" i="4"/>
  <c r="H425" i="4"/>
  <c r="M425" i="4"/>
  <c r="F425" i="4"/>
  <c r="BC424" i="4"/>
  <c r="BB424" i="4"/>
  <c r="AV424" i="4"/>
  <c r="AN424" i="4"/>
  <c r="AL424" i="4"/>
  <c r="AJ424" i="4"/>
  <c r="AH424" i="4"/>
  <c r="V424" i="4"/>
  <c r="AA424" i="4"/>
  <c r="X424" i="4"/>
  <c r="T424" i="4"/>
  <c r="M424" i="4"/>
  <c r="D424" i="4"/>
  <c r="K424" i="4"/>
  <c r="J424" i="4"/>
  <c r="F424" i="4"/>
  <c r="BB423" i="4"/>
  <c r="AX423" i="4"/>
  <c r="BC423" i="4"/>
  <c r="AV423" i="4"/>
  <c r="AN423" i="4"/>
  <c r="AM423" i="4"/>
  <c r="AL423" i="4"/>
  <c r="AH423" i="4"/>
  <c r="X423" i="4"/>
  <c r="V423" i="4"/>
  <c r="AA423" i="4"/>
  <c r="T423" i="4"/>
  <c r="Y423" i="4"/>
  <c r="H423" i="4"/>
  <c r="M423" i="4"/>
  <c r="K423" i="4"/>
  <c r="J423" i="4"/>
  <c r="F423" i="4"/>
  <c r="BB422" i="4"/>
  <c r="AX422" i="4"/>
  <c r="BC422" i="4"/>
  <c r="AV422" i="4"/>
  <c r="AJ422" i="4"/>
  <c r="AO422" i="4"/>
  <c r="AN422" i="4"/>
  <c r="AL422" i="4"/>
  <c r="AH422" i="4"/>
  <c r="V422" i="4"/>
  <c r="V436" i="4"/>
  <c r="V439" i="4"/>
  <c r="AA422" i="4"/>
  <c r="Y422" i="4"/>
  <c r="X422" i="4"/>
  <c r="T422" i="4"/>
  <c r="J422" i="4"/>
  <c r="H422" i="4"/>
  <c r="M422" i="4"/>
  <c r="F422" i="4"/>
  <c r="D422" i="4"/>
  <c r="K422" i="4"/>
  <c r="AX421" i="4"/>
  <c r="BC421" i="4"/>
  <c r="BB421" i="4"/>
  <c r="AV421" i="4"/>
  <c r="BA421" i="4"/>
  <c r="AN421" i="4"/>
  <c r="AL421" i="4"/>
  <c r="AJ421" i="4"/>
  <c r="AO421" i="4"/>
  <c r="AH421" i="4"/>
  <c r="X421" i="4"/>
  <c r="V421" i="4"/>
  <c r="AA421" i="4"/>
  <c r="T421" i="4"/>
  <c r="Y421" i="4"/>
  <c r="H421" i="4"/>
  <c r="M421" i="4"/>
  <c r="D421" i="4"/>
  <c r="K421" i="4"/>
  <c r="J421" i="4"/>
  <c r="F421" i="4"/>
  <c r="BB420" i="4"/>
  <c r="BC420" i="4"/>
  <c r="AV420" i="4"/>
  <c r="AJ420" i="4"/>
  <c r="AO420" i="4"/>
  <c r="AN420" i="4"/>
  <c r="AL420" i="4"/>
  <c r="AH420" i="4"/>
  <c r="V420" i="4"/>
  <c r="AA420" i="4"/>
  <c r="X420" i="4"/>
  <c r="T420" i="4"/>
  <c r="J420" i="4"/>
  <c r="M420" i="4"/>
  <c r="F420" i="4"/>
  <c r="AX419" i="4"/>
  <c r="BC419" i="4"/>
  <c r="BB419" i="4"/>
  <c r="AV419" i="4"/>
  <c r="AN419" i="4"/>
  <c r="AL419" i="4"/>
  <c r="AH419" i="4"/>
  <c r="AM419" i="4"/>
  <c r="V419" i="4"/>
  <c r="AA419" i="4"/>
  <c r="X419" i="4"/>
  <c r="T419" i="4"/>
  <c r="Y419" i="4"/>
  <c r="H419" i="4"/>
  <c r="M419" i="4"/>
  <c r="J419" i="4"/>
  <c r="F419" i="4"/>
  <c r="BB418" i="4"/>
  <c r="AX418" i="4"/>
  <c r="BC418" i="4"/>
  <c r="AV418" i="4"/>
  <c r="AJ418" i="4"/>
  <c r="AO418" i="4"/>
  <c r="AN418" i="4"/>
  <c r="AM418" i="4"/>
  <c r="AL418" i="4"/>
  <c r="AH418" i="4"/>
  <c r="V418" i="4"/>
  <c r="AA418" i="4"/>
  <c r="X418" i="4"/>
  <c r="T418" i="4"/>
  <c r="Y418" i="4"/>
  <c r="H418" i="4"/>
  <c r="J418" i="4"/>
  <c r="F418" i="4"/>
  <c r="BB417" i="4"/>
  <c r="AX417" i="4"/>
  <c r="BC417" i="4"/>
  <c r="AV417" i="4"/>
  <c r="AJ417" i="4"/>
  <c r="AO417" i="4"/>
  <c r="AN417" i="4"/>
  <c r="AL417" i="4"/>
  <c r="AH417" i="4"/>
  <c r="V417" i="4"/>
  <c r="AA417" i="4"/>
  <c r="X417" i="4"/>
  <c r="T417" i="4"/>
  <c r="J417" i="4"/>
  <c r="H417" i="4"/>
  <c r="M417" i="4"/>
  <c r="F417" i="4"/>
  <c r="AV408" i="4"/>
  <c r="AJ408" i="4"/>
  <c r="AH408" i="4"/>
  <c r="T408" i="4"/>
  <c r="F408" i="4"/>
  <c r="AX407" i="4"/>
  <c r="AV407" i="4"/>
  <c r="AH407" i="4"/>
  <c r="T407" i="4"/>
  <c r="F407" i="4"/>
  <c r="AX406" i="4"/>
  <c r="AV406" i="4"/>
  <c r="AJ406" i="4"/>
  <c r="AH406" i="4"/>
  <c r="T406" i="4"/>
  <c r="F406" i="4"/>
  <c r="AX405" i="4"/>
  <c r="AV405" i="4"/>
  <c r="AJ405" i="4"/>
  <c r="AH405" i="4"/>
  <c r="T405" i="4"/>
  <c r="F405" i="4"/>
  <c r="AV404" i="4"/>
  <c r="AJ404" i="4"/>
  <c r="AH404" i="4"/>
  <c r="T404" i="4"/>
  <c r="F404" i="4"/>
  <c r="AX403" i="4"/>
  <c r="AX399" i="4"/>
  <c r="AV403" i="4"/>
  <c r="AH403" i="4"/>
  <c r="X403" i="4"/>
  <c r="X407" i="4"/>
  <c r="T403" i="4"/>
  <c r="F403" i="4"/>
  <c r="AX402" i="4"/>
  <c r="AV402" i="4"/>
  <c r="AJ402" i="4"/>
  <c r="AH402" i="4"/>
  <c r="T402" i="4"/>
  <c r="F402" i="4"/>
  <c r="AX401" i="4"/>
  <c r="AV401" i="4"/>
  <c r="AJ401" i="4"/>
  <c r="AH401" i="4"/>
  <c r="X401" i="4"/>
  <c r="X405" i="4"/>
  <c r="T401" i="4"/>
  <c r="F401" i="4"/>
  <c r="AV400" i="4"/>
  <c r="AJ400" i="4"/>
  <c r="AH400" i="4"/>
  <c r="T400" i="4"/>
  <c r="F400" i="4"/>
  <c r="AV399" i="4"/>
  <c r="AH399" i="4"/>
  <c r="T399" i="4"/>
  <c r="F399" i="4"/>
  <c r="AX398" i="4"/>
  <c r="AV398" i="4"/>
  <c r="AJ398" i="4"/>
  <c r="AH398" i="4"/>
  <c r="T398" i="4"/>
  <c r="F398" i="4"/>
  <c r="AX397" i="4"/>
  <c r="AV397" i="4"/>
  <c r="AJ397" i="4"/>
  <c r="AM393" i="4"/>
  <c r="AH397" i="4"/>
  <c r="T397" i="4"/>
  <c r="F397" i="4"/>
  <c r="F396" i="4"/>
  <c r="F395" i="4"/>
  <c r="F394" i="4"/>
  <c r="F393" i="4"/>
  <c r="F388" i="4"/>
  <c r="F387" i="4"/>
  <c r="F386" i="4"/>
  <c r="J393" i="4"/>
  <c r="J397" i="4"/>
  <c r="J401" i="4"/>
  <c r="J405" i="4"/>
  <c r="F385" i="4"/>
  <c r="AJ478" i="4"/>
  <c r="K474" i="4"/>
  <c r="L475" i="4"/>
  <c r="L479" i="4"/>
  <c r="L483" i="4"/>
  <c r="L487" i="4"/>
  <c r="L491" i="4"/>
  <c r="L495" i="4"/>
  <c r="L499" i="4"/>
  <c r="L476" i="4"/>
  <c r="L480" i="4"/>
  <c r="L484" i="4"/>
  <c r="L488" i="4"/>
  <c r="L492" i="4"/>
  <c r="L496" i="4"/>
  <c r="L477" i="4"/>
  <c r="L481" i="4"/>
  <c r="L485" i="4"/>
  <c r="L489" i="4"/>
  <c r="L493" i="4"/>
  <c r="L497" i="4"/>
  <c r="L474" i="4"/>
  <c r="L478" i="4"/>
  <c r="L482" i="4"/>
  <c r="L486" i="4"/>
  <c r="L490" i="4"/>
  <c r="L494" i="4"/>
  <c r="L498" i="4"/>
  <c r="Z475" i="4"/>
  <c r="Z479" i="4"/>
  <c r="Z483" i="4"/>
  <c r="Z487" i="4"/>
  <c r="Z491" i="4"/>
  <c r="Z495" i="4"/>
  <c r="Z499" i="4"/>
  <c r="Z476" i="4"/>
  <c r="Z480" i="4"/>
  <c r="Z484" i="4"/>
  <c r="Z488" i="4"/>
  <c r="Z492" i="4"/>
  <c r="Z496" i="4"/>
  <c r="Z477" i="4"/>
  <c r="Z481" i="4"/>
  <c r="Z485" i="4"/>
  <c r="Z489" i="4"/>
  <c r="V453" i="4"/>
  <c r="V457" i="4"/>
  <c r="Z493" i="4"/>
  <c r="Z497" i="4"/>
  <c r="Z474" i="4"/>
  <c r="Z478" i="4"/>
  <c r="Z482" i="4"/>
  <c r="Z486" i="4"/>
  <c r="Z490" i="4"/>
  <c r="Z494" i="4"/>
  <c r="Z498" i="4"/>
  <c r="AL451" i="4"/>
  <c r="AL455" i="4"/>
  <c r="AL459" i="4"/>
  <c r="AF500" i="4"/>
  <c r="AM500" i="4"/>
  <c r="AF501" i="4"/>
  <c r="AM501" i="4"/>
  <c r="AF502" i="4"/>
  <c r="AM502" i="4"/>
  <c r="AT500" i="4"/>
  <c r="AT501" i="4"/>
  <c r="BA501" i="4"/>
  <c r="AT502" i="4"/>
  <c r="BA502" i="4"/>
  <c r="AM481" i="4"/>
  <c r="AM482" i="4"/>
  <c r="BA480" i="4"/>
  <c r="AZ451" i="4"/>
  <c r="AZ455" i="4"/>
  <c r="AZ459" i="4"/>
  <c r="BA451" i="4"/>
  <c r="AX451" i="4"/>
  <c r="BB451" i="4"/>
  <c r="BC451" i="4"/>
  <c r="BA455" i="4"/>
  <c r="BB455" i="4"/>
  <c r="BC455" i="4"/>
  <c r="AZ452" i="4"/>
  <c r="AZ456" i="4"/>
  <c r="AZ460" i="4"/>
  <c r="BA452" i="4"/>
  <c r="AX452" i="4"/>
  <c r="AZ453" i="4"/>
  <c r="AZ457" i="4"/>
  <c r="AZ461" i="4"/>
  <c r="AX453" i="4"/>
  <c r="AZ454" i="4"/>
  <c r="AZ458" i="4"/>
  <c r="AZ462" i="4"/>
  <c r="AX454" i="4"/>
  <c r="AJ451" i="4"/>
  <c r="AL452" i="4"/>
  <c r="AL456" i="4"/>
  <c r="AL460" i="4"/>
  <c r="AM452" i="4"/>
  <c r="AN452" i="4"/>
  <c r="AM456" i="4"/>
  <c r="AJ452" i="4"/>
  <c r="AJ460" i="4"/>
  <c r="AN476" i="4"/>
  <c r="AN480" i="4"/>
  <c r="AN484" i="4"/>
  <c r="AN488" i="4"/>
  <c r="AN492" i="4"/>
  <c r="AN496" i="4"/>
  <c r="AL453" i="4"/>
  <c r="AL457" i="4"/>
  <c r="AL461" i="4"/>
  <c r="AJ453" i="4"/>
  <c r="AL454" i="4"/>
  <c r="AL458" i="4"/>
  <c r="AL462" i="4"/>
  <c r="AJ454" i="4"/>
  <c r="AN454" i="4"/>
  <c r="AR499" i="4"/>
  <c r="AR495" i="4"/>
  <c r="AR491" i="4"/>
  <c r="AR487" i="4"/>
  <c r="AR483" i="4"/>
  <c r="AR479" i="4"/>
  <c r="AR475" i="4"/>
  <c r="AR459" i="4"/>
  <c r="AR455" i="4"/>
  <c r="AR451" i="4"/>
  <c r="AD499" i="4"/>
  <c r="AD495" i="4"/>
  <c r="AD491" i="4"/>
  <c r="AD487" i="4"/>
  <c r="AD483" i="4"/>
  <c r="AD479" i="4"/>
  <c r="AD475" i="4"/>
  <c r="AD459" i="4"/>
  <c r="AD455" i="4"/>
  <c r="AD451" i="4"/>
  <c r="P499" i="4"/>
  <c r="P495" i="4"/>
  <c r="P491" i="4"/>
  <c r="P487" i="4"/>
  <c r="P483" i="4"/>
  <c r="P479" i="4"/>
  <c r="P475" i="4"/>
  <c r="P459" i="4"/>
  <c r="P455" i="4"/>
  <c r="P451" i="4"/>
  <c r="AX459" i="4"/>
  <c r="AX509" i="4"/>
  <c r="AX475" i="4"/>
  <c r="BC475" i="4"/>
  <c r="AX479" i="4"/>
  <c r="AX483" i="4"/>
  <c r="BC483" i="4"/>
  <c r="AX487" i="4"/>
  <c r="BC487" i="4"/>
  <c r="AX491" i="4"/>
  <c r="BC491" i="4"/>
  <c r="AX495" i="4"/>
  <c r="BC495" i="4"/>
  <c r="AZ509" i="4"/>
  <c r="BA509" i="4"/>
  <c r="BB475" i="4"/>
  <c r="BB479" i="4"/>
  <c r="BB483" i="4"/>
  <c r="BB487" i="4"/>
  <c r="BB491" i="4"/>
  <c r="BB495" i="4"/>
  <c r="AX460" i="4"/>
  <c r="AX476" i="4"/>
  <c r="BC476" i="4"/>
  <c r="AX480" i="4"/>
  <c r="BC480" i="4"/>
  <c r="AX484" i="4"/>
  <c r="BC484" i="4"/>
  <c r="AX488" i="4"/>
  <c r="BC488" i="4"/>
  <c r="AX492" i="4"/>
  <c r="AX496" i="4"/>
  <c r="BC496" i="4"/>
  <c r="AZ510" i="4"/>
  <c r="BA510" i="4"/>
  <c r="BB476" i="4"/>
  <c r="BB480" i="4"/>
  <c r="BB484" i="4"/>
  <c r="BB488" i="4"/>
  <c r="BB492" i="4"/>
  <c r="BB496" i="4"/>
  <c r="AX462" i="4"/>
  <c r="AX477" i="4"/>
  <c r="BC477" i="4"/>
  <c r="AX481" i="4"/>
  <c r="BC481" i="4"/>
  <c r="AX485" i="4"/>
  <c r="AX489" i="4"/>
  <c r="BC489" i="4"/>
  <c r="AX493" i="4"/>
  <c r="BC493" i="4"/>
  <c r="AX497" i="4"/>
  <c r="BC497" i="4"/>
  <c r="AZ511" i="4"/>
  <c r="BA511" i="4"/>
  <c r="BB477" i="4"/>
  <c r="BB481" i="4"/>
  <c r="BB485" i="4"/>
  <c r="BB489" i="4"/>
  <c r="BB493" i="4"/>
  <c r="BB497" i="4"/>
  <c r="AX461" i="4"/>
  <c r="AX474" i="4"/>
  <c r="BC474" i="4"/>
  <c r="AX478" i="4"/>
  <c r="BC478" i="4"/>
  <c r="AX482" i="4"/>
  <c r="BC482" i="4"/>
  <c r="AX486" i="4"/>
  <c r="BC486" i="4"/>
  <c r="AX490" i="4"/>
  <c r="BC490" i="4"/>
  <c r="AX494" i="4"/>
  <c r="BC494" i="4"/>
  <c r="AX498" i="4"/>
  <c r="AZ512" i="4"/>
  <c r="BA512" i="4"/>
  <c r="BB474" i="4"/>
  <c r="BB478" i="4"/>
  <c r="BB482" i="4"/>
  <c r="BB486" i="4"/>
  <c r="BB490" i="4"/>
  <c r="BB494" i="4"/>
  <c r="BB498" i="4"/>
  <c r="AV451" i="4"/>
  <c r="AV452" i="4"/>
  <c r="AV453" i="4"/>
  <c r="AV454" i="4"/>
  <c r="AV459" i="4"/>
  <c r="AV460" i="4"/>
  <c r="AV461" i="4"/>
  <c r="AV462" i="4"/>
  <c r="AV474" i="4"/>
  <c r="AZ474" i="4"/>
  <c r="AV475" i="4"/>
  <c r="AZ475" i="4"/>
  <c r="AV476" i="4"/>
  <c r="AZ476" i="4"/>
  <c r="AV477" i="4"/>
  <c r="AZ477" i="4"/>
  <c r="BA477" i="4"/>
  <c r="AV478" i="4"/>
  <c r="AZ478" i="4"/>
  <c r="AV479" i="4"/>
  <c r="AZ479" i="4"/>
  <c r="BC479" i="4"/>
  <c r="AV480" i="4"/>
  <c r="AZ480" i="4"/>
  <c r="AV481" i="4"/>
  <c r="AZ481" i="4"/>
  <c r="AV482" i="4"/>
  <c r="AZ482" i="4"/>
  <c r="AV483" i="4"/>
  <c r="AZ483" i="4"/>
  <c r="AV484" i="4"/>
  <c r="AZ484" i="4"/>
  <c r="BA484" i="4"/>
  <c r="AV485" i="4"/>
  <c r="AZ485" i="4"/>
  <c r="AV486" i="4"/>
  <c r="AZ486" i="4"/>
  <c r="AV487" i="4"/>
  <c r="AZ487" i="4"/>
  <c r="AV488" i="4"/>
  <c r="AZ488" i="4"/>
  <c r="BA488" i="4"/>
  <c r="AV489" i="4"/>
  <c r="AZ489" i="4"/>
  <c r="BA489" i="4"/>
  <c r="AV490" i="4"/>
  <c r="AZ490" i="4"/>
  <c r="AV491" i="4"/>
  <c r="AZ491" i="4"/>
  <c r="AV492" i="4"/>
  <c r="AZ492" i="4"/>
  <c r="AV493" i="4"/>
  <c r="AZ493" i="4"/>
  <c r="AV494" i="4"/>
  <c r="AZ494" i="4"/>
  <c r="AV495" i="4"/>
  <c r="AZ495" i="4"/>
  <c r="AV496" i="4"/>
  <c r="AZ496" i="4"/>
  <c r="AV497" i="4"/>
  <c r="AZ497" i="4"/>
  <c r="AV498" i="4"/>
  <c r="AZ498" i="4"/>
  <c r="BA498" i="4"/>
  <c r="AV499" i="4"/>
  <c r="AX499" i="4"/>
  <c r="BC499" i="4"/>
  <c r="AZ499" i="4"/>
  <c r="BA499" i="4"/>
  <c r="BB499" i="4"/>
  <c r="AV500" i="4"/>
  <c r="AX500" i="4"/>
  <c r="BC500" i="4"/>
  <c r="AZ500" i="4"/>
  <c r="BA500" i="4"/>
  <c r="BB500" i="4"/>
  <c r="AV501" i="4"/>
  <c r="AX501" i="4"/>
  <c r="BC501" i="4"/>
  <c r="AZ501" i="4"/>
  <c r="BB501" i="4"/>
  <c r="AV502" i="4"/>
  <c r="AX502" i="4"/>
  <c r="BC502" i="4"/>
  <c r="AZ502" i="4"/>
  <c r="BB502" i="4"/>
  <c r="AJ459" i="4"/>
  <c r="AJ475" i="4"/>
  <c r="AO475" i="4"/>
  <c r="AJ479" i="4"/>
  <c r="AO479" i="4"/>
  <c r="AJ483" i="4"/>
  <c r="AO483" i="4"/>
  <c r="AJ487" i="4"/>
  <c r="AO487" i="4"/>
  <c r="AJ491" i="4"/>
  <c r="AJ495" i="4"/>
  <c r="AO495" i="4"/>
  <c r="AL509" i="4"/>
  <c r="AM509" i="4"/>
  <c r="AN475" i="4"/>
  <c r="AN479" i="4"/>
  <c r="AN483" i="4"/>
  <c r="AN487" i="4"/>
  <c r="AN491" i="4"/>
  <c r="AN495" i="4"/>
  <c r="AJ476" i="4"/>
  <c r="AO476" i="4"/>
  <c r="AJ480" i="4"/>
  <c r="AO480" i="4"/>
  <c r="AJ484" i="4"/>
  <c r="AO484" i="4"/>
  <c r="AJ488" i="4"/>
  <c r="AO488" i="4"/>
  <c r="AJ492" i="4"/>
  <c r="AO492" i="4"/>
  <c r="AJ496" i="4"/>
  <c r="AO496" i="4"/>
  <c r="AL510" i="4"/>
  <c r="AM510" i="4"/>
  <c r="AJ462" i="4"/>
  <c r="AJ477" i="4"/>
  <c r="AO477" i="4"/>
  <c r="AJ481" i="4"/>
  <c r="AJ485" i="4"/>
  <c r="AJ489" i="4"/>
  <c r="AO489" i="4"/>
  <c r="AJ493" i="4"/>
  <c r="AO493" i="4"/>
  <c r="AJ497" i="4"/>
  <c r="AO497" i="4"/>
  <c r="AJ511" i="4"/>
  <c r="AL511" i="4"/>
  <c r="AM511" i="4"/>
  <c r="AN477" i="4"/>
  <c r="AN481" i="4"/>
  <c r="AN485" i="4"/>
  <c r="AN489" i="4"/>
  <c r="AN493" i="4"/>
  <c r="AN497" i="4"/>
  <c r="AJ461" i="4"/>
  <c r="AJ474" i="4"/>
  <c r="AO474" i="4"/>
  <c r="AJ482" i="4"/>
  <c r="AO482" i="4"/>
  <c r="AJ486" i="4"/>
  <c r="AO486" i="4"/>
  <c r="AJ490" i="4"/>
  <c r="AJ494" i="4"/>
  <c r="AO494" i="4"/>
  <c r="AJ498" i="4"/>
  <c r="AO498" i="4"/>
  <c r="AL512" i="4"/>
  <c r="AM512" i="4"/>
  <c r="AN474" i="4"/>
  <c r="AN478" i="4"/>
  <c r="AN482" i="4"/>
  <c r="AN486" i="4"/>
  <c r="AN490" i="4"/>
  <c r="AN494" i="4"/>
  <c r="AN498" i="4"/>
  <c r="AH451" i="4"/>
  <c r="AH452" i="4"/>
  <c r="AH453" i="4"/>
  <c r="AH454" i="4"/>
  <c r="AH459" i="4"/>
  <c r="AH460" i="4"/>
  <c r="AH461" i="4"/>
  <c r="AH462" i="4"/>
  <c r="AH474" i="4"/>
  <c r="AL474" i="4"/>
  <c r="AH475" i="4"/>
  <c r="AL475" i="4"/>
  <c r="AH476" i="4"/>
  <c r="AL476" i="4"/>
  <c r="AH477" i="4"/>
  <c r="AL477" i="4"/>
  <c r="AM477" i="4"/>
  <c r="AH478" i="4"/>
  <c r="AL478" i="4"/>
  <c r="AM478" i="4"/>
  <c r="AO478" i="4"/>
  <c r="AH479" i="4"/>
  <c r="AL479" i="4"/>
  <c r="AM479" i="4"/>
  <c r="AH480" i="4"/>
  <c r="AL480" i="4"/>
  <c r="AH481" i="4"/>
  <c r="AL481" i="4"/>
  <c r="AH482" i="4"/>
  <c r="AL482" i="4"/>
  <c r="AH483" i="4"/>
  <c r="AL483" i="4"/>
  <c r="AH484" i="4"/>
  <c r="AL484" i="4"/>
  <c r="AH485" i="4"/>
  <c r="AL485" i="4"/>
  <c r="AO485" i="4"/>
  <c r="AH486" i="4"/>
  <c r="AL486" i="4"/>
  <c r="AH487" i="4"/>
  <c r="AL487" i="4"/>
  <c r="AH488" i="4"/>
  <c r="AL488" i="4"/>
  <c r="AM488" i="4"/>
  <c r="AH489" i="4"/>
  <c r="AL489" i="4"/>
  <c r="AM489" i="4"/>
  <c r="AH490" i="4"/>
  <c r="AL490" i="4"/>
  <c r="AH491" i="4"/>
  <c r="AL491" i="4"/>
  <c r="AM491" i="4"/>
  <c r="AH492" i="4"/>
  <c r="AL492" i="4"/>
  <c r="AH493" i="4"/>
  <c r="AL493" i="4"/>
  <c r="AH494" i="4"/>
  <c r="AL494" i="4"/>
  <c r="AM494" i="4"/>
  <c r="AH495" i="4"/>
  <c r="AL495" i="4"/>
  <c r="AH496" i="4"/>
  <c r="AL496" i="4"/>
  <c r="AH497" i="4"/>
  <c r="AL497" i="4"/>
  <c r="AH498" i="4"/>
  <c r="AL498" i="4"/>
  <c r="AH499" i="4"/>
  <c r="AJ499" i="4"/>
  <c r="AO499" i="4"/>
  <c r="AL499" i="4"/>
  <c r="AN499" i="4"/>
  <c r="AH500" i="4"/>
  <c r="AJ500" i="4"/>
  <c r="AO500" i="4"/>
  <c r="AL500" i="4"/>
  <c r="AN500" i="4"/>
  <c r="AH501" i="4"/>
  <c r="AJ501" i="4"/>
  <c r="AO501" i="4"/>
  <c r="AL501" i="4"/>
  <c r="AN501" i="4"/>
  <c r="AH502" i="4"/>
  <c r="AJ502" i="4"/>
  <c r="AO502" i="4"/>
  <c r="AL502" i="4"/>
  <c r="AN502" i="4"/>
  <c r="H455" i="4"/>
  <c r="H456" i="4"/>
  <c r="H457" i="4"/>
  <c r="H458" i="4"/>
  <c r="H459" i="4"/>
  <c r="H460" i="4"/>
  <c r="H461" i="4"/>
  <c r="H462" i="4"/>
  <c r="V452" i="4"/>
  <c r="Z452" i="4"/>
  <c r="V454" i="4"/>
  <c r="V455" i="4"/>
  <c r="V456" i="4"/>
  <c r="Z456" i="4"/>
  <c r="V458" i="4"/>
  <c r="V459" i="4"/>
  <c r="V447" i="4"/>
  <c r="V451" i="4"/>
  <c r="V475" i="4"/>
  <c r="AA475" i="4"/>
  <c r="V479" i="4"/>
  <c r="AA479" i="4"/>
  <c r="V483" i="4"/>
  <c r="AA483" i="4"/>
  <c r="V487" i="4"/>
  <c r="AA487" i="4"/>
  <c r="V491" i="4"/>
  <c r="AA491" i="4"/>
  <c r="V495" i="4"/>
  <c r="V460" i="4"/>
  <c r="Z460" i="4"/>
  <c r="V461" i="4"/>
  <c r="T450" i="4"/>
  <c r="T447" i="4"/>
  <c r="T448" i="4"/>
  <c r="T449" i="4"/>
  <c r="F448" i="4"/>
  <c r="F449" i="4"/>
  <c r="F450" i="4"/>
  <c r="F447" i="4"/>
  <c r="V448" i="4"/>
  <c r="V449" i="4"/>
  <c r="V450" i="4"/>
  <c r="Z450" i="4"/>
  <c r="H448" i="4"/>
  <c r="H510" i="4"/>
  <c r="H452" i="4"/>
  <c r="H476" i="4"/>
  <c r="M476" i="4"/>
  <c r="H480" i="4"/>
  <c r="M480" i="4"/>
  <c r="H484" i="4"/>
  <c r="H496" i="4"/>
  <c r="H492" i="4"/>
  <c r="H488" i="4"/>
  <c r="H449" i="4"/>
  <c r="H450" i="4"/>
  <c r="H447" i="4"/>
  <c r="T451" i="4"/>
  <c r="X451" i="4"/>
  <c r="X455" i="4"/>
  <c r="X459" i="4"/>
  <c r="T452" i="4"/>
  <c r="T453" i="4"/>
  <c r="X453" i="4"/>
  <c r="X457" i="4"/>
  <c r="X461" i="4"/>
  <c r="T454" i="4"/>
  <c r="X454" i="4"/>
  <c r="X458" i="4"/>
  <c r="X462" i="4"/>
  <c r="T455" i="4"/>
  <c r="T456" i="4"/>
  <c r="X456" i="4"/>
  <c r="X460" i="4"/>
  <c r="T457" i="4"/>
  <c r="T458" i="4"/>
  <c r="T459" i="4"/>
  <c r="T460" i="4"/>
  <c r="T461" i="4"/>
  <c r="T462" i="4"/>
  <c r="K482" i="4"/>
  <c r="Y476" i="4"/>
  <c r="Y477" i="4"/>
  <c r="Y479" i="4"/>
  <c r="Y482" i="4"/>
  <c r="Y489" i="4"/>
  <c r="H453" i="4"/>
  <c r="H511" i="4"/>
  <c r="H454" i="4"/>
  <c r="F451" i="4"/>
  <c r="F452" i="4"/>
  <c r="J452" i="4"/>
  <c r="J456" i="4"/>
  <c r="J460" i="4"/>
  <c r="F453" i="4"/>
  <c r="J453" i="4"/>
  <c r="J457" i="4"/>
  <c r="J461" i="4"/>
  <c r="F454" i="4"/>
  <c r="F455" i="4"/>
  <c r="J455" i="4"/>
  <c r="J459" i="4"/>
  <c r="F456" i="4"/>
  <c r="F457" i="4"/>
  <c r="F458" i="4"/>
  <c r="J458" i="4"/>
  <c r="J462" i="4"/>
  <c r="F459" i="4"/>
  <c r="F460" i="4"/>
  <c r="F461" i="4"/>
  <c r="F462" i="4"/>
  <c r="F474" i="4"/>
  <c r="H474" i="4"/>
  <c r="M474" i="4"/>
  <c r="J474" i="4"/>
  <c r="T474" i="4"/>
  <c r="V474" i="4"/>
  <c r="AA474" i="4"/>
  <c r="X474" i="4"/>
  <c r="F475" i="4"/>
  <c r="H475" i="4"/>
  <c r="M475" i="4"/>
  <c r="J475" i="4"/>
  <c r="T475" i="4"/>
  <c r="X475" i="4"/>
  <c r="F476" i="4"/>
  <c r="J476" i="4"/>
  <c r="T476" i="4"/>
  <c r="V476" i="4"/>
  <c r="AA476" i="4"/>
  <c r="X476" i="4"/>
  <c r="F477" i="4"/>
  <c r="H477" i="4"/>
  <c r="M477" i="4"/>
  <c r="J477" i="4"/>
  <c r="T477" i="4"/>
  <c r="V477" i="4"/>
  <c r="AA477" i="4"/>
  <c r="X477" i="4"/>
  <c r="F478" i="4"/>
  <c r="H478" i="4"/>
  <c r="M478" i="4"/>
  <c r="J478" i="4"/>
  <c r="K478" i="4"/>
  <c r="T478" i="4"/>
  <c r="V478" i="4"/>
  <c r="AA478" i="4"/>
  <c r="X478" i="4"/>
  <c r="F479" i="4"/>
  <c r="H479" i="4"/>
  <c r="M479" i="4"/>
  <c r="J479" i="4"/>
  <c r="T479" i="4"/>
  <c r="X479" i="4"/>
  <c r="F480" i="4"/>
  <c r="J480" i="4"/>
  <c r="T480" i="4"/>
  <c r="V480" i="4"/>
  <c r="AA480" i="4"/>
  <c r="X480" i="4"/>
  <c r="F481" i="4"/>
  <c r="H481" i="4"/>
  <c r="M481" i="4"/>
  <c r="J481" i="4"/>
  <c r="T481" i="4"/>
  <c r="V481" i="4"/>
  <c r="X481" i="4"/>
  <c r="F482" i="4"/>
  <c r="H482" i="4"/>
  <c r="M482" i="4"/>
  <c r="J482" i="4"/>
  <c r="T482" i="4"/>
  <c r="V482" i="4"/>
  <c r="AA482" i="4"/>
  <c r="X482" i="4"/>
  <c r="F483" i="4"/>
  <c r="H483" i="4"/>
  <c r="M483" i="4"/>
  <c r="J483" i="4"/>
  <c r="T483" i="4"/>
  <c r="X483" i="4"/>
  <c r="F484" i="4"/>
  <c r="M484" i="4"/>
  <c r="J484" i="4"/>
  <c r="T484" i="4"/>
  <c r="V484" i="4"/>
  <c r="AA484" i="4"/>
  <c r="X484" i="4"/>
  <c r="Y484" i="4"/>
  <c r="F485" i="4"/>
  <c r="H485" i="4"/>
  <c r="M485" i="4"/>
  <c r="J485" i="4"/>
  <c r="T485" i="4"/>
  <c r="V485" i="4"/>
  <c r="AA485" i="4"/>
  <c r="X485" i="4"/>
  <c r="Y485" i="4"/>
  <c r="F486" i="4"/>
  <c r="H486" i="4"/>
  <c r="M486" i="4"/>
  <c r="J486" i="4"/>
  <c r="K486" i="4"/>
  <c r="T486" i="4"/>
  <c r="V486" i="4"/>
  <c r="AA486" i="4"/>
  <c r="X486" i="4"/>
  <c r="Y486" i="4"/>
  <c r="F487" i="4"/>
  <c r="H487" i="4"/>
  <c r="M487" i="4"/>
  <c r="J487" i="4"/>
  <c r="T487" i="4"/>
  <c r="X487" i="4"/>
  <c r="F488" i="4"/>
  <c r="M488" i="4"/>
  <c r="J488" i="4"/>
  <c r="K488" i="4"/>
  <c r="T488" i="4"/>
  <c r="V488" i="4"/>
  <c r="AA488" i="4"/>
  <c r="X488" i="4"/>
  <c r="F489" i="4"/>
  <c r="H489" i="4"/>
  <c r="J489" i="4"/>
  <c r="K489" i="4"/>
  <c r="T489" i="4"/>
  <c r="V489" i="4"/>
  <c r="AA489" i="4"/>
  <c r="X489" i="4"/>
  <c r="F490" i="4"/>
  <c r="H490" i="4"/>
  <c r="M490" i="4"/>
  <c r="J490" i="4"/>
  <c r="T490" i="4"/>
  <c r="V490" i="4"/>
  <c r="X490" i="4"/>
  <c r="AA490" i="4"/>
  <c r="F491" i="4"/>
  <c r="H491" i="4"/>
  <c r="M491" i="4"/>
  <c r="J491" i="4"/>
  <c r="T491" i="4"/>
  <c r="X491" i="4"/>
  <c r="F492" i="4"/>
  <c r="M492" i="4"/>
  <c r="J492" i="4"/>
  <c r="T492" i="4"/>
  <c r="V492" i="4"/>
  <c r="X492" i="4"/>
  <c r="AA492" i="4"/>
  <c r="F493" i="4"/>
  <c r="H493" i="4"/>
  <c r="M493" i="4"/>
  <c r="J493" i="4"/>
  <c r="T493" i="4"/>
  <c r="V493" i="4"/>
  <c r="AA493" i="4"/>
  <c r="X493" i="4"/>
  <c r="F494" i="4"/>
  <c r="H494" i="4"/>
  <c r="M494" i="4"/>
  <c r="J494" i="4"/>
  <c r="T494" i="4"/>
  <c r="V494" i="4"/>
  <c r="AA494" i="4"/>
  <c r="X494" i="4"/>
  <c r="F495" i="4"/>
  <c r="H495" i="4"/>
  <c r="M495" i="4"/>
  <c r="J495" i="4"/>
  <c r="T495" i="4"/>
  <c r="AA495" i="4"/>
  <c r="X495" i="4"/>
  <c r="F496" i="4"/>
  <c r="M496" i="4"/>
  <c r="J496" i="4"/>
  <c r="T496" i="4"/>
  <c r="V496" i="4"/>
  <c r="AA496" i="4"/>
  <c r="X496" i="4"/>
  <c r="F497" i="4"/>
  <c r="H497" i="4"/>
  <c r="M497" i="4"/>
  <c r="J497" i="4"/>
  <c r="K497" i="4"/>
  <c r="T497" i="4"/>
  <c r="V497" i="4"/>
  <c r="AA497" i="4"/>
  <c r="X497" i="4"/>
  <c r="F498" i="4"/>
  <c r="J498" i="4"/>
  <c r="K498" i="4"/>
  <c r="M498" i="4"/>
  <c r="T498" i="4"/>
  <c r="V498" i="4"/>
  <c r="AA498" i="4"/>
  <c r="X498" i="4"/>
  <c r="D500" i="4"/>
  <c r="K500" i="4"/>
  <c r="D501" i="4"/>
  <c r="D502" i="4"/>
  <c r="K502" i="4"/>
  <c r="R500" i="4"/>
  <c r="Y500" i="4"/>
  <c r="R501" i="4"/>
  <c r="Y501" i="4"/>
  <c r="R502" i="4"/>
  <c r="Y502" i="4"/>
  <c r="F499" i="4"/>
  <c r="H499" i="4"/>
  <c r="M499" i="4"/>
  <c r="J499" i="4"/>
  <c r="K499" i="4"/>
  <c r="T499" i="4"/>
  <c r="V499" i="4"/>
  <c r="AA499" i="4"/>
  <c r="X499" i="4"/>
  <c r="F500" i="4"/>
  <c r="H500" i="4"/>
  <c r="M500" i="4"/>
  <c r="J500" i="4"/>
  <c r="L500" i="4"/>
  <c r="T500" i="4"/>
  <c r="V500" i="4"/>
  <c r="AA500" i="4"/>
  <c r="X500" i="4"/>
  <c r="Z500" i="4"/>
  <c r="F501" i="4"/>
  <c r="H501" i="4"/>
  <c r="M501" i="4"/>
  <c r="J501" i="4"/>
  <c r="L501" i="4"/>
  <c r="T501" i="4"/>
  <c r="V501" i="4"/>
  <c r="AA501" i="4"/>
  <c r="X501" i="4"/>
  <c r="Z501" i="4"/>
  <c r="F502" i="4"/>
  <c r="H502" i="4"/>
  <c r="M502" i="4"/>
  <c r="J502" i="4"/>
  <c r="L502" i="4"/>
  <c r="T502" i="4"/>
  <c r="V502" i="4"/>
  <c r="AA502" i="4"/>
  <c r="X502" i="4"/>
  <c r="Z502" i="4"/>
  <c r="J509" i="4"/>
  <c r="K509" i="4"/>
  <c r="X509" i="4"/>
  <c r="Y509" i="4"/>
  <c r="J510" i="4"/>
  <c r="K510" i="4"/>
  <c r="X510" i="4"/>
  <c r="Y510" i="4"/>
  <c r="J511" i="4"/>
  <c r="K511" i="4"/>
  <c r="X511" i="4"/>
  <c r="Y511" i="4"/>
  <c r="J512" i="4"/>
  <c r="K512" i="4"/>
  <c r="X512" i="4"/>
  <c r="Y512" i="4"/>
  <c r="BC378" i="4"/>
  <c r="Y379" i="4"/>
  <c r="Z379" i="4"/>
  <c r="M385" i="4"/>
  <c r="K386" i="4"/>
  <c r="K475" i="4"/>
  <c r="K495" i="4"/>
  <c r="AA460" i="4"/>
  <c r="K393" i="4"/>
  <c r="L393" i="4"/>
  <c r="M393" i="4"/>
  <c r="K399" i="4"/>
  <c r="AJ435" i="4"/>
  <c r="L453" i="4"/>
  <c r="Y495" i="4"/>
  <c r="AT364" i="4"/>
  <c r="AN379" i="4"/>
  <c r="L388" i="4"/>
  <c r="M388" i="4"/>
  <c r="K417" i="4"/>
  <c r="K343" i="4"/>
  <c r="L449" i="4"/>
  <c r="M449" i="4"/>
  <c r="K348" i="4"/>
  <c r="Z393" i="4"/>
  <c r="AA393" i="4"/>
  <c r="V364" i="4"/>
  <c r="AN377" i="4"/>
  <c r="AO377" i="4"/>
  <c r="AO454" i="4"/>
  <c r="AM265" i="4"/>
  <c r="AA267" i="4"/>
  <c r="M230" i="4"/>
  <c r="BB387" i="4"/>
  <c r="BC387" i="4"/>
  <c r="BA391" i="4"/>
  <c r="BA395" i="4"/>
  <c r="AM384" i="4"/>
  <c r="AM388" i="4"/>
  <c r="AN388" i="4"/>
  <c r="AO388" i="4"/>
  <c r="AN380" i="4"/>
  <c r="AO380" i="4"/>
  <c r="V510" i="4"/>
  <c r="R505" i="4"/>
  <c r="D512" i="4"/>
  <c r="K387" i="4"/>
  <c r="L387" i="4"/>
  <c r="M387" i="4"/>
  <c r="B385" i="4"/>
  <c r="BP226" i="4"/>
  <c r="BQ226" i="4"/>
  <c r="BO227" i="4"/>
  <c r="BB160" i="4"/>
  <c r="BC160" i="4"/>
  <c r="AM475" i="4"/>
  <c r="B479" i="4"/>
  <c r="B455" i="4"/>
  <c r="V435" i="4"/>
  <c r="K419" i="4"/>
  <c r="AN393" i="4"/>
  <c r="AO393" i="4"/>
  <c r="AA305" i="4"/>
  <c r="V363" i="4"/>
  <c r="U363" i="4"/>
  <c r="AN378" i="4"/>
  <c r="AO378" i="4"/>
  <c r="B397" i="4"/>
  <c r="BA311" i="4"/>
  <c r="AM235" i="4"/>
  <c r="AM239" i="4"/>
  <c r="K396" i="4"/>
  <c r="K400" i="4"/>
  <c r="K404" i="4"/>
  <c r="L404" i="4"/>
  <c r="M404" i="4"/>
  <c r="AJ361" i="4"/>
  <c r="AM303" i="4"/>
  <c r="AN303" i="4"/>
  <c r="AO303" i="4"/>
  <c r="AM307" i="4"/>
  <c r="AN307" i="4"/>
  <c r="AO307" i="4"/>
  <c r="Z232" i="4"/>
  <c r="AA232" i="4"/>
  <c r="L237" i="4"/>
  <c r="M237" i="4"/>
  <c r="BA255" i="4"/>
  <c r="BB255" i="4"/>
  <c r="BC255" i="4"/>
  <c r="Y405" i="4"/>
  <c r="Z405" i="4"/>
  <c r="AA405" i="4"/>
  <c r="Z401" i="4"/>
  <c r="AA401" i="4"/>
  <c r="AT288" i="4"/>
  <c r="AT435" i="4"/>
  <c r="V438" i="4"/>
  <c r="Z387" i="4"/>
  <c r="AA387" i="4"/>
  <c r="AM233" i="4"/>
  <c r="AN233" i="4"/>
  <c r="R429" i="4"/>
  <c r="R430" i="4"/>
  <c r="Y234" i="4"/>
  <c r="Z234" i="4"/>
  <c r="AA234" i="4"/>
  <c r="L157" i="4"/>
  <c r="M157" i="4"/>
  <c r="B483" i="4"/>
  <c r="AF438" i="4"/>
  <c r="AA379" i="4"/>
  <c r="AM453" i="4"/>
  <c r="AN305" i="4"/>
  <c r="AA306" i="4"/>
  <c r="BB453" i="4"/>
  <c r="BC453" i="4"/>
  <c r="AF511" i="4"/>
  <c r="AI511" i="4"/>
  <c r="B475" i="4"/>
  <c r="R437" i="4"/>
  <c r="U437" i="4"/>
  <c r="BA234" i="4"/>
  <c r="BB234" i="4"/>
  <c r="AN157" i="4"/>
  <c r="AO157" i="4"/>
  <c r="Z309" i="4"/>
  <c r="AA309" i="4"/>
  <c r="Z229" i="4"/>
  <c r="AA229" i="4"/>
  <c r="AA394" i="4"/>
  <c r="AO385" i="4"/>
  <c r="AF435" i="4"/>
  <c r="AI435" i="4"/>
  <c r="Y458" i="4"/>
  <c r="Y462" i="4"/>
  <c r="Z462" i="4"/>
  <c r="AA462" i="4"/>
  <c r="AT363" i="4"/>
  <c r="AW363" i="4"/>
  <c r="AM234" i="4"/>
  <c r="AN234" i="4"/>
  <c r="AO234" i="4"/>
  <c r="B237" i="4"/>
  <c r="AM236" i="4"/>
  <c r="AN236" i="4"/>
  <c r="AO236" i="4"/>
  <c r="K195" i="4"/>
  <c r="AF290" i="4"/>
  <c r="AM311" i="4"/>
  <c r="AN311" i="4"/>
  <c r="AO311" i="4"/>
  <c r="AM315" i="4"/>
  <c r="AM319" i="4"/>
  <c r="AM323" i="4"/>
  <c r="AM327" i="4"/>
  <c r="L161" i="4"/>
  <c r="M161" i="4"/>
  <c r="BB307" i="4"/>
  <c r="AM310" i="4"/>
  <c r="AM314" i="4"/>
  <c r="AN231" i="4"/>
  <c r="AM309" i="4"/>
  <c r="AM313" i="4"/>
  <c r="AN313" i="4"/>
  <c r="AO313" i="4"/>
  <c r="BB400" i="4"/>
  <c r="BC400" i="4"/>
  <c r="AN323" i="4"/>
  <c r="AO323" i="4"/>
  <c r="AN232" i="4"/>
  <c r="AO232" i="4"/>
  <c r="Z230" i="4"/>
  <c r="AA230" i="4"/>
  <c r="Z159" i="4"/>
  <c r="AA159" i="4"/>
  <c r="K253" i="4"/>
  <c r="L253" i="4"/>
  <c r="M253" i="4"/>
  <c r="AJ289" i="4"/>
  <c r="Z453" i="4"/>
  <c r="AA453" i="4"/>
  <c r="BA404" i="4"/>
  <c r="BC307" i="4"/>
  <c r="BA248" i="4"/>
  <c r="BA252" i="4"/>
  <c r="L160" i="4"/>
  <c r="M160" i="4"/>
  <c r="Z156" i="4"/>
  <c r="AA156" i="4"/>
  <c r="Z160" i="4"/>
  <c r="AA160" i="4"/>
  <c r="AN160" i="4"/>
  <c r="AO160" i="4"/>
  <c r="AN161" i="4"/>
  <c r="AO161" i="4"/>
  <c r="L158" i="4"/>
  <c r="M158" i="4"/>
  <c r="BB155" i="4"/>
  <c r="BC155" i="4"/>
  <c r="L159" i="4"/>
  <c r="M159" i="4"/>
  <c r="BB159" i="4"/>
  <c r="BC159" i="4"/>
  <c r="H290" i="4"/>
  <c r="V288" i="4"/>
  <c r="AJ290" i="4"/>
  <c r="AX287" i="4"/>
  <c r="AT289" i="4"/>
  <c r="AT281" i="4"/>
  <c r="AT282" i="4"/>
  <c r="AU282" i="4"/>
  <c r="BC259" i="4"/>
  <c r="BA263" i="4"/>
  <c r="AO259" i="4"/>
  <c r="AF287" i="4"/>
  <c r="R290" i="4"/>
  <c r="R287" i="4"/>
  <c r="D288" i="4"/>
  <c r="D281" i="4"/>
  <c r="BP152" i="4"/>
  <c r="BQ152" i="4"/>
  <c r="AF215" i="4"/>
  <c r="H214" i="4"/>
  <c r="BB162" i="4"/>
  <c r="BC162" i="4"/>
  <c r="BB158" i="4"/>
  <c r="BC158" i="4"/>
  <c r="AN155" i="4"/>
  <c r="Z161" i="4"/>
  <c r="AA161" i="4"/>
  <c r="L156" i="4"/>
  <c r="M156" i="4"/>
  <c r="BB157" i="4"/>
  <c r="BC157" i="4"/>
  <c r="Z155" i="4"/>
  <c r="AN156" i="4"/>
  <c r="AO156" i="4"/>
  <c r="Z158" i="4"/>
  <c r="AA158" i="4"/>
  <c r="AN159" i="4"/>
  <c r="AO159" i="4"/>
  <c r="Z162" i="4"/>
  <c r="AA162" i="4"/>
  <c r="BB156" i="4"/>
  <c r="BC156" i="4"/>
  <c r="AF216" i="4"/>
  <c r="AJ213" i="4"/>
  <c r="V215" i="4"/>
  <c r="AJ216" i="4"/>
  <c r="K397" i="4"/>
  <c r="L397" i="4"/>
  <c r="M397" i="4"/>
  <c r="AO490" i="4"/>
  <c r="Z399" i="4"/>
  <c r="AA399" i="4"/>
  <c r="V437" i="4"/>
  <c r="AM404" i="4"/>
  <c r="AN404" i="4"/>
  <c r="AN400" i="4"/>
  <c r="AO400" i="4"/>
  <c r="AM391" i="4"/>
  <c r="AX435" i="4"/>
  <c r="BA380" i="4"/>
  <c r="BA384" i="4"/>
  <c r="AF430" i="4"/>
  <c r="AG430" i="4"/>
  <c r="AF431" i="4"/>
  <c r="AA452" i="4"/>
  <c r="Z510" i="4"/>
  <c r="L399" i="4"/>
  <c r="M399" i="4"/>
  <c r="H437" i="4"/>
  <c r="H509" i="4"/>
  <c r="AO305" i="4"/>
  <c r="BA314" i="4"/>
  <c r="K346" i="4"/>
  <c r="D364" i="4"/>
  <c r="BA459" i="4"/>
  <c r="D435" i="4"/>
  <c r="B315" i="4"/>
  <c r="V511" i="4"/>
  <c r="AA481" i="4"/>
  <c r="M489" i="4"/>
  <c r="Y424" i="4"/>
  <c r="B421" i="4"/>
  <c r="AM386" i="4"/>
  <c r="AN386" i="4"/>
  <c r="AO386" i="4"/>
  <c r="AM390" i="4"/>
  <c r="AN390" i="4"/>
  <c r="AO390" i="4"/>
  <c r="AF436" i="4"/>
  <c r="AF439" i="4"/>
  <c r="AJ364" i="4"/>
  <c r="BC272" i="4"/>
  <c r="AX290" i="4"/>
  <c r="B405" i="4"/>
  <c r="Y396" i="4"/>
  <c r="Y400" i="4"/>
  <c r="Y404" i="4"/>
  <c r="Z404" i="4"/>
  <c r="AA404" i="4"/>
  <c r="R438" i="4"/>
  <c r="B393" i="4"/>
  <c r="BH355" i="4"/>
  <c r="BH356" i="4"/>
  <c r="Z454" i="4"/>
  <c r="AA454" i="4"/>
  <c r="AO481" i="4"/>
  <c r="AO491" i="4"/>
  <c r="AJ509" i="4"/>
  <c r="BA423" i="4"/>
  <c r="AM394" i="4"/>
  <c r="H512" i="4"/>
  <c r="H513" i="4"/>
  <c r="K403" i="4"/>
  <c r="L403" i="4"/>
  <c r="M403" i="4"/>
  <c r="K407" i="4"/>
  <c r="L407" i="4"/>
  <c r="M407" i="4"/>
  <c r="B343" i="4"/>
  <c r="R363" i="4"/>
  <c r="B331" i="4"/>
  <c r="BA256" i="4"/>
  <c r="BB256" i="4"/>
  <c r="BC256" i="4"/>
  <c r="K501" i="4"/>
  <c r="AX437" i="4"/>
  <c r="B487" i="4"/>
  <c r="K462" i="4"/>
  <c r="L462" i="4"/>
  <c r="M462" i="4"/>
  <c r="K452" i="4"/>
  <c r="K456" i="4"/>
  <c r="K460" i="4"/>
  <c r="L460" i="4"/>
  <c r="M460" i="4"/>
  <c r="AJ362" i="4"/>
  <c r="BA308" i="4"/>
  <c r="BA312" i="4"/>
  <c r="AT362" i="4"/>
  <c r="AT361" i="4"/>
  <c r="BA315" i="4"/>
  <c r="V512" i="4"/>
  <c r="AF437" i="4"/>
  <c r="K379" i="4"/>
  <c r="L379" i="4"/>
  <c r="BB306" i="4"/>
  <c r="BO301" i="4"/>
  <c r="BP301" i="4"/>
  <c r="BQ301" i="4"/>
  <c r="BP300" i="4"/>
  <c r="BB251" i="4"/>
  <c r="BC251" i="4"/>
  <c r="AJ510" i="4"/>
  <c r="B495" i="4"/>
  <c r="AT511" i="4"/>
  <c r="B459" i="4"/>
  <c r="AM408" i="4"/>
  <c r="AN408" i="4"/>
  <c r="AO408" i="4"/>
  <c r="BA386" i="4"/>
  <c r="AT436" i="4"/>
  <c r="AA456" i="4"/>
  <c r="AJ436" i="4"/>
  <c r="L456" i="4"/>
  <c r="M456" i="4"/>
  <c r="R511" i="4"/>
  <c r="V290" i="4"/>
  <c r="U290" i="4"/>
  <c r="AA268" i="4"/>
  <c r="BA385" i="4"/>
  <c r="H289" i="4"/>
  <c r="R509" i="4"/>
  <c r="Y451" i="4"/>
  <c r="Y455" i="4"/>
  <c r="Y459" i="4"/>
  <c r="Z506" i="4"/>
  <c r="Z396" i="4"/>
  <c r="B335" i="4"/>
  <c r="BH281" i="4"/>
  <c r="AT216" i="4"/>
  <c r="BB308" i="4"/>
  <c r="BC308" i="4"/>
  <c r="B249" i="4"/>
  <c r="BB232" i="4"/>
  <c r="B327" i="4"/>
  <c r="K307" i="4"/>
  <c r="L307" i="4"/>
  <c r="AT287" i="4"/>
  <c r="D287" i="4"/>
  <c r="B253" i="4"/>
  <c r="BB244" i="4"/>
  <c r="BC244" i="4"/>
  <c r="R288" i="4"/>
  <c r="U288" i="4"/>
  <c r="R281" i="4"/>
  <c r="D215" i="4"/>
  <c r="K347" i="4"/>
  <c r="B347" i="4"/>
  <c r="B311" i="4"/>
  <c r="R355" i="4"/>
  <c r="R356" i="4"/>
  <c r="S356" i="4"/>
  <c r="Y303" i="4"/>
  <c r="B303" i="4"/>
  <c r="AA265" i="4"/>
  <c r="V287" i="4"/>
  <c r="D289" i="4"/>
  <c r="Y457" i="4"/>
  <c r="BB311" i="4"/>
  <c r="Z304" i="4"/>
  <c r="AA304" i="4"/>
  <c r="V289" i="4"/>
  <c r="K261" i="4"/>
  <c r="B261" i="4"/>
  <c r="AM238" i="4"/>
  <c r="AM242" i="4"/>
  <c r="AN242" i="4"/>
  <c r="AO242" i="4"/>
  <c r="D214" i="4"/>
  <c r="B269" i="4"/>
  <c r="B257" i="4"/>
  <c r="L249" i="4"/>
  <c r="M249" i="4"/>
  <c r="B265" i="4"/>
  <c r="BB233" i="4"/>
  <c r="BC233" i="4"/>
  <c r="AA263" i="4"/>
  <c r="B233" i="4"/>
  <c r="Y237" i="4"/>
  <c r="Z237" i="4"/>
  <c r="AA237" i="4"/>
  <c r="K236" i="4"/>
  <c r="L236" i="4"/>
  <c r="M236" i="4"/>
  <c r="AT207" i="4"/>
  <c r="H215" i="4"/>
  <c r="BB247" i="4"/>
  <c r="BC247" i="4"/>
  <c r="Z233" i="4"/>
  <c r="AA233" i="4"/>
  <c r="AT214" i="4"/>
  <c r="AW214" i="4"/>
  <c r="BB231" i="4"/>
  <c r="K231" i="4"/>
  <c r="L231" i="4"/>
  <c r="B229" i="4"/>
  <c r="AT215" i="4"/>
  <c r="AW215" i="4"/>
  <c r="M263" i="4"/>
  <c r="BB229" i="4"/>
  <c r="BC229" i="4"/>
  <c r="R215" i="4"/>
  <c r="AX216" i="4"/>
  <c r="AF288" i="4"/>
  <c r="AN230" i="4"/>
  <c r="AO230" i="4"/>
  <c r="BA241" i="4"/>
  <c r="BA245" i="4"/>
  <c r="BA249" i="4"/>
  <c r="BB249" i="4"/>
  <c r="L241" i="4"/>
  <c r="M241" i="4"/>
  <c r="BB236" i="4"/>
  <c r="BC236" i="4"/>
  <c r="AT290" i="4"/>
  <c r="AW290" i="4"/>
  <c r="R216" i="4"/>
  <c r="U216" i="4"/>
  <c r="V213" i="4"/>
  <c r="R289" i="4"/>
  <c r="B241" i="4"/>
  <c r="BB241" i="4"/>
  <c r="BC241" i="4"/>
  <c r="AM237" i="4"/>
  <c r="AN237" i="4"/>
  <c r="AO237" i="4"/>
  <c r="L229" i="4"/>
  <c r="M229" i="4"/>
  <c r="BA235" i="4"/>
  <c r="Y200" i="4"/>
  <c r="AF214" i="4"/>
  <c r="AI214" i="4"/>
  <c r="R214" i="4"/>
  <c r="AX214" i="4"/>
  <c r="AJ215" i="4"/>
  <c r="V216" i="4"/>
  <c r="D213" i="4"/>
  <c r="AF213" i="4"/>
  <c r="V214" i="4"/>
  <c r="U214" i="4"/>
  <c r="Y235" i="4"/>
  <c r="H213" i="4"/>
  <c r="K234" i="4"/>
  <c r="L234" i="4"/>
  <c r="M234" i="4"/>
  <c r="AF207" i="4"/>
  <c r="AJ214" i="4"/>
  <c r="AX215" i="4"/>
  <c r="D216" i="4"/>
  <c r="R207" i="4"/>
  <c r="R213" i="4"/>
  <c r="R217" i="4"/>
  <c r="AT213" i="4"/>
  <c r="AT217" i="4"/>
  <c r="H216" i="4"/>
  <c r="AN229" i="4"/>
  <c r="AX213" i="4"/>
  <c r="AX217" i="4"/>
  <c r="D207" i="4"/>
  <c r="L396" i="4"/>
  <c r="M396" i="4"/>
  <c r="Z458" i="4"/>
  <c r="AA458" i="4"/>
  <c r="AI290" i="4"/>
  <c r="Z432" i="4"/>
  <c r="AN315" i="4"/>
  <c r="AO315" i="4"/>
  <c r="S430" i="4"/>
  <c r="Z400" i="4"/>
  <c r="AA400" i="4"/>
  <c r="AM317" i="4"/>
  <c r="BB252" i="4"/>
  <c r="BC252" i="4"/>
  <c r="AN238" i="4"/>
  <c r="AO238" i="4"/>
  <c r="Y238" i="4"/>
  <c r="K238" i="4"/>
  <c r="K242" i="4"/>
  <c r="L242" i="4"/>
  <c r="AN453" i="4"/>
  <c r="AO453" i="4"/>
  <c r="AM457" i="4"/>
  <c r="G214" i="4"/>
  <c r="BO228" i="4"/>
  <c r="BP227" i="4"/>
  <c r="BQ227" i="4"/>
  <c r="G290" i="4"/>
  <c r="AM240" i="4"/>
  <c r="AM244" i="4"/>
  <c r="AM248" i="4"/>
  <c r="AM252" i="4"/>
  <c r="AM256" i="4"/>
  <c r="AN256" i="4"/>
  <c r="K311" i="4"/>
  <c r="AM241" i="4"/>
  <c r="AM245" i="4"/>
  <c r="AN235" i="4"/>
  <c r="AO235" i="4"/>
  <c r="BC234" i="4"/>
  <c r="AN309" i="4"/>
  <c r="AO309" i="4"/>
  <c r="AM246" i="4"/>
  <c r="U511" i="4"/>
  <c r="AI216" i="4"/>
  <c r="AI215" i="4"/>
  <c r="AT283" i="4"/>
  <c r="D283" i="4"/>
  <c r="D282" i="4"/>
  <c r="E282" i="4"/>
  <c r="AW216" i="4"/>
  <c r="G215" i="4"/>
  <c r="AJ217" i="4"/>
  <c r="M379" i="4"/>
  <c r="Z455" i="4"/>
  <c r="AA455" i="4"/>
  <c r="AN240" i="4"/>
  <c r="AO240" i="4"/>
  <c r="BA461" i="4"/>
  <c r="BB461" i="4"/>
  <c r="BC461" i="4"/>
  <c r="BO302" i="4"/>
  <c r="BO303" i="4"/>
  <c r="AN391" i="4"/>
  <c r="AO391" i="4"/>
  <c r="AM395" i="4"/>
  <c r="Y241" i="4"/>
  <c r="Y245" i="4"/>
  <c r="U287" i="4"/>
  <c r="V291" i="4"/>
  <c r="D291" i="4"/>
  <c r="K401" i="4"/>
  <c r="K240" i="4"/>
  <c r="BA253" i="4"/>
  <c r="BB253" i="4"/>
  <c r="BC253" i="4"/>
  <c r="BB245" i="4"/>
  <c r="BC245" i="4"/>
  <c r="BA389" i="4"/>
  <c r="BA393" i="4"/>
  <c r="BB393" i="4"/>
  <c r="BB385" i="4"/>
  <c r="BB315" i="4"/>
  <c r="BC315" i="4"/>
  <c r="BA319" i="4"/>
  <c r="BI356" i="4"/>
  <c r="BH357" i="4"/>
  <c r="BH284" i="4"/>
  <c r="BB459" i="4"/>
  <c r="AW361" i="4"/>
  <c r="AF208" i="4"/>
  <c r="AG208" i="4"/>
  <c r="AF209" i="4"/>
  <c r="Y307" i="4"/>
  <c r="Z307" i="4"/>
  <c r="AA307" i="4"/>
  <c r="Z303" i="4"/>
  <c r="BC306" i="4"/>
  <c r="D209" i="4"/>
  <c r="D208" i="4"/>
  <c r="E208" i="4"/>
  <c r="R357" i="4"/>
  <c r="AA385" i="4"/>
  <c r="AO229" i="4"/>
  <c r="U213" i="4"/>
  <c r="BC311" i="4"/>
  <c r="AM398" i="4"/>
  <c r="AN394" i="4"/>
  <c r="AO394" i="4"/>
  <c r="U438" i="4"/>
  <c r="R209" i="4"/>
  <c r="R208" i="4"/>
  <c r="S208" i="4"/>
  <c r="BC231" i="4"/>
  <c r="Z238" i="4"/>
  <c r="Y242" i="4"/>
  <c r="Z242" i="4"/>
  <c r="AA242" i="4"/>
  <c r="M307" i="4"/>
  <c r="BH210" i="4"/>
  <c r="BH282" i="4"/>
  <c r="BI282" i="4"/>
  <c r="BH283" i="4"/>
  <c r="AJ365" i="4"/>
  <c r="Z451" i="4"/>
  <c r="AW437" i="4"/>
  <c r="Y408" i="4"/>
  <c r="Z408" i="4"/>
  <c r="AA408" i="4"/>
  <c r="L452" i="4"/>
  <c r="AT209" i="4"/>
  <c r="AT208" i="4"/>
  <c r="AU208" i="4"/>
  <c r="Y461" i="4"/>
  <c r="Z461" i="4"/>
  <c r="AA461" i="4"/>
  <c r="Z457" i="4"/>
  <c r="AA457" i="4"/>
  <c r="AA396" i="4"/>
  <c r="AN245" i="4"/>
  <c r="AO245" i="4"/>
  <c r="AM249" i="4"/>
  <c r="AM253" i="4"/>
  <c r="AN253" i="4"/>
  <c r="AO253" i="4"/>
  <c r="BA390" i="4"/>
  <c r="BA394" i="4"/>
  <c r="BB386" i="4"/>
  <c r="BC386" i="4"/>
  <c r="BH209" i="4"/>
  <c r="BH208" i="4"/>
  <c r="BI208" i="4"/>
  <c r="BA318" i="4"/>
  <c r="BB314" i="4"/>
  <c r="BC314" i="4"/>
  <c r="BM285" i="4"/>
  <c r="AN241" i="4"/>
  <c r="AO241" i="4"/>
  <c r="AN244" i="4"/>
  <c r="AO244" i="4"/>
  <c r="Z438" i="4"/>
  <c r="AA438" i="4"/>
  <c r="L311" i="4"/>
  <c r="M311" i="4"/>
  <c r="K315" i="4"/>
  <c r="L315" i="4"/>
  <c r="M315" i="4"/>
  <c r="BC385" i="4"/>
  <c r="BA397" i="4"/>
  <c r="AM402" i="4"/>
  <c r="AN398" i="4"/>
  <c r="AN248" i="4"/>
  <c r="AO248" i="4"/>
  <c r="AO256" i="4"/>
  <c r="AA238" i="4"/>
  <c r="AM399" i="4"/>
  <c r="AN399" i="4"/>
  <c r="AO399" i="4"/>
  <c r="AN395" i="4"/>
  <c r="AO395" i="4"/>
  <c r="AN249" i="4"/>
  <c r="AO249" i="4"/>
  <c r="BB319" i="4"/>
  <c r="BC319" i="4"/>
  <c r="BA323" i="4"/>
  <c r="L174" i="4"/>
  <c r="AA451" i="4"/>
  <c r="M231" i="4"/>
  <c r="BC249" i="4"/>
  <c r="L240" i="4"/>
  <c r="M240" i="4"/>
  <c r="K244" i="4"/>
  <c r="L401" i="4"/>
  <c r="M401" i="4"/>
  <c r="K405" i="4"/>
  <c r="L405" i="4"/>
  <c r="M405" i="4"/>
  <c r="M452" i="4"/>
  <c r="K319" i="4"/>
  <c r="L319" i="4"/>
  <c r="M319" i="4"/>
  <c r="AM403" i="4"/>
  <c r="AN403" i="4"/>
  <c r="AO403" i="4"/>
  <c r="AN252" i="4"/>
  <c r="AO252" i="4"/>
  <c r="M174" i="4"/>
  <c r="M242" i="4"/>
  <c r="AO398" i="4"/>
  <c r="AM406" i="4"/>
  <c r="AN406" i="4"/>
  <c r="AO406" i="4"/>
  <c r="AN402" i="4"/>
  <c r="BA327" i="4"/>
  <c r="BB323" i="4"/>
  <c r="BC323" i="4"/>
  <c r="AO402" i="4"/>
  <c r="BB327" i="4"/>
  <c r="BC327" i="4"/>
  <c r="BA331" i="4"/>
  <c r="BB331" i="4"/>
  <c r="BC331" i="4"/>
  <c r="BA335" i="4"/>
  <c r="BB335" i="4"/>
  <c r="BC335" i="4"/>
  <c r="AT65" i="4"/>
  <c r="BA14" i="4"/>
  <c r="B19" i="4"/>
  <c r="K17" i="4"/>
  <c r="L17" i="4"/>
  <c r="M8" i="4"/>
  <c r="AO7" i="4"/>
  <c r="M9" i="4"/>
  <c r="AN10" i="4"/>
  <c r="AO10" i="4"/>
  <c r="Z9" i="4"/>
  <c r="AA9" i="4"/>
  <c r="L8" i="4"/>
  <c r="L9" i="4"/>
  <c r="BP5" i="4"/>
  <c r="BQ5" i="4"/>
  <c r="Y120" i="4"/>
  <c r="R141" i="4"/>
  <c r="BC393" i="4"/>
  <c r="Z245" i="4"/>
  <c r="AA245" i="4"/>
  <c r="Y249" i="4"/>
  <c r="G435" i="4"/>
  <c r="D439" i="4"/>
  <c r="AW213" i="4"/>
  <c r="AT505" i="4"/>
  <c r="AT504" i="4"/>
  <c r="AU504" i="4"/>
  <c r="Z503" i="4"/>
  <c r="Z512" i="4"/>
  <c r="Z459" i="4"/>
  <c r="AA459" i="4"/>
  <c r="BA456" i="4"/>
  <c r="BB452" i="4"/>
  <c r="H435" i="4"/>
  <c r="V362" i="4"/>
  <c r="U362" i="4"/>
  <c r="M306" i="4"/>
  <c r="H362" i="4"/>
  <c r="BA398" i="4"/>
  <c r="BB394" i="4"/>
  <c r="BB235" i="4"/>
  <c r="BC235" i="4"/>
  <c r="BA239" i="4"/>
  <c r="BB239" i="4"/>
  <c r="BC239" i="4"/>
  <c r="BB312" i="4"/>
  <c r="BC312" i="4"/>
  <c r="BA316" i="4"/>
  <c r="AN457" i="4"/>
  <c r="AM461" i="4"/>
  <c r="AN461" i="4"/>
  <c r="AO461" i="4"/>
  <c r="AN317" i="4"/>
  <c r="AO317" i="4"/>
  <c r="AM321" i="4"/>
  <c r="Y239" i="4"/>
  <c r="Z235" i="4"/>
  <c r="AA235" i="4"/>
  <c r="BQ300" i="4"/>
  <c r="Z509" i="4"/>
  <c r="AO155" i="4"/>
  <c r="BB397" i="4"/>
  <c r="BC397" i="4"/>
  <c r="BA401" i="4"/>
  <c r="AM250" i="4"/>
  <c r="AN246" i="4"/>
  <c r="L244" i="4"/>
  <c r="M244" i="4"/>
  <c r="K248" i="4"/>
  <c r="Y311" i="4"/>
  <c r="AW435" i="4"/>
  <c r="AT439" i="4"/>
  <c r="BC459" i="4"/>
  <c r="BB509" i="4"/>
  <c r="BP303" i="4"/>
  <c r="BQ303" i="4"/>
  <c r="BO304" i="4"/>
  <c r="AI436" i="4"/>
  <c r="AO233" i="4"/>
  <c r="AO404" i="4"/>
  <c r="AN438" i="4"/>
  <c r="AO438" i="4"/>
  <c r="BB318" i="4"/>
  <c r="BC318" i="4"/>
  <c r="BA322" i="4"/>
  <c r="BB289" i="4"/>
  <c r="BC289" i="4"/>
  <c r="AO231" i="4"/>
  <c r="D429" i="4"/>
  <c r="K377" i="4"/>
  <c r="L377" i="4"/>
  <c r="K380" i="4"/>
  <c r="L380" i="4"/>
  <c r="D438" i="4"/>
  <c r="G438" i="4"/>
  <c r="AM407" i="4"/>
  <c r="AN407" i="4"/>
  <c r="AO407" i="4"/>
  <c r="BO229" i="4"/>
  <c r="BP228" i="4"/>
  <c r="AI213" i="4"/>
  <c r="AF217" i="4"/>
  <c r="BC232" i="4"/>
  <c r="AN310" i="4"/>
  <c r="AO310" i="4"/>
  <c r="AN456" i="4"/>
  <c r="AO456" i="4"/>
  <c r="AM460" i="4"/>
  <c r="AN460" i="4"/>
  <c r="AO460" i="4"/>
  <c r="AM308" i="4"/>
  <c r="AM312" i="4"/>
  <c r="AF362" i="4"/>
  <c r="AI362" i="4"/>
  <c r="B307" i="4"/>
  <c r="V361" i="4"/>
  <c r="V365" i="4"/>
  <c r="AA303" i="4"/>
  <c r="G216" i="4"/>
  <c r="D217" i="4"/>
  <c r="B377" i="4"/>
  <c r="AM318" i="4"/>
  <c r="AN314" i="4"/>
  <c r="BC498" i="4"/>
  <c r="AX512" i="4"/>
  <c r="BC485" i="4"/>
  <c r="AX511" i="4"/>
  <c r="AO452" i="4"/>
  <c r="AI288" i="4"/>
  <c r="AX288" i="4"/>
  <c r="AW288" i="4"/>
  <c r="BC230" i="4"/>
  <c r="AM247" i="4"/>
  <c r="AF289" i="4"/>
  <c r="AI289" i="4"/>
  <c r="B245" i="4"/>
  <c r="AF281" i="4"/>
  <c r="Y182" i="4"/>
  <c r="Y186" i="4"/>
  <c r="Y190" i="4"/>
  <c r="Z190" i="4"/>
  <c r="AA190" i="4"/>
  <c r="Z210" i="4"/>
  <c r="V141" i="4"/>
  <c r="U141" i="4"/>
  <c r="K246" i="4"/>
  <c r="Z241" i="4"/>
  <c r="AA241" i="4"/>
  <c r="Y246" i="4"/>
  <c r="AT291" i="4"/>
  <c r="U289" i="4"/>
  <c r="AN290" i="4"/>
  <c r="AO290" i="4"/>
  <c r="AM331" i="4"/>
  <c r="AN327" i="4"/>
  <c r="AO327" i="4"/>
  <c r="B491" i="4"/>
  <c r="K491" i="4"/>
  <c r="L238" i="4"/>
  <c r="H288" i="4"/>
  <c r="G288" i="4"/>
  <c r="BA173" i="4"/>
  <c r="BB169" i="4"/>
  <c r="R282" i="4"/>
  <c r="S282" i="4"/>
  <c r="R283" i="4"/>
  <c r="BP302" i="4"/>
  <c r="BQ302" i="4"/>
  <c r="K408" i="4"/>
  <c r="L408" i="4"/>
  <c r="M408" i="4"/>
  <c r="AN319" i="4"/>
  <c r="V217" i="4"/>
  <c r="D355" i="4"/>
  <c r="BB230" i="4"/>
  <c r="AM243" i="4"/>
  <c r="AN243" i="4"/>
  <c r="AO243" i="4"/>
  <c r="AN239" i="4"/>
  <c r="AO239" i="4"/>
  <c r="AM455" i="4"/>
  <c r="AN451" i="4"/>
  <c r="BM359" i="4"/>
  <c r="AW511" i="4"/>
  <c r="G512" i="4"/>
  <c r="Y406" i="4"/>
  <c r="Z406" i="4"/>
  <c r="AA406" i="4"/>
  <c r="Z402" i="4"/>
  <c r="AA402" i="4"/>
  <c r="BA408" i="4"/>
  <c r="BB408" i="4"/>
  <c r="BC408" i="4"/>
  <c r="BB404" i="4"/>
  <c r="AM476" i="4"/>
  <c r="AF510" i="4"/>
  <c r="Z511" i="4"/>
  <c r="AA511" i="4"/>
  <c r="H217" i="4"/>
  <c r="G213" i="4"/>
  <c r="AT365" i="4"/>
  <c r="L458" i="4"/>
  <c r="M458" i="4"/>
  <c r="L304" i="4"/>
  <c r="K308" i="4"/>
  <c r="L308" i="4"/>
  <c r="M308" i="4"/>
  <c r="D361" i="4"/>
  <c r="B323" i="4"/>
  <c r="K323" i="4"/>
  <c r="Y351" i="4"/>
  <c r="B351" i="4"/>
  <c r="R361" i="4"/>
  <c r="AA155" i="4"/>
  <c r="BA454" i="4"/>
  <c r="BA458" i="4"/>
  <c r="AT512" i="4"/>
  <c r="BC380" i="4"/>
  <c r="AX438" i="4"/>
  <c r="BA388" i="4"/>
  <c r="BB388" i="4"/>
  <c r="BC388" i="4"/>
  <c r="BA399" i="4"/>
  <c r="BB395" i="4"/>
  <c r="BC395" i="4"/>
  <c r="V509" i="4"/>
  <c r="K427" i="4"/>
  <c r="B425" i="4"/>
  <c r="R512" i="4"/>
  <c r="U512" i="4"/>
  <c r="Y474" i="4"/>
  <c r="Y314" i="4"/>
  <c r="Z310" i="4"/>
  <c r="M269" i="4"/>
  <c r="H287" i="4"/>
  <c r="U215" i="4"/>
  <c r="AJ437" i="4"/>
  <c r="AI437" i="4"/>
  <c r="AO379" i="4"/>
  <c r="AX436" i="4"/>
  <c r="Y499" i="4"/>
  <c r="B499" i="4"/>
  <c r="AX364" i="4"/>
  <c r="AW364" i="4"/>
  <c r="AF503" i="4"/>
  <c r="B451" i="4"/>
  <c r="B507" i="4"/>
  <c r="H364" i="4"/>
  <c r="G364" i="4"/>
  <c r="BC271" i="4"/>
  <c r="AX289" i="4"/>
  <c r="AW289" i="4"/>
  <c r="AJ287" i="4"/>
  <c r="AW287" i="4"/>
  <c r="BC492" i="4"/>
  <c r="AX510" i="4"/>
  <c r="AX513" i="4"/>
  <c r="AO424" i="4"/>
  <c r="AJ438" i="4"/>
  <c r="AI438" i="4"/>
  <c r="BA348" i="4"/>
  <c r="AT355" i="4"/>
  <c r="AF361" i="4"/>
  <c r="AF355" i="4"/>
  <c r="B319" i="4"/>
  <c r="K235" i="4"/>
  <c r="L437" i="4"/>
  <c r="M437" i="4"/>
  <c r="Y279" i="4"/>
  <c r="B277" i="4"/>
  <c r="R291" i="4"/>
  <c r="BB248" i="4"/>
  <c r="BC248" i="4"/>
  <c r="AA450" i="4"/>
  <c r="L400" i="4"/>
  <c r="M400" i="4"/>
  <c r="L303" i="4"/>
  <c r="M453" i="4"/>
  <c r="K390" i="4"/>
  <c r="L386" i="4"/>
  <c r="M418" i="4"/>
  <c r="H436" i="4"/>
  <c r="Y378" i="4"/>
  <c r="Z378" i="4"/>
  <c r="D503" i="4"/>
  <c r="L454" i="4"/>
  <c r="M454" i="4"/>
  <c r="AN397" i="4"/>
  <c r="AO397" i="4"/>
  <c r="U436" i="4"/>
  <c r="R435" i="4"/>
  <c r="Y377" i="4"/>
  <c r="Z377" i="4"/>
  <c r="BA238" i="4"/>
  <c r="R431" i="4"/>
  <c r="Y317" i="4"/>
  <c r="G289" i="4"/>
  <c r="BB310" i="4"/>
  <c r="BC310" i="4"/>
  <c r="AJ512" i="4"/>
  <c r="AJ513" i="4"/>
  <c r="AN458" i="4"/>
  <c r="AM462" i="4"/>
  <c r="AN462" i="4"/>
  <c r="AO462" i="4"/>
  <c r="Z398" i="4"/>
  <c r="AA398" i="4"/>
  <c r="AT429" i="4"/>
  <c r="AT438" i="4"/>
  <c r="B401" i="4"/>
  <c r="D436" i="4"/>
  <c r="G436" i="4"/>
  <c r="D437" i="4"/>
  <c r="G437" i="4"/>
  <c r="AT510" i="4"/>
  <c r="D509" i="4"/>
  <c r="D510" i="4"/>
  <c r="G510" i="4"/>
  <c r="Y403" i="4"/>
  <c r="AF364" i="4"/>
  <c r="AI364" i="4"/>
  <c r="AM181" i="4"/>
  <c r="AM185" i="4"/>
  <c r="AN177" i="4"/>
  <c r="AO177" i="4"/>
  <c r="AF512" i="4"/>
  <c r="K172" i="4"/>
  <c r="L168" i="4"/>
  <c r="M168" i="4"/>
  <c r="AT509" i="4"/>
  <c r="Z395" i="4"/>
  <c r="AN306" i="4"/>
  <c r="AO306" i="4"/>
  <c r="AX362" i="4"/>
  <c r="AX365" i="4"/>
  <c r="BB303" i="4"/>
  <c r="BA309" i="4"/>
  <c r="Y312" i="4"/>
  <c r="D511" i="4"/>
  <c r="G511" i="4"/>
  <c r="K310" i="4"/>
  <c r="L310" i="4"/>
  <c r="M310" i="4"/>
  <c r="H363" i="4"/>
  <c r="H365" i="4"/>
  <c r="AM180" i="4"/>
  <c r="AM184" i="4"/>
  <c r="AM188" i="4"/>
  <c r="AN176" i="4"/>
  <c r="AO176" i="4"/>
  <c r="L451" i="4"/>
  <c r="R510" i="4"/>
  <c r="AA510" i="4"/>
  <c r="K312" i="4"/>
  <c r="D362" i="4"/>
  <c r="G362" i="4"/>
  <c r="BB237" i="4"/>
  <c r="BC237" i="4"/>
  <c r="K451" i="4"/>
  <c r="K455" i="4"/>
  <c r="AM397" i="4"/>
  <c r="L395" i="4"/>
  <c r="M395" i="4"/>
  <c r="D363" i="4"/>
  <c r="K305" i="4"/>
  <c r="L179" i="4"/>
  <c r="M179" i="4"/>
  <c r="BA189" i="4"/>
  <c r="BB185" i="4"/>
  <c r="BC185" i="4"/>
  <c r="R135" i="4"/>
  <c r="R134" i="4"/>
  <c r="S134" i="4"/>
  <c r="Z189" i="4"/>
  <c r="AA189" i="4"/>
  <c r="K186" i="4"/>
  <c r="K190" i="4"/>
  <c r="L190" i="4"/>
  <c r="M190" i="4"/>
  <c r="L182" i="4"/>
  <c r="M182" i="4"/>
  <c r="Z179" i="4"/>
  <c r="AA179" i="4"/>
  <c r="Z183" i="4"/>
  <c r="AA183" i="4"/>
  <c r="AN169" i="4"/>
  <c r="AO169" i="4"/>
  <c r="BP153" i="4"/>
  <c r="BO154" i="4"/>
  <c r="K457" i="4"/>
  <c r="L187" i="4"/>
  <c r="M187" i="4"/>
  <c r="AN188" i="4"/>
  <c r="AO188" i="4"/>
  <c r="Z175" i="4"/>
  <c r="AA175" i="4"/>
  <c r="K91" i="4"/>
  <c r="K95" i="4"/>
  <c r="D141" i="4"/>
  <c r="G141" i="4"/>
  <c r="B155" i="4"/>
  <c r="B211" i="4"/>
  <c r="B220" i="4"/>
  <c r="AM158" i="4"/>
  <c r="D140" i="4"/>
  <c r="L170" i="4"/>
  <c r="M170" i="4"/>
  <c r="Z171" i="4"/>
  <c r="AA171" i="4"/>
  <c r="Z180" i="4"/>
  <c r="AA180" i="4"/>
  <c r="AN164" i="4"/>
  <c r="AO164" i="4"/>
  <c r="AO179" i="4"/>
  <c r="AT133" i="4"/>
  <c r="BA126" i="4"/>
  <c r="AT140" i="4"/>
  <c r="Z181" i="4"/>
  <c r="AA181" i="4"/>
  <c r="Z184" i="4"/>
  <c r="AA184" i="4"/>
  <c r="Y188" i="4"/>
  <c r="Z185" i="4"/>
  <c r="AA185" i="4"/>
  <c r="AN165" i="4"/>
  <c r="AO165" i="4"/>
  <c r="AN171" i="4"/>
  <c r="AO171" i="4"/>
  <c r="AN180" i="4"/>
  <c r="AO180" i="4"/>
  <c r="AN184" i="4"/>
  <c r="AO184" i="4"/>
  <c r="L448" i="4"/>
  <c r="BC396" i="4"/>
  <c r="Z231" i="4"/>
  <c r="BB189" i="4"/>
  <c r="BC189" i="4"/>
  <c r="L164" i="4"/>
  <c r="Z163" i="4"/>
  <c r="BA168" i="4"/>
  <c r="BB164" i="4"/>
  <c r="BC164" i="4"/>
  <c r="V142" i="4"/>
  <c r="V143" i="4"/>
  <c r="M117" i="4"/>
  <c r="H139" i="4"/>
  <c r="AO387" i="4"/>
  <c r="Y236" i="4"/>
  <c r="M165" i="4"/>
  <c r="Z168" i="4"/>
  <c r="Z177" i="4"/>
  <c r="AA177" i="4"/>
  <c r="AN172" i="4"/>
  <c r="AO172" i="4"/>
  <c r="BC169" i="4"/>
  <c r="BB173" i="4"/>
  <c r="BC173" i="4"/>
  <c r="L162" i="4"/>
  <c r="BC161" i="4"/>
  <c r="L166" i="4"/>
  <c r="K169" i="4"/>
  <c r="K173" i="4"/>
  <c r="Z173" i="4"/>
  <c r="BA170" i="4"/>
  <c r="BB166" i="4"/>
  <c r="BB215" i="4"/>
  <c r="BC215" i="4"/>
  <c r="L91" i="4"/>
  <c r="M91" i="4"/>
  <c r="H142" i="4"/>
  <c r="G142" i="4"/>
  <c r="AN167" i="4"/>
  <c r="AN213" i="4"/>
  <c r="AN173" i="4"/>
  <c r="AO173" i="4"/>
  <c r="M162" i="4"/>
  <c r="L178" i="4"/>
  <c r="M178" i="4"/>
  <c r="K167" i="4"/>
  <c r="K171" i="4"/>
  <c r="K175" i="4"/>
  <c r="Z169" i="4"/>
  <c r="B273" i="4"/>
  <c r="B285" i="4"/>
  <c r="B294" i="4"/>
  <c r="K233" i="4"/>
  <c r="L233" i="4"/>
  <c r="Z188" i="4"/>
  <c r="L155" i="4"/>
  <c r="M155" i="4"/>
  <c r="L169" i="4"/>
  <c r="M169" i="4"/>
  <c r="Z174" i="4"/>
  <c r="AA174" i="4"/>
  <c r="Z178" i="4"/>
  <c r="AA178" i="4"/>
  <c r="AN168" i="4"/>
  <c r="AO168" i="4"/>
  <c r="AN183" i="4"/>
  <c r="AO183" i="4"/>
  <c r="BA167" i="4"/>
  <c r="BB163" i="4"/>
  <c r="BC163" i="4"/>
  <c r="BC83" i="4"/>
  <c r="AN91" i="4"/>
  <c r="AO91" i="4"/>
  <c r="AJ142" i="4"/>
  <c r="AN101" i="4"/>
  <c r="AO101" i="4"/>
  <c r="AJ140" i="4"/>
  <c r="AO81" i="4"/>
  <c r="AX141" i="4"/>
  <c r="BP78" i="4"/>
  <c r="BO79" i="4"/>
  <c r="Z86" i="4"/>
  <c r="Z140" i="4"/>
  <c r="AA140" i="4"/>
  <c r="AA86" i="4"/>
  <c r="K96" i="4"/>
  <c r="AX140" i="4"/>
  <c r="Y98" i="4"/>
  <c r="Y102" i="4"/>
  <c r="Y106" i="4"/>
  <c r="Z106" i="4"/>
  <c r="AA106" i="4"/>
  <c r="Z94" i="4"/>
  <c r="AA94" i="4"/>
  <c r="BH133" i="4"/>
  <c r="AX142" i="4"/>
  <c r="AW142" i="4"/>
  <c r="BC88" i="4"/>
  <c r="BC81" i="4"/>
  <c r="AN93" i="4"/>
  <c r="AO93" i="4"/>
  <c r="Z88" i="4"/>
  <c r="AA88" i="4"/>
  <c r="Z98" i="4"/>
  <c r="AA98" i="4"/>
  <c r="BA96" i="4"/>
  <c r="BB96" i="4"/>
  <c r="BC96" i="4"/>
  <c r="BA101" i="4"/>
  <c r="B101" i="4"/>
  <c r="AF68" i="4"/>
  <c r="U139" i="4"/>
  <c r="AT141" i="4"/>
  <c r="AW141" i="4"/>
  <c r="B125" i="4"/>
  <c r="AF140" i="4"/>
  <c r="AI140" i="4"/>
  <c r="AF133" i="4"/>
  <c r="AA188" i="4"/>
  <c r="AX139" i="4"/>
  <c r="AF139" i="4"/>
  <c r="AM89" i="4"/>
  <c r="AM93" i="4"/>
  <c r="B15" i="4"/>
  <c r="D67" i="4"/>
  <c r="H141" i="4"/>
  <c r="BB89" i="4"/>
  <c r="AN96" i="4"/>
  <c r="AO96" i="4"/>
  <c r="AN84" i="4"/>
  <c r="Z102" i="4"/>
  <c r="AA102" i="4"/>
  <c r="AF142" i="4"/>
  <c r="AI142" i="4"/>
  <c r="D133" i="4"/>
  <c r="H68" i="4"/>
  <c r="AA164" i="4"/>
  <c r="AA167" i="4"/>
  <c r="AA170" i="4"/>
  <c r="AA173" i="4"/>
  <c r="AA176" i="4"/>
  <c r="BC181" i="4"/>
  <c r="AN88" i="4"/>
  <c r="AN107" i="4"/>
  <c r="AO107" i="4"/>
  <c r="AM82" i="4"/>
  <c r="Z93" i="4"/>
  <c r="AA93" i="4"/>
  <c r="Z81" i="4"/>
  <c r="L84" i="4"/>
  <c r="BB91" i="4"/>
  <c r="BC91" i="4"/>
  <c r="BA95" i="4"/>
  <c r="BA99" i="4"/>
  <c r="BB99" i="4"/>
  <c r="BC99" i="4"/>
  <c r="Y103" i="4"/>
  <c r="AN89" i="4"/>
  <c r="AO89" i="4"/>
  <c r="R140" i="4"/>
  <c r="BB93" i="4"/>
  <c r="BC93" i="4"/>
  <c r="Y105" i="4"/>
  <c r="H140" i="4"/>
  <c r="Z101" i="4"/>
  <c r="AA101" i="4"/>
  <c r="BA89" i="4"/>
  <c r="BA93" i="4"/>
  <c r="BA97" i="4"/>
  <c r="K89" i="4"/>
  <c r="BB90" i="4"/>
  <c r="BC90" i="4"/>
  <c r="H65" i="4"/>
  <c r="AJ67" i="4"/>
  <c r="L13" i="4"/>
  <c r="M13" i="4"/>
  <c r="B27" i="4"/>
  <c r="AJ141" i="4"/>
  <c r="AI141" i="4"/>
  <c r="BB97" i="4"/>
  <c r="BC97" i="4"/>
  <c r="AN95" i="4"/>
  <c r="AA87" i="4"/>
  <c r="L85" i="4"/>
  <c r="M85" i="4"/>
  <c r="M92" i="4"/>
  <c r="BA103" i="4"/>
  <c r="BA107" i="4"/>
  <c r="BC118" i="4"/>
  <c r="BB86" i="4"/>
  <c r="AN103" i="4"/>
  <c r="AO103" i="4"/>
  <c r="Z95" i="4"/>
  <c r="AA95" i="4"/>
  <c r="B117" i="4"/>
  <c r="BA92" i="4"/>
  <c r="BB92" i="4"/>
  <c r="BC92" i="4"/>
  <c r="B85" i="4"/>
  <c r="K86" i="4"/>
  <c r="K90" i="4"/>
  <c r="B11" i="4"/>
  <c r="M17" i="4"/>
  <c r="AO88" i="4"/>
  <c r="AN82" i="4"/>
  <c r="Z84" i="4"/>
  <c r="L87" i="4"/>
  <c r="AM104" i="4"/>
  <c r="B97" i="4"/>
  <c r="BM63" i="4"/>
  <c r="BP6" i="4"/>
  <c r="BQ6" i="4"/>
  <c r="BO7" i="4"/>
  <c r="R59" i="4"/>
  <c r="R65" i="4"/>
  <c r="AT66" i="4"/>
  <c r="AX67" i="4"/>
  <c r="Z97" i="4"/>
  <c r="AA97" i="4"/>
  <c r="L81" i="4"/>
  <c r="R67" i="4"/>
  <c r="B129" i="4"/>
  <c r="AM86" i="4"/>
  <c r="BH59" i="4"/>
  <c r="AX65" i="4"/>
  <c r="AX66" i="4"/>
  <c r="R68" i="4"/>
  <c r="K11" i="4"/>
  <c r="K15" i="4"/>
  <c r="B31" i="4"/>
  <c r="AA82" i="4"/>
  <c r="B121" i="4"/>
  <c r="R66" i="4"/>
  <c r="AX68" i="4"/>
  <c r="AW68" i="4"/>
  <c r="K21" i="4"/>
  <c r="K25" i="4"/>
  <c r="L25" i="4"/>
  <c r="M25" i="4"/>
  <c r="BC89" i="4"/>
  <c r="BB95" i="4"/>
  <c r="BC95" i="4"/>
  <c r="V68" i="4"/>
  <c r="Z99" i="4"/>
  <c r="AA99" i="4"/>
  <c r="V66" i="4"/>
  <c r="AO97" i="4"/>
  <c r="B89" i="4"/>
  <c r="Y92" i="4"/>
  <c r="BA105" i="4"/>
  <c r="D65" i="4"/>
  <c r="D59" i="4"/>
  <c r="B7" i="4"/>
  <c r="AF65" i="4"/>
  <c r="AF59" i="4"/>
  <c r="B23" i="4"/>
  <c r="B55" i="4"/>
  <c r="AJ65" i="4"/>
  <c r="H67" i="4"/>
  <c r="AT67" i="4"/>
  <c r="D68" i="4"/>
  <c r="AJ68" i="4"/>
  <c r="B35" i="4"/>
  <c r="V67" i="4"/>
  <c r="K12" i="4"/>
  <c r="L12" i="4"/>
  <c r="M12" i="4"/>
  <c r="K14" i="4"/>
  <c r="L14" i="4"/>
  <c r="AT59" i="4"/>
  <c r="D66" i="4"/>
  <c r="AF66" i="4"/>
  <c r="H66" i="4"/>
  <c r="AF67" i="4"/>
  <c r="B39" i="4"/>
  <c r="AJ66" i="4"/>
  <c r="B43" i="4"/>
  <c r="B47" i="4"/>
  <c r="B51" i="4"/>
  <c r="AI67" i="4"/>
  <c r="U68" i="4"/>
  <c r="H69" i="4"/>
  <c r="G67" i="4"/>
  <c r="L21" i="4"/>
  <c r="M21" i="4"/>
  <c r="V69" i="4"/>
  <c r="U66" i="4"/>
  <c r="AW66" i="4"/>
  <c r="AJ143" i="4"/>
  <c r="AX143" i="4"/>
  <c r="M377" i="4"/>
  <c r="AO213" i="4"/>
  <c r="M14" i="4"/>
  <c r="Z62" i="4"/>
  <c r="Y316" i="4"/>
  <c r="Z312" i="4"/>
  <c r="BC452" i="4"/>
  <c r="G66" i="4"/>
  <c r="AT60" i="4"/>
  <c r="AU60" i="4"/>
  <c r="AT61" i="4"/>
  <c r="AF60" i="4"/>
  <c r="AG60" i="4"/>
  <c r="AF61" i="4"/>
  <c r="M81" i="4"/>
  <c r="L90" i="4"/>
  <c r="M90" i="4"/>
  <c r="K94" i="4"/>
  <c r="BB103" i="4"/>
  <c r="BC103" i="4"/>
  <c r="AI139" i="4"/>
  <c r="AF143" i="4"/>
  <c r="AI68" i="4"/>
  <c r="BP79" i="4"/>
  <c r="BQ79" i="4"/>
  <c r="BO80" i="4"/>
  <c r="K177" i="4"/>
  <c r="L173" i="4"/>
  <c r="M173" i="4"/>
  <c r="AA163" i="4"/>
  <c r="Z213" i="4"/>
  <c r="AT134" i="4"/>
  <c r="AU134" i="4"/>
  <c r="AT135" i="4"/>
  <c r="AM401" i="4"/>
  <c r="AN432" i="4"/>
  <c r="D356" i="4"/>
  <c r="E356" i="4"/>
  <c r="D357" i="4"/>
  <c r="M238" i="4"/>
  <c r="AO246" i="4"/>
  <c r="AN321" i="4"/>
  <c r="AO321" i="4"/>
  <c r="AM325" i="4"/>
  <c r="BB398" i="4"/>
  <c r="BA402" i="4"/>
  <c r="K461" i="4"/>
  <c r="L461" i="4"/>
  <c r="M461" i="4"/>
  <c r="L457" i="4"/>
  <c r="Z182" i="4"/>
  <c r="AA182" i="4"/>
  <c r="AJ69" i="4"/>
  <c r="AI65" i="4"/>
  <c r="AF69" i="4"/>
  <c r="B137" i="4"/>
  <c r="B146" i="4"/>
  <c r="L86" i="4"/>
  <c r="Y107" i="4"/>
  <c r="Z103" i="4"/>
  <c r="AA103" i="4"/>
  <c r="BQ78" i="4"/>
  <c r="Z186" i="4"/>
  <c r="AA186" i="4"/>
  <c r="AA169" i="4"/>
  <c r="Z215" i="4"/>
  <c r="AA215" i="4"/>
  <c r="M166" i="4"/>
  <c r="Y240" i="4"/>
  <c r="Z236" i="4"/>
  <c r="M164" i="4"/>
  <c r="K459" i="4"/>
  <c r="L455" i="4"/>
  <c r="M455" i="4"/>
  <c r="K176" i="4"/>
  <c r="L172" i="4"/>
  <c r="M172" i="4"/>
  <c r="BB238" i="4"/>
  <c r="BC238" i="4"/>
  <c r="BA242" i="4"/>
  <c r="AF356" i="4"/>
  <c r="AG356" i="4"/>
  <c r="AF357" i="4"/>
  <c r="AN510" i="4"/>
  <c r="AO510" i="4"/>
  <c r="BQ228" i="4"/>
  <c r="BB322" i="4"/>
  <c r="BC322" i="4"/>
  <c r="BA326" i="4"/>
  <c r="BO305" i="4"/>
  <c r="BP304" i="4"/>
  <c r="BQ304" i="4"/>
  <c r="AN250" i="4"/>
  <c r="AM254" i="4"/>
  <c r="AN254" i="4"/>
  <c r="AO254" i="4"/>
  <c r="B63" i="4"/>
  <c r="B72" i="4"/>
  <c r="K19" i="4"/>
  <c r="L15" i="4"/>
  <c r="M15" i="4"/>
  <c r="AM108" i="4"/>
  <c r="AN104" i="4"/>
  <c r="AO104" i="4"/>
  <c r="AW139" i="4"/>
  <c r="BB142" i="4"/>
  <c r="BC142" i="4"/>
  <c r="L186" i="4"/>
  <c r="M186" i="4"/>
  <c r="AI512" i="4"/>
  <c r="AW438" i="4"/>
  <c r="Z435" i="4"/>
  <c r="AA377" i="4"/>
  <c r="AI361" i="4"/>
  <c r="AF365" i="4"/>
  <c r="BA403" i="4"/>
  <c r="BB399" i="4"/>
  <c r="BC399" i="4"/>
  <c r="U361" i="4"/>
  <c r="R365" i="4"/>
  <c r="AO319" i="4"/>
  <c r="B359" i="4"/>
  <c r="BP229" i="4"/>
  <c r="BQ229" i="4"/>
  <c r="BO230" i="4"/>
  <c r="BB401" i="4"/>
  <c r="BC401" i="4"/>
  <c r="BA405" i="4"/>
  <c r="BB405" i="4"/>
  <c r="BC405" i="4"/>
  <c r="H439" i="4"/>
  <c r="AN312" i="4"/>
  <c r="AO312" i="4"/>
  <c r="AM316" i="4"/>
  <c r="D61" i="4"/>
  <c r="D60" i="4"/>
  <c r="E60" i="4"/>
  <c r="D134" i="4"/>
  <c r="E134" i="4"/>
  <c r="D135" i="4"/>
  <c r="BB101" i="4"/>
  <c r="BC101" i="4"/>
  <c r="BB136" i="4"/>
  <c r="L171" i="4"/>
  <c r="M171" i="4"/>
  <c r="AN181" i="4"/>
  <c r="AO181" i="4"/>
  <c r="AT430" i="4"/>
  <c r="AU430" i="4"/>
  <c r="AT431" i="4"/>
  <c r="U435" i="4"/>
  <c r="R439" i="4"/>
  <c r="AT356" i="4"/>
  <c r="AU356" i="4"/>
  <c r="AT357" i="4"/>
  <c r="H291" i="4"/>
  <c r="G287" i="4"/>
  <c r="AN437" i="4"/>
  <c r="AO437" i="4"/>
  <c r="BC509" i="4"/>
  <c r="BB432" i="4"/>
  <c r="AX291" i="4"/>
  <c r="AM335" i="4"/>
  <c r="AN335" i="4"/>
  <c r="AO335" i="4"/>
  <c r="AN331" i="4"/>
  <c r="AO331" i="4"/>
  <c r="M84" i="4"/>
  <c r="L216" i="4"/>
  <c r="M216" i="4"/>
  <c r="H143" i="4"/>
  <c r="G140" i="4"/>
  <c r="D143" i="4"/>
  <c r="BO155" i="4"/>
  <c r="BM211" i="4"/>
  <c r="BP154" i="4"/>
  <c r="BQ154" i="4"/>
  <c r="K316" i="4"/>
  <c r="L312" i="4"/>
  <c r="M312" i="4"/>
  <c r="BB309" i="4"/>
  <c r="BA313" i="4"/>
  <c r="AF504" i="4"/>
  <c r="AG504" i="4"/>
  <c r="AF505" i="4"/>
  <c r="AA310" i="4"/>
  <c r="L323" i="4"/>
  <c r="M323" i="4"/>
  <c r="K327" i="4"/>
  <c r="AO451" i="4"/>
  <c r="AF282" i="4"/>
  <c r="AG282" i="4"/>
  <c r="AF283" i="4"/>
  <c r="BB316" i="4"/>
  <c r="BA320" i="4"/>
  <c r="BB456" i="4"/>
  <c r="BC456" i="4"/>
  <c r="BA460" i="4"/>
  <c r="K29" i="4"/>
  <c r="Z92" i="4"/>
  <c r="Y96" i="4"/>
  <c r="AX69" i="4"/>
  <c r="AW65" i="4"/>
  <c r="AA84" i="4"/>
  <c r="AA81" i="4"/>
  <c r="M448" i="4"/>
  <c r="L510" i="4"/>
  <c r="M510" i="4"/>
  <c r="AM162" i="4"/>
  <c r="AN158" i="4"/>
  <c r="BQ153" i="4"/>
  <c r="L167" i="4"/>
  <c r="M167" i="4"/>
  <c r="K314" i="4"/>
  <c r="BC303" i="4"/>
  <c r="AO458" i="4"/>
  <c r="AN512" i="4"/>
  <c r="AO512" i="4"/>
  <c r="BB454" i="4"/>
  <c r="M386" i="4"/>
  <c r="Z314" i="4"/>
  <c r="Y318" i="4"/>
  <c r="AI510" i="4"/>
  <c r="AF513" i="4"/>
  <c r="AN455" i="4"/>
  <c r="AO455" i="4"/>
  <c r="AM459" i="4"/>
  <c r="M380" i="4"/>
  <c r="L438" i="4"/>
  <c r="M438" i="4"/>
  <c r="Z249" i="4"/>
  <c r="AA249" i="4"/>
  <c r="Y253" i="4"/>
  <c r="Z253" i="4"/>
  <c r="AA253" i="4"/>
  <c r="G65" i="4"/>
  <c r="D69" i="4"/>
  <c r="AO457" i="4"/>
  <c r="AN511" i="4"/>
  <c r="AO511" i="4"/>
  <c r="BB107" i="4"/>
  <c r="BC107" i="4"/>
  <c r="U510" i="4"/>
  <c r="R513" i="4"/>
  <c r="Y407" i="4"/>
  <c r="Z407" i="4"/>
  <c r="AA407" i="4"/>
  <c r="Z403" i="4"/>
  <c r="AA403" i="4"/>
  <c r="L390" i="4"/>
  <c r="M390" i="4"/>
  <c r="K394" i="4"/>
  <c r="AW512" i="4"/>
  <c r="G361" i="4"/>
  <c r="D365" i="4"/>
  <c r="AO314" i="4"/>
  <c r="AA509" i="4"/>
  <c r="Z513" i="4"/>
  <c r="AA513" i="4"/>
  <c r="AA512" i="4"/>
  <c r="AT69" i="4"/>
  <c r="L305" i="4"/>
  <c r="K309" i="4"/>
  <c r="M451" i="4"/>
  <c r="L512" i="4"/>
  <c r="M512" i="4"/>
  <c r="K239" i="4"/>
  <c r="L235" i="4"/>
  <c r="AN308" i="4"/>
  <c r="BB458" i="4"/>
  <c r="BC458" i="4"/>
  <c r="BA462" i="4"/>
  <c r="BB462" i="4"/>
  <c r="AM251" i="4"/>
  <c r="AN247" i="4"/>
  <c r="AO247" i="4"/>
  <c r="AM322" i="4"/>
  <c r="AN318" i="4"/>
  <c r="AO318" i="4"/>
  <c r="D430" i="4"/>
  <c r="E430" i="4"/>
  <c r="C442" i="4"/>
  <c r="D431" i="4"/>
  <c r="Y315" i="4"/>
  <c r="Z311" i="4"/>
  <c r="AA504" i="4"/>
  <c r="Z505" i="4"/>
  <c r="AA505" i="4"/>
  <c r="BB105" i="4"/>
  <c r="BC105" i="4"/>
  <c r="U65" i="4"/>
  <c r="R69" i="4"/>
  <c r="G68" i="4"/>
  <c r="Z105" i="4"/>
  <c r="AA105" i="4"/>
  <c r="R61" i="4"/>
  <c r="R60" i="4"/>
  <c r="S60" i="4"/>
  <c r="BC86" i="4"/>
  <c r="K93" i="4"/>
  <c r="L89" i="4"/>
  <c r="M89" i="4"/>
  <c r="G139" i="4"/>
  <c r="AF135" i="4"/>
  <c r="AF134" i="4"/>
  <c r="AG134" i="4"/>
  <c r="AA168" i="4"/>
  <c r="Z214" i="4"/>
  <c r="AA214" i="4"/>
  <c r="BB168" i="4"/>
  <c r="BC168" i="4"/>
  <c r="BA172" i="4"/>
  <c r="AN214" i="4"/>
  <c r="AO214" i="4"/>
  <c r="K99" i="4"/>
  <c r="L95" i="4"/>
  <c r="M95" i="4"/>
  <c r="G363" i="4"/>
  <c r="AA395" i="4"/>
  <c r="D513" i="4"/>
  <c r="G509" i="4"/>
  <c r="M303" i="4"/>
  <c r="AN436" i="4"/>
  <c r="AO436" i="4"/>
  <c r="M304" i="4"/>
  <c r="Z246" i="4"/>
  <c r="Y250" i="4"/>
  <c r="B433" i="4"/>
  <c r="L248" i="4"/>
  <c r="M248" i="4"/>
  <c r="K252" i="4"/>
  <c r="BH62" i="4"/>
  <c r="BH134" i="4"/>
  <c r="BI134" i="4"/>
  <c r="BH135" i="4"/>
  <c r="BA174" i="4"/>
  <c r="BB170" i="4"/>
  <c r="U67" i="4"/>
  <c r="BO8" i="4"/>
  <c r="BP7" i="4"/>
  <c r="BQ7" i="4"/>
  <c r="K16" i="4"/>
  <c r="BB140" i="4"/>
  <c r="BC140" i="4"/>
  <c r="U142" i="4"/>
  <c r="AT143" i="4"/>
  <c r="AW140" i="4"/>
  <c r="BC166" i="4"/>
  <c r="AW510" i="4"/>
  <c r="D504" i="4"/>
  <c r="E504" i="4"/>
  <c r="C516" i="4"/>
  <c r="D505" i="4"/>
  <c r="AJ291" i="4"/>
  <c r="AI287" i="4"/>
  <c r="Z207" i="4"/>
  <c r="AW362" i="4"/>
  <c r="BB290" i="4"/>
  <c r="BC290" i="4"/>
  <c r="U140" i="4"/>
  <c r="R143" i="4"/>
  <c r="BB167" i="4"/>
  <c r="BC167" i="4"/>
  <c r="BA171" i="4"/>
  <c r="AA231" i="4"/>
  <c r="AN185" i="4"/>
  <c r="AO185" i="4"/>
  <c r="AM189" i="4"/>
  <c r="AN189" i="4"/>
  <c r="AO189" i="4"/>
  <c r="K100" i="4"/>
  <c r="L96" i="4"/>
  <c r="M96" i="4"/>
  <c r="BH61" i="4"/>
  <c r="BH60" i="4"/>
  <c r="BI60" i="4"/>
  <c r="AO82" i="4"/>
  <c r="AO84" i="4"/>
  <c r="BB438" i="4"/>
  <c r="BC438" i="4"/>
  <c r="BC404" i="4"/>
  <c r="K18" i="4"/>
  <c r="AW67" i="4"/>
  <c r="M87" i="4"/>
  <c r="AN86" i="4"/>
  <c r="AO86" i="4"/>
  <c r="AM90" i="4"/>
  <c r="AI66" i="4"/>
  <c r="L11" i="4"/>
  <c r="M11" i="4"/>
  <c r="AO95" i="4"/>
  <c r="AN141" i="4"/>
  <c r="AO141" i="4"/>
  <c r="M233" i="4"/>
  <c r="AO167" i="4"/>
  <c r="L175" i="4"/>
  <c r="M175" i="4"/>
  <c r="AT513" i="4"/>
  <c r="AW509" i="4"/>
  <c r="Z317" i="4"/>
  <c r="AA317" i="4"/>
  <c r="Y321" i="4"/>
  <c r="Z436" i="4"/>
  <c r="AA436" i="4"/>
  <c r="AA378" i="4"/>
  <c r="AX439" i="4"/>
  <c r="AW436" i="4"/>
  <c r="V513" i="4"/>
  <c r="U509" i="4"/>
  <c r="K250" i="4"/>
  <c r="L246" i="4"/>
  <c r="M246" i="4"/>
  <c r="AF291" i="4"/>
  <c r="AJ439" i="4"/>
  <c r="Z216" i="4"/>
  <c r="AA216" i="4"/>
  <c r="Y243" i="4"/>
  <c r="Z239" i="4"/>
  <c r="AA239" i="4"/>
  <c r="BC394" i="4"/>
  <c r="AA246" i="4"/>
  <c r="L99" i="4"/>
  <c r="K103" i="4"/>
  <c r="AM255" i="4"/>
  <c r="AN255" i="4"/>
  <c r="AO255" i="4"/>
  <c r="AN251" i="4"/>
  <c r="M305" i="4"/>
  <c r="K318" i="4"/>
  <c r="L314" i="4"/>
  <c r="M314" i="4"/>
  <c r="BA324" i="4"/>
  <c r="BB320" i="4"/>
  <c r="BC320" i="4"/>
  <c r="L176" i="4"/>
  <c r="K180" i="4"/>
  <c r="K181" i="4"/>
  <c r="L181" i="4"/>
  <c r="M181" i="4"/>
  <c r="L177" i="4"/>
  <c r="M177" i="4"/>
  <c r="BC170" i="4"/>
  <c r="BB511" i="4"/>
  <c r="BC511" i="4"/>
  <c r="BC462" i="4"/>
  <c r="BC316" i="4"/>
  <c r="BP230" i="4"/>
  <c r="BO231" i="4"/>
  <c r="K23" i="4"/>
  <c r="L19" i="4"/>
  <c r="M19" i="4"/>
  <c r="BO306" i="4"/>
  <c r="BP305" i="4"/>
  <c r="L288" i="4"/>
  <c r="M288" i="4"/>
  <c r="AA312" i="4"/>
  <c r="BB171" i="4"/>
  <c r="BC171" i="4"/>
  <c r="BA175" i="4"/>
  <c r="BA178" i="4"/>
  <c r="BB174" i="4"/>
  <c r="BC174" i="4"/>
  <c r="BA176" i="4"/>
  <c r="BB172" i="4"/>
  <c r="BC172" i="4"/>
  <c r="Z318" i="4"/>
  <c r="Y322" i="4"/>
  <c r="Z429" i="4"/>
  <c r="BB326" i="4"/>
  <c r="BC326" i="4"/>
  <c r="BA330" i="4"/>
  <c r="L506" i="4"/>
  <c r="G516" i="4"/>
  <c r="L459" i="4"/>
  <c r="M459" i="4"/>
  <c r="Z107" i="4"/>
  <c r="AA107" i="4"/>
  <c r="M457" i="4"/>
  <c r="L511" i="4"/>
  <c r="M511" i="4"/>
  <c r="BO81" i="4"/>
  <c r="BM137" i="4"/>
  <c r="BP80" i="4"/>
  <c r="Y320" i="4"/>
  <c r="Z316" i="4"/>
  <c r="AA316" i="4"/>
  <c r="K104" i="4"/>
  <c r="L100" i="4"/>
  <c r="M100" i="4"/>
  <c r="K22" i="4"/>
  <c r="L18" i="4"/>
  <c r="Z243" i="4"/>
  <c r="AA243" i="4"/>
  <c r="Y247" i="4"/>
  <c r="AO308" i="4"/>
  <c r="AA314" i="4"/>
  <c r="BB313" i="4"/>
  <c r="BA317" i="4"/>
  <c r="AA435" i="4"/>
  <c r="M86" i="4"/>
  <c r="C368" i="4"/>
  <c r="AO158" i="4"/>
  <c r="AN284" i="4"/>
  <c r="Y319" i="4"/>
  <c r="Z315" i="4"/>
  <c r="AA315" i="4"/>
  <c r="L239" i="4"/>
  <c r="K243" i="4"/>
  <c r="L394" i="4"/>
  <c r="K398" i="4"/>
  <c r="AM166" i="4"/>
  <c r="AN162" i="4"/>
  <c r="AO162" i="4"/>
  <c r="AA236" i="4"/>
  <c r="BB512" i="4"/>
  <c r="BC512" i="4"/>
  <c r="BC454" i="4"/>
  <c r="Y100" i="4"/>
  <c r="Z96" i="4"/>
  <c r="L316" i="4"/>
  <c r="K320" i="4"/>
  <c r="Z240" i="4"/>
  <c r="Y244" i="4"/>
  <c r="BB402" i="4"/>
  <c r="BB429" i="4"/>
  <c r="BA406" i="4"/>
  <c r="BB406" i="4"/>
  <c r="BC406" i="4"/>
  <c r="AM405" i="4"/>
  <c r="AN405" i="4"/>
  <c r="AO405" i="4"/>
  <c r="AN401" i="4"/>
  <c r="AA311" i="4"/>
  <c r="L503" i="4"/>
  <c r="AA92" i="4"/>
  <c r="AM320" i="4"/>
  <c r="AN316" i="4"/>
  <c r="AO316" i="4"/>
  <c r="L210" i="4"/>
  <c r="BC398" i="4"/>
  <c r="BB435" i="4"/>
  <c r="K20" i="4"/>
  <c r="L16" i="4"/>
  <c r="L252" i="4"/>
  <c r="M252" i="4"/>
  <c r="K256" i="4"/>
  <c r="L256" i="4"/>
  <c r="M256" i="4"/>
  <c r="K33" i="4"/>
  <c r="L29" i="4"/>
  <c r="M29" i="4"/>
  <c r="L327" i="4"/>
  <c r="M327" i="4"/>
  <c r="K331" i="4"/>
  <c r="AM329" i="4"/>
  <c r="AN325" i="4"/>
  <c r="K98" i="4"/>
  <c r="L94" i="4"/>
  <c r="M94" i="4"/>
  <c r="Z321" i="4"/>
  <c r="AA321" i="4"/>
  <c r="Y325" i="4"/>
  <c r="AA208" i="4"/>
  <c r="Z209" i="4"/>
  <c r="AA209" i="4"/>
  <c r="L509" i="4"/>
  <c r="Z67" i="4"/>
  <c r="AA67" i="4"/>
  <c r="BO156" i="4"/>
  <c r="BP155" i="4"/>
  <c r="BB403" i="4"/>
  <c r="BA407" i="4"/>
  <c r="BB407" i="4"/>
  <c r="BC407" i="4"/>
  <c r="BA246" i="4"/>
  <c r="BB242" i="4"/>
  <c r="AA213" i="4"/>
  <c r="Z217" i="4"/>
  <c r="AA217" i="4"/>
  <c r="BB139" i="4"/>
  <c r="BC309" i="4"/>
  <c r="AM94" i="4"/>
  <c r="AN90" i="4"/>
  <c r="AO90" i="4"/>
  <c r="BP8" i="4"/>
  <c r="BO9" i="4"/>
  <c r="L93" i="4"/>
  <c r="M93" i="4"/>
  <c r="K97" i="4"/>
  <c r="AM326" i="4"/>
  <c r="AN322" i="4"/>
  <c r="AN459" i="4"/>
  <c r="AN506" i="4"/>
  <c r="BB460" i="4"/>
  <c r="BB506" i="4"/>
  <c r="AN288" i="4"/>
  <c r="AO288" i="4"/>
  <c r="Z437" i="4"/>
  <c r="AA437" i="4"/>
  <c r="M235" i="4"/>
  <c r="K254" i="4"/>
  <c r="L254" i="4"/>
  <c r="M254" i="4"/>
  <c r="L250" i="4"/>
  <c r="Z250" i="4"/>
  <c r="Y254" i="4"/>
  <c r="Z254" i="4"/>
  <c r="AA254" i="4"/>
  <c r="BB133" i="4"/>
  <c r="BC134" i="4"/>
  <c r="K313" i="4"/>
  <c r="L309" i="4"/>
  <c r="M309" i="4"/>
  <c r="Z139" i="4"/>
  <c r="AN108" i="4"/>
  <c r="AO250" i="4"/>
  <c r="AN287" i="4"/>
  <c r="L215" i="4"/>
  <c r="M215" i="4"/>
  <c r="BC430" i="4"/>
  <c r="BB431" i="4"/>
  <c r="BC431" i="4"/>
  <c r="M176" i="4"/>
  <c r="L213" i="4"/>
  <c r="K247" i="4"/>
  <c r="L243" i="4"/>
  <c r="BP9" i="4"/>
  <c r="BQ9" i="4"/>
  <c r="BO10" i="4"/>
  <c r="BC403" i="4"/>
  <c r="BB437" i="4"/>
  <c r="BC437" i="4"/>
  <c r="L331" i="4"/>
  <c r="M331" i="4"/>
  <c r="K335" i="4"/>
  <c r="L335" i="4"/>
  <c r="M335" i="4"/>
  <c r="M316" i="4"/>
  <c r="Z320" i="4"/>
  <c r="Y324" i="4"/>
  <c r="BA334" i="4"/>
  <c r="BB330" i="4"/>
  <c r="BC330" i="4"/>
  <c r="BQ230" i="4"/>
  <c r="BB141" i="4"/>
  <c r="BC141" i="4"/>
  <c r="Z247" i="4"/>
  <c r="AA247" i="4"/>
  <c r="Y251" i="4"/>
  <c r="L313" i="4"/>
  <c r="K317" i="4"/>
  <c r="BQ8" i="4"/>
  <c r="BQ155" i="4"/>
  <c r="AA96" i="4"/>
  <c r="BA182" i="4"/>
  <c r="BB178" i="4"/>
  <c r="BC178" i="4"/>
  <c r="L398" i="4"/>
  <c r="K402" i="4"/>
  <c r="L432" i="4"/>
  <c r="G442" i="4"/>
  <c r="BO157" i="4"/>
  <c r="BP156" i="4"/>
  <c r="BQ156" i="4"/>
  <c r="Y104" i="4"/>
  <c r="Z100" i="4"/>
  <c r="BQ80" i="4"/>
  <c r="AA430" i="4"/>
  <c r="Z431" i="4"/>
  <c r="AA431" i="4"/>
  <c r="BA179" i="4"/>
  <c r="BB210" i="4"/>
  <c r="BB175" i="4"/>
  <c r="AM98" i="4"/>
  <c r="AN94" i="4"/>
  <c r="AO94" i="4"/>
  <c r="L33" i="4"/>
  <c r="M33" i="4"/>
  <c r="K37" i="4"/>
  <c r="AN435" i="4"/>
  <c r="AO401" i="4"/>
  <c r="AN429" i="4"/>
  <c r="AM170" i="4"/>
  <c r="AN166" i="4"/>
  <c r="K184" i="4"/>
  <c r="L180" i="4"/>
  <c r="AO251" i="4"/>
  <c r="AN281" i="4"/>
  <c r="AN289" i="4"/>
  <c r="AO289" i="4"/>
  <c r="AO287" i="4"/>
  <c r="L513" i="4"/>
  <c r="M513" i="4"/>
  <c r="M509" i="4"/>
  <c r="M99" i="4"/>
  <c r="AO322" i="4"/>
  <c r="K102" i="4"/>
  <c r="L98" i="4"/>
  <c r="L20" i="4"/>
  <c r="K24" i="4"/>
  <c r="M504" i="4"/>
  <c r="E516" i="4"/>
  <c r="F517" i="4"/>
  <c r="Z244" i="4"/>
  <c r="Y248" i="4"/>
  <c r="M239" i="4"/>
  <c r="L290" i="4"/>
  <c r="M290" i="4"/>
  <c r="M18" i="4"/>
  <c r="BQ305" i="4"/>
  <c r="BB324" i="4"/>
  <c r="BA328" i="4"/>
  <c r="Z288" i="4"/>
  <c r="AA288" i="4"/>
  <c r="BC460" i="4"/>
  <c r="BB510" i="4"/>
  <c r="Y326" i="4"/>
  <c r="Z322" i="4"/>
  <c r="AA322" i="4"/>
  <c r="AA250" i="4"/>
  <c r="Z287" i="4"/>
  <c r="AO108" i="4"/>
  <c r="AN142" i="4"/>
  <c r="AO142" i="4"/>
  <c r="AM330" i="4"/>
  <c r="AN326" i="4"/>
  <c r="AO326" i="4"/>
  <c r="AO325" i="4"/>
  <c r="AA240" i="4"/>
  <c r="Z439" i="4"/>
  <c r="AA439" i="4"/>
  <c r="K26" i="4"/>
  <c r="L22" i="4"/>
  <c r="BO307" i="4"/>
  <c r="BP306" i="4"/>
  <c r="BQ306" i="4"/>
  <c r="M394" i="4"/>
  <c r="BB503" i="4"/>
  <c r="BC242" i="4"/>
  <c r="AM333" i="4"/>
  <c r="AN329" i="4"/>
  <c r="AO329" i="4"/>
  <c r="Y323" i="4"/>
  <c r="Z319" i="4"/>
  <c r="BA321" i="4"/>
  <c r="BB317" i="4"/>
  <c r="L505" i="4"/>
  <c r="M505" i="4"/>
  <c r="BO82" i="4"/>
  <c r="BP81" i="4"/>
  <c r="BQ81" i="4"/>
  <c r="AO459" i="4"/>
  <c r="AN503" i="4"/>
  <c r="AN509" i="4"/>
  <c r="AA318" i="4"/>
  <c r="K101" i="4"/>
  <c r="L97" i="4"/>
  <c r="BB246" i="4"/>
  <c r="BC246" i="4"/>
  <c r="BA250" i="4"/>
  <c r="Y329" i="4"/>
  <c r="Z325" i="4"/>
  <c r="BB62" i="4"/>
  <c r="BB135" i="4"/>
  <c r="BC135" i="4"/>
  <c r="BB68" i="4"/>
  <c r="BC68" i="4"/>
  <c r="BC313" i="4"/>
  <c r="K108" i="4"/>
  <c r="L104" i="4"/>
  <c r="L23" i="4"/>
  <c r="M23" i="4"/>
  <c r="K27" i="4"/>
  <c r="K322" i="4"/>
  <c r="L318" i="4"/>
  <c r="M318" i="4"/>
  <c r="AN320" i="4"/>
  <c r="AO320" i="4"/>
  <c r="AM324" i="4"/>
  <c r="K107" i="4"/>
  <c r="L103" i="4"/>
  <c r="M103" i="4"/>
  <c r="BC139" i="4"/>
  <c r="M16" i="4"/>
  <c r="BC402" i="4"/>
  <c r="BB436" i="4"/>
  <c r="BC436" i="4"/>
  <c r="AA139" i="4"/>
  <c r="M250" i="4"/>
  <c r="L287" i="4"/>
  <c r="BC435" i="4"/>
  <c r="K324" i="4"/>
  <c r="L320" i="4"/>
  <c r="M320" i="4"/>
  <c r="BB176" i="4"/>
  <c r="BA180" i="4"/>
  <c r="BP231" i="4"/>
  <c r="BQ231" i="4"/>
  <c r="BO232" i="4"/>
  <c r="BP232" i="4"/>
  <c r="BQ232" i="4"/>
  <c r="Z59" i="4"/>
  <c r="AA60" i="4"/>
  <c r="BB143" i="4"/>
  <c r="BC143" i="4"/>
  <c r="Z61" i="4"/>
  <c r="AA61" i="4"/>
  <c r="BC510" i="4"/>
  <c r="BB513" i="4"/>
  <c r="BC513" i="4"/>
  <c r="L37" i="4"/>
  <c r="K41" i="4"/>
  <c r="L41" i="4"/>
  <c r="M41" i="4"/>
  <c r="AA100" i="4"/>
  <c r="M104" i="4"/>
  <c r="Y333" i="4"/>
  <c r="Z329" i="4"/>
  <c r="AA329" i="4"/>
  <c r="BP82" i="4"/>
  <c r="BO83" i="4"/>
  <c r="L108" i="4"/>
  <c r="M108" i="4"/>
  <c r="BA254" i="4"/>
  <c r="BB254" i="4"/>
  <c r="BB250" i="4"/>
  <c r="BB281" i="4"/>
  <c r="BB284" i="4"/>
  <c r="AO282" i="4"/>
  <c r="AN283" i="4"/>
  <c r="AO283" i="4"/>
  <c r="Z104" i="4"/>
  <c r="AA104" i="4"/>
  <c r="Y108" i="4"/>
  <c r="Z136" i="4"/>
  <c r="Z141" i="4"/>
  <c r="BL283" i="4"/>
  <c r="BP10" i="4"/>
  <c r="BO11" i="4"/>
  <c r="BA184" i="4"/>
  <c r="BB180" i="4"/>
  <c r="BC180" i="4"/>
  <c r="BB364" i="4"/>
  <c r="BC364" i="4"/>
  <c r="AN333" i="4"/>
  <c r="AM337" i="4"/>
  <c r="AN337" i="4"/>
  <c r="AO337" i="4"/>
  <c r="BC176" i="4"/>
  <c r="AM328" i="4"/>
  <c r="AN324" i="4"/>
  <c r="AN358" i="4"/>
  <c r="M97" i="4"/>
  <c r="Y252" i="4"/>
  <c r="Z248" i="4"/>
  <c r="AA248" i="4"/>
  <c r="M180" i="4"/>
  <c r="AN98" i="4"/>
  <c r="AM102" i="4"/>
  <c r="BO158" i="4"/>
  <c r="BP157" i="4"/>
  <c r="K105" i="4"/>
  <c r="L101" i="4"/>
  <c r="L136" i="4"/>
  <c r="BC317" i="4"/>
  <c r="BO308" i="4"/>
  <c r="BP308" i="4"/>
  <c r="BQ308" i="4"/>
  <c r="BP307" i="4"/>
  <c r="AA244" i="4"/>
  <c r="Z65" i="4"/>
  <c r="K251" i="4"/>
  <c r="L247" i="4"/>
  <c r="M247" i="4"/>
  <c r="AA319" i="4"/>
  <c r="BA183" i="4"/>
  <c r="BB183" i="4"/>
  <c r="BC183" i="4"/>
  <c r="BB179" i="4"/>
  <c r="BC179" i="4"/>
  <c r="Y328" i="4"/>
  <c r="Z324" i="4"/>
  <c r="AA324" i="4"/>
  <c r="M213" i="4"/>
  <c r="Z358" i="4"/>
  <c r="Y327" i="4"/>
  <c r="Z323" i="4"/>
  <c r="AA323" i="4"/>
  <c r="BC504" i="4"/>
  <c r="BB505" i="4"/>
  <c r="BC505" i="4"/>
  <c r="M22" i="4"/>
  <c r="K28" i="4"/>
  <c r="L24" i="4"/>
  <c r="AO166" i="4"/>
  <c r="AN215" i="4"/>
  <c r="L402" i="4"/>
  <c r="K406" i="4"/>
  <c r="L406" i="4"/>
  <c r="M406" i="4"/>
  <c r="AA320" i="4"/>
  <c r="M20" i="4"/>
  <c r="AM174" i="4"/>
  <c r="AN170" i="4"/>
  <c r="M398" i="4"/>
  <c r="L435" i="4"/>
  <c r="L317" i="4"/>
  <c r="K321" i="4"/>
  <c r="L429" i="4"/>
  <c r="BC175" i="4"/>
  <c r="Z66" i="4"/>
  <c r="AA66" i="4"/>
  <c r="BC324" i="4"/>
  <c r="BB361" i="4"/>
  <c r="AO504" i="4"/>
  <c r="AN505" i="4"/>
  <c r="AO505" i="4"/>
  <c r="M98" i="4"/>
  <c r="AN431" i="4"/>
  <c r="AO431" i="4"/>
  <c r="AO430" i="4"/>
  <c r="M313" i="4"/>
  <c r="K188" i="4"/>
  <c r="L188" i="4"/>
  <c r="M188" i="4"/>
  <c r="L184" i="4"/>
  <c r="L214" i="4"/>
  <c r="K328" i="4"/>
  <c r="L324" i="4"/>
  <c r="L26" i="4"/>
  <c r="M26" i="4"/>
  <c r="K30" i="4"/>
  <c r="K31" i="4"/>
  <c r="L27" i="4"/>
  <c r="M27" i="4"/>
  <c r="L102" i="4"/>
  <c r="M102" i="4"/>
  <c r="K106" i="4"/>
  <c r="Y255" i="4"/>
  <c r="Z255" i="4"/>
  <c r="AA255" i="4"/>
  <c r="Z251" i="4"/>
  <c r="Z284" i="4"/>
  <c r="BA332" i="4"/>
  <c r="BB328" i="4"/>
  <c r="M243" i="4"/>
  <c r="BB321" i="4"/>
  <c r="BC321" i="4"/>
  <c r="BA325" i="4"/>
  <c r="AM334" i="4"/>
  <c r="AN330" i="4"/>
  <c r="AO330" i="4"/>
  <c r="BB334" i="4"/>
  <c r="BC334" i="4"/>
  <c r="BA338" i="4"/>
  <c r="BB338" i="4"/>
  <c r="BC338" i="4"/>
  <c r="BB439" i="4"/>
  <c r="BC439" i="4"/>
  <c r="AO509" i="4"/>
  <c r="AN513" i="4"/>
  <c r="AO513" i="4"/>
  <c r="AA287" i="4"/>
  <c r="L322" i="4"/>
  <c r="M322" i="4"/>
  <c r="K326" i="4"/>
  <c r="BB66" i="4"/>
  <c r="BC66" i="4"/>
  <c r="L107" i="4"/>
  <c r="Z68" i="4"/>
  <c r="AA68" i="4"/>
  <c r="M287" i="4"/>
  <c r="AA325" i="4"/>
  <c r="Y330" i="4"/>
  <c r="Z326" i="4"/>
  <c r="AN291" i="4"/>
  <c r="AO291" i="4"/>
  <c r="AN439" i="4"/>
  <c r="AO439" i="4"/>
  <c r="AO435" i="4"/>
  <c r="BA186" i="4"/>
  <c r="BB182" i="4"/>
  <c r="L62" i="4"/>
  <c r="BB67" i="4"/>
  <c r="BC67" i="4"/>
  <c r="M214" i="4"/>
  <c r="L217" i="4"/>
  <c r="M217" i="4"/>
  <c r="BB283" i="4"/>
  <c r="BC283" i="4"/>
  <c r="BC282" i="4"/>
  <c r="Z330" i="4"/>
  <c r="AA330" i="4"/>
  <c r="Y334" i="4"/>
  <c r="L31" i="4"/>
  <c r="M31" i="4"/>
  <c r="K35" i="4"/>
  <c r="K330" i="4"/>
  <c r="L326" i="4"/>
  <c r="BB325" i="4"/>
  <c r="BA329" i="4"/>
  <c r="BB358" i="4"/>
  <c r="Z252" i="4"/>
  <c r="AA252" i="4"/>
  <c r="Y256" i="4"/>
  <c r="Z256" i="4"/>
  <c r="AA256" i="4"/>
  <c r="BA188" i="4"/>
  <c r="BB188" i="4"/>
  <c r="BC188" i="4"/>
  <c r="BB184" i="4"/>
  <c r="K34" i="4"/>
  <c r="L30" i="4"/>
  <c r="M30" i="4"/>
  <c r="Y331" i="4"/>
  <c r="Z327" i="4"/>
  <c r="BQ10" i="4"/>
  <c r="BM283" i="4"/>
  <c r="BL284" i="4"/>
  <c r="BM284" i="4"/>
  <c r="BB186" i="4"/>
  <c r="BC186" i="4"/>
  <c r="BA190" i="4"/>
  <c r="BB190" i="4"/>
  <c r="BC190" i="4"/>
  <c r="BB332" i="4"/>
  <c r="BC332" i="4"/>
  <c r="BA336" i="4"/>
  <c r="BB336" i="4"/>
  <c r="BC336" i="4"/>
  <c r="M317" i="4"/>
  <c r="L251" i="4"/>
  <c r="L281" i="4"/>
  <c r="K255" i="4"/>
  <c r="L255" i="4"/>
  <c r="M255" i="4"/>
  <c r="L284" i="4"/>
  <c r="BQ157" i="4"/>
  <c r="AO324" i="4"/>
  <c r="AN361" i="4"/>
  <c r="AA141" i="4"/>
  <c r="M37" i="4"/>
  <c r="L67" i="4"/>
  <c r="M67" i="4"/>
  <c r="BP11" i="4"/>
  <c r="BQ11" i="4"/>
  <c r="BO12" i="4"/>
  <c r="BP12" i="4"/>
  <c r="BQ12" i="4"/>
  <c r="BC254" i="4"/>
  <c r="BB288" i="4"/>
  <c r="BC288" i="4"/>
  <c r="L321" i="4"/>
  <c r="M321" i="4"/>
  <c r="K325" i="4"/>
  <c r="M435" i="4"/>
  <c r="AA65" i="4"/>
  <c r="Z69" i="4"/>
  <c r="AA69" i="4"/>
  <c r="AM332" i="4"/>
  <c r="AN328" i="4"/>
  <c r="BC250" i="4"/>
  <c r="BB287" i="4"/>
  <c r="AO215" i="4"/>
  <c r="BO159" i="4"/>
  <c r="BP158" i="4"/>
  <c r="BQ158" i="4"/>
  <c r="AA251" i="4"/>
  <c r="Z289" i="4"/>
  <c r="AM106" i="4"/>
  <c r="AN136" i="4"/>
  <c r="AN102" i="4"/>
  <c r="BB213" i="4"/>
  <c r="BO84" i="4"/>
  <c r="BP83" i="4"/>
  <c r="BQ83" i="4"/>
  <c r="AN334" i="4"/>
  <c r="AM338" i="4"/>
  <c r="AN338" i="4"/>
  <c r="AO338" i="4"/>
  <c r="M101" i="4"/>
  <c r="BC182" i="4"/>
  <c r="BC328" i="4"/>
  <c r="BB362" i="4"/>
  <c r="BC362" i="4"/>
  <c r="M402" i="4"/>
  <c r="L436" i="4"/>
  <c r="M436" i="4"/>
  <c r="L105" i="4"/>
  <c r="M107" i="4"/>
  <c r="BC361" i="4"/>
  <c r="M24" i="4"/>
  <c r="Y332" i="4"/>
  <c r="Z328" i="4"/>
  <c r="AA328" i="4"/>
  <c r="Z290" i="4"/>
  <c r="AA290" i="4"/>
  <c r="AO98" i="4"/>
  <c r="Z108" i="4"/>
  <c r="BQ82" i="4"/>
  <c r="M324" i="4"/>
  <c r="L361" i="4"/>
  <c r="AO170" i="4"/>
  <c r="L106" i="4"/>
  <c r="M106" i="4"/>
  <c r="K332" i="4"/>
  <c r="L328" i="4"/>
  <c r="AM178" i="4"/>
  <c r="AN174" i="4"/>
  <c r="AO174" i="4"/>
  <c r="K32" i="4"/>
  <c r="L28" i="4"/>
  <c r="E442" i="4"/>
  <c r="F443" i="4"/>
  <c r="M430" i="4"/>
  <c r="L431" i="4"/>
  <c r="M431" i="4"/>
  <c r="AA326" i="4"/>
  <c r="M184" i="4"/>
  <c r="L207" i="4"/>
  <c r="BQ307" i="4"/>
  <c r="BL357" i="4"/>
  <c r="AO333" i="4"/>
  <c r="AN363" i="4"/>
  <c r="AO363" i="4"/>
  <c r="Z333" i="4"/>
  <c r="Y337" i="4"/>
  <c r="Z337" i="4"/>
  <c r="AA337" i="4"/>
  <c r="BB65" i="4"/>
  <c r="BC65" i="4"/>
  <c r="BB59" i="4"/>
  <c r="BC60" i="4"/>
  <c r="M282" i="4"/>
  <c r="L283" i="4"/>
  <c r="M283" i="4"/>
  <c r="AM336" i="4"/>
  <c r="AN336" i="4"/>
  <c r="AO336" i="4"/>
  <c r="AN332" i="4"/>
  <c r="AO332" i="4"/>
  <c r="AA333" i="4"/>
  <c r="Z363" i="4"/>
  <c r="AA363" i="4"/>
  <c r="BB61" i="4"/>
  <c r="BC61" i="4"/>
  <c r="AA108" i="4"/>
  <c r="AO334" i="4"/>
  <c r="AN364" i="4"/>
  <c r="AO364" i="4"/>
  <c r="K38" i="4"/>
  <c r="L34" i="4"/>
  <c r="K334" i="4"/>
  <c r="L330" i="4"/>
  <c r="M330" i="4"/>
  <c r="AO328" i="4"/>
  <c r="Z332" i="4"/>
  <c r="AA332" i="4"/>
  <c r="Y336" i="4"/>
  <c r="Z336" i="4"/>
  <c r="AA336" i="4"/>
  <c r="M105" i="4"/>
  <c r="BC184" i="4"/>
  <c r="BB214" i="4"/>
  <c r="BC214" i="4"/>
  <c r="K39" i="4"/>
  <c r="L39" i="4"/>
  <c r="M39" i="4"/>
  <c r="L35" i="4"/>
  <c r="M35" i="4"/>
  <c r="BP84" i="4"/>
  <c r="BQ84" i="4"/>
  <c r="Z281" i="4"/>
  <c r="AN106" i="4"/>
  <c r="BM357" i="4"/>
  <c r="BL358" i="4"/>
  <c r="BM358" i="4"/>
  <c r="BB217" i="4"/>
  <c r="BC217" i="4"/>
  <c r="BC213" i="4"/>
  <c r="BB291" i="4"/>
  <c r="BC291" i="4"/>
  <c r="BC287" i="4"/>
  <c r="Z334" i="4"/>
  <c r="AA334" i="4"/>
  <c r="Y338" i="4"/>
  <c r="Z338" i="4"/>
  <c r="AO102" i="4"/>
  <c r="AN139" i="4"/>
  <c r="M28" i="4"/>
  <c r="M361" i="4"/>
  <c r="K36" i="4"/>
  <c r="L32" i="4"/>
  <c r="M208" i="4"/>
  <c r="L209" i="4"/>
  <c r="M209" i="4"/>
  <c r="BB216" i="4"/>
  <c r="BC216" i="4"/>
  <c r="AA289" i="4"/>
  <c r="Z291" i="4"/>
  <c r="AA291" i="4"/>
  <c r="L142" i="4"/>
  <c r="M142" i="4"/>
  <c r="AA327" i="4"/>
  <c r="AN178" i="4"/>
  <c r="AM182" i="4"/>
  <c r="AN210" i="4"/>
  <c r="AN62" i="4"/>
  <c r="Z331" i="4"/>
  <c r="AA331" i="4"/>
  <c r="Y335" i="4"/>
  <c r="Z335" i="4"/>
  <c r="AA335" i="4"/>
  <c r="BB207" i="4"/>
  <c r="M328" i="4"/>
  <c r="L439" i="4"/>
  <c r="M439" i="4"/>
  <c r="BA333" i="4"/>
  <c r="BB329" i="4"/>
  <c r="BC329" i="4"/>
  <c r="M251" i="4"/>
  <c r="L289" i="4"/>
  <c r="K336" i="4"/>
  <c r="L336" i="4"/>
  <c r="M336" i="4"/>
  <c r="L332" i="4"/>
  <c r="M332" i="4"/>
  <c r="BC325" i="4"/>
  <c r="BL61" i="4"/>
  <c r="L141" i="4"/>
  <c r="M141" i="4"/>
  <c r="BO160" i="4"/>
  <c r="BP160" i="4"/>
  <c r="BQ160" i="4"/>
  <c r="BP159" i="4"/>
  <c r="K329" i="4"/>
  <c r="L325" i="4"/>
  <c r="L358" i="4"/>
  <c r="G368" i="4"/>
  <c r="AO361" i="4"/>
  <c r="M326" i="4"/>
  <c r="L65" i="4"/>
  <c r="M65" i="4"/>
  <c r="BB69" i="4"/>
  <c r="BC69" i="4"/>
  <c r="AN68" i="4"/>
  <c r="AO68" i="4"/>
  <c r="AO106" i="4"/>
  <c r="AA282" i="4"/>
  <c r="Z283" i="4"/>
  <c r="AA283" i="4"/>
  <c r="L362" i="4"/>
  <c r="Z361" i="4"/>
  <c r="K40" i="4"/>
  <c r="L40" i="4"/>
  <c r="M40" i="4"/>
  <c r="L36" i="4"/>
  <c r="M36" i="4"/>
  <c r="Z133" i="4"/>
  <c r="M32" i="4"/>
  <c r="M325" i="4"/>
  <c r="M289" i="4"/>
  <c r="L291" i="4"/>
  <c r="M291" i="4"/>
  <c r="AO139" i="4"/>
  <c r="AA338" i="4"/>
  <c r="Z355" i="4"/>
  <c r="L329" i="4"/>
  <c r="M329" i="4"/>
  <c r="K333" i="4"/>
  <c r="Z364" i="4"/>
  <c r="AA364" i="4"/>
  <c r="AN362" i="4"/>
  <c r="BQ159" i="4"/>
  <c r="BL209" i="4"/>
  <c r="BC208" i="4"/>
  <c r="BB209" i="4"/>
  <c r="BC209" i="4"/>
  <c r="AN355" i="4"/>
  <c r="L140" i="4"/>
  <c r="M140" i="4"/>
  <c r="BA337" i="4"/>
  <c r="BB337" i="4"/>
  <c r="BB333" i="4"/>
  <c r="BC333" i="4"/>
  <c r="AN65" i="4"/>
  <c r="M34" i="4"/>
  <c r="L334" i="4"/>
  <c r="M334" i="4"/>
  <c r="K338" i="4"/>
  <c r="L338" i="4"/>
  <c r="M338" i="4"/>
  <c r="L364" i="4"/>
  <c r="M364" i="4"/>
  <c r="L139" i="4"/>
  <c r="K42" i="4"/>
  <c r="L42" i="4"/>
  <c r="L38" i="4"/>
  <c r="M38" i="4"/>
  <c r="Z362" i="4"/>
  <c r="AA362" i="4"/>
  <c r="BM61" i="4"/>
  <c r="BL62" i="4"/>
  <c r="BM62" i="4"/>
  <c r="L133" i="4"/>
  <c r="AM186" i="4"/>
  <c r="AN182" i="4"/>
  <c r="AO182" i="4"/>
  <c r="AO178" i="4"/>
  <c r="Z142" i="4"/>
  <c r="D294" i="4"/>
  <c r="E295" i="4"/>
  <c r="L66" i="4"/>
  <c r="M66" i="4"/>
  <c r="AN67" i="4"/>
  <c r="AO67" i="4"/>
  <c r="AN133" i="4"/>
  <c r="D146" i="4"/>
  <c r="E147" i="4"/>
  <c r="AA356" i="4"/>
  <c r="Z357" i="4"/>
  <c r="AA357" i="4"/>
  <c r="BM209" i="4"/>
  <c r="BL210" i="4"/>
  <c r="BM210" i="4"/>
  <c r="M362" i="4"/>
  <c r="L68" i="4"/>
  <c r="M68" i="4"/>
  <c r="BL135" i="4"/>
  <c r="AO362" i="4"/>
  <c r="AN365" i="4"/>
  <c r="AO365" i="4"/>
  <c r="M42" i="4"/>
  <c r="L59" i="4"/>
  <c r="BC337" i="4"/>
  <c r="BB355" i="4"/>
  <c r="AO356" i="4"/>
  <c r="AN357" i="4"/>
  <c r="AO357" i="4"/>
  <c r="M134" i="4"/>
  <c r="L135" i="4"/>
  <c r="M135" i="4"/>
  <c r="AA361" i="4"/>
  <c r="Z365" i="4"/>
  <c r="AA365" i="4"/>
  <c r="L355" i="4"/>
  <c r="AN140" i="4"/>
  <c r="L333" i="4"/>
  <c r="M333" i="4"/>
  <c r="K337" i="4"/>
  <c r="L337" i="4"/>
  <c r="M337" i="4"/>
  <c r="M139" i="4"/>
  <c r="L143" i="4"/>
  <c r="M143" i="4"/>
  <c r="BB363" i="4"/>
  <c r="AA134" i="4"/>
  <c r="Z135" i="4"/>
  <c r="AA135" i="4"/>
  <c r="AM190" i="4"/>
  <c r="AN190" i="4"/>
  <c r="AN186" i="4"/>
  <c r="AA142" i="4"/>
  <c r="Z143" i="4"/>
  <c r="AA143" i="4"/>
  <c r="AO65" i="4"/>
  <c r="AN66" i="4"/>
  <c r="BC363" i="4"/>
  <c r="BB365" i="4"/>
  <c r="BC365" i="4"/>
  <c r="BC356" i="4"/>
  <c r="BB357" i="4"/>
  <c r="BC357" i="4"/>
  <c r="L69" i="4"/>
  <c r="M69" i="4"/>
  <c r="AO140" i="4"/>
  <c r="AN143" i="4"/>
  <c r="AO143" i="4"/>
  <c r="M60" i="4"/>
  <c r="L61" i="4"/>
  <c r="M61" i="4"/>
  <c r="AO186" i="4"/>
  <c r="AN216" i="4"/>
  <c r="M356" i="4"/>
  <c r="E368" i="4"/>
  <c r="F369" i="4"/>
  <c r="L357" i="4"/>
  <c r="M357" i="4"/>
  <c r="AO190" i="4"/>
  <c r="AN207" i="4"/>
  <c r="L363" i="4"/>
  <c r="AO134" i="4"/>
  <c r="AN135" i="4"/>
  <c r="AO135" i="4"/>
  <c r="AN59" i="4"/>
  <c r="BM135" i="4"/>
  <c r="BL136" i="4"/>
  <c r="BM136" i="4"/>
  <c r="AO66" i="4"/>
  <c r="AN69" i="4"/>
  <c r="AO69" i="4"/>
  <c r="AO60" i="4"/>
  <c r="AN61" i="4"/>
  <c r="AO61" i="4"/>
  <c r="AO216" i="4"/>
  <c r="AN217" i="4"/>
  <c r="AO217" i="4"/>
  <c r="D72" i="4"/>
  <c r="E73" i="4"/>
  <c r="M363" i="4"/>
  <c r="L365" i="4"/>
  <c r="M365" i="4"/>
  <c r="AO208" i="4"/>
  <c r="AN209" i="4"/>
  <c r="AO209" i="4"/>
  <c r="D220" i="4"/>
  <c r="E221" i="4"/>
</calcChain>
</file>

<file path=xl/sharedStrings.xml><?xml version="1.0" encoding="utf-8"?>
<sst xmlns="http://schemas.openxmlformats.org/spreadsheetml/2006/main" count="1433" uniqueCount="279">
  <si>
    <t>BUZZ①</t>
    <phoneticPr fontId="9"/>
  </si>
  <si>
    <t>BUZZ②</t>
    <phoneticPr fontId="9"/>
  </si>
  <si>
    <t>日付</t>
  </si>
  <si>
    <t>合計</t>
    <rPh sb="0" eb="2">
      <t>ゴウケイ</t>
    </rPh>
    <phoneticPr fontId="9"/>
  </si>
  <si>
    <t>100円</t>
  </si>
  <si>
    <t>差</t>
  </si>
  <si>
    <t>プライズ</t>
  </si>
  <si>
    <t>投入残</t>
  </si>
  <si>
    <t>払出</t>
  </si>
  <si>
    <t>補充</t>
  </si>
  <si>
    <t>景品</t>
  </si>
  <si>
    <t>単価</t>
  </si>
  <si>
    <t>出率</t>
  </si>
  <si>
    <t>設定</t>
  </si>
  <si>
    <t>ジャグラーサウンドボタン</t>
  </si>
  <si>
    <t>電ブル</t>
  </si>
  <si>
    <t>サンリオファン</t>
  </si>
  <si>
    <t>ＡＩモンスターラバー</t>
  </si>
  <si>
    <t>AIマスコット</t>
  </si>
  <si>
    <t>集金</t>
  </si>
  <si>
    <t>モンチッチマスコット</t>
  </si>
  <si>
    <t>サンリオフェイスポーチ</t>
  </si>
  <si>
    <t>合計</t>
  </si>
  <si>
    <t>月売予想</t>
    <rPh sb="0" eb="2">
      <t>ツキウ</t>
    </rPh>
    <rPh sb="2" eb="4">
      <t>ヨソウ</t>
    </rPh>
    <phoneticPr fontId="9"/>
  </si>
  <si>
    <t>トータル原価</t>
  </si>
  <si>
    <t>ave</t>
  </si>
  <si>
    <t>トータル出率</t>
  </si>
  <si>
    <t>取得</t>
  </si>
  <si>
    <t>利益</t>
  </si>
  <si>
    <t>前月</t>
  </si>
  <si>
    <t>月末在庫金額</t>
  </si>
  <si>
    <t>ブース計</t>
  </si>
  <si>
    <t>払出合計</t>
  </si>
  <si>
    <t>月間予想</t>
    <rPh sb="0" eb="2">
      <t>ゲッカン</t>
    </rPh>
    <rPh sb="2" eb="4">
      <t>ヨソウ</t>
    </rPh>
    <phoneticPr fontId="9"/>
  </si>
  <si>
    <t>月間原価</t>
    <rPh sb="0" eb="2">
      <t>ゲッカン</t>
    </rPh>
    <rPh sb="2" eb="4">
      <t>ゲンカ</t>
    </rPh>
    <phoneticPr fontId="9"/>
  </si>
  <si>
    <t>月末棚卸</t>
    <rPh sb="0" eb="2">
      <t>ゲツマツ</t>
    </rPh>
    <rPh sb="2" eb="4">
      <t>タナオロシ</t>
    </rPh>
    <phoneticPr fontId="9"/>
  </si>
  <si>
    <t>原価率</t>
    <rPh sb="0" eb="3">
      <t>ゲンカリツ</t>
    </rPh>
    <phoneticPr fontId="9"/>
  </si>
  <si>
    <t>電ブルキュート</t>
  </si>
  <si>
    <t>サンリオスマートキーケース</t>
  </si>
  <si>
    <t>NICI</t>
  </si>
  <si>
    <t>デジタルミニカメラ</t>
  </si>
  <si>
    <t>サンリオファン</t>
    <phoneticPr fontId="9"/>
  </si>
  <si>
    <t>ジョージファン</t>
  </si>
  <si>
    <t>時津</t>
    <rPh sb="0" eb="2">
      <t>トギツ</t>
    </rPh>
    <phoneticPr fontId="9"/>
  </si>
  <si>
    <r>
      <t>BUZZ</t>
    </r>
    <r>
      <rPr>
        <sz val="11"/>
        <color theme="1"/>
        <rFont val="ＭＳ Ｐゴシック"/>
        <family val="2"/>
        <charset val="128"/>
      </rPr>
      <t>ミニ</t>
    </r>
    <phoneticPr fontId="9"/>
  </si>
  <si>
    <t>払出額</t>
  </si>
  <si>
    <t>原価率</t>
  </si>
  <si>
    <t>キティフェイスポーチ</t>
  </si>
  <si>
    <t>AIラバー</t>
  </si>
  <si>
    <t>サンリオトイカメラ</t>
  </si>
  <si>
    <t>原価</t>
  </si>
  <si>
    <t>AIラバー</t>
    <phoneticPr fontId="9"/>
  </si>
  <si>
    <t>AIマスコット</t>
    <phoneticPr fontId="9"/>
  </si>
  <si>
    <t>浜の町</t>
    <rPh sb="0" eb="1">
      <t>ハマ</t>
    </rPh>
    <rPh sb="2" eb="3">
      <t>マチ</t>
    </rPh>
    <phoneticPr fontId="9"/>
  </si>
  <si>
    <t>BUZZ③</t>
    <phoneticPr fontId="9"/>
  </si>
  <si>
    <t>BUZZ④</t>
    <phoneticPr fontId="9"/>
  </si>
  <si>
    <t>香水coach</t>
  </si>
  <si>
    <t>スティッチキーケース</t>
  </si>
  <si>
    <t>サンリオミニリュックチャーム付</t>
  </si>
  <si>
    <t>ジャグラーサウンドフラッシュ</t>
  </si>
  <si>
    <t>クーリッシュイヤホン</t>
  </si>
  <si>
    <t>サンリオギャルキーケース</t>
  </si>
  <si>
    <t>サンリオヘアパッチンピン</t>
  </si>
  <si>
    <t>14.2.6.14</t>
  </si>
  <si>
    <t>ピクミンマスコット</t>
  </si>
  <si>
    <t>サンリオKC</t>
    <phoneticPr fontId="9"/>
  </si>
  <si>
    <t>香水coach</t>
    <rPh sb="0" eb="2">
      <t>コウスイ</t>
    </rPh>
    <phoneticPr fontId="9"/>
  </si>
  <si>
    <t>22.4.7.22</t>
  </si>
  <si>
    <t>23.2.7.23</t>
  </si>
  <si>
    <t>電ブル</t>
    <rPh sb="0" eb="1">
      <t>デン</t>
    </rPh>
    <phoneticPr fontId="9"/>
  </si>
  <si>
    <t>ギャルキティサンダルサンダル</t>
    <phoneticPr fontId="9"/>
  </si>
  <si>
    <t>22.3.7.22</t>
  </si>
  <si>
    <t>18.3.9.18</t>
  </si>
  <si>
    <t>18.4.7.18</t>
  </si>
  <si>
    <t>14.1.7.14</t>
  </si>
  <si>
    <t>Pro4</t>
    <phoneticPr fontId="9"/>
  </si>
  <si>
    <t>11.1.7.11</t>
  </si>
  <si>
    <t>18.2.8.18</t>
  </si>
  <si>
    <t>9/22/月</t>
  </si>
  <si>
    <t>サンリオフェイスポーチ20.7.9.20</t>
  </si>
  <si>
    <t>ラブブマスコット</t>
  </si>
  <si>
    <t>ラブブキーホルダー</t>
  </si>
  <si>
    <t>液晶ミニカメラ</t>
  </si>
  <si>
    <t>キティヒョウ柄マスコット</t>
  </si>
  <si>
    <t>ラブブマスコット11.1.7.11緩和20</t>
  </si>
  <si>
    <t>20.2.10</t>
  </si>
  <si>
    <t>22.3.10北斗イヤホン</t>
  </si>
  <si>
    <t>22.6.10</t>
  </si>
  <si>
    <t>22.3.10</t>
  </si>
  <si>
    <t>サンリオパッチン12.6.7.12</t>
  </si>
  <si>
    <t>ピクミン11.3.5.11</t>
  </si>
  <si>
    <t>11.1.7</t>
  </si>
  <si>
    <t>24.1.8ラブブキーホルダー</t>
  </si>
  <si>
    <t>北斗イヤホン</t>
  </si>
  <si>
    <t>サンリオでかぱっちん</t>
  </si>
  <si>
    <t>次回設定調整お願い！</t>
  </si>
  <si>
    <t>次回入れ替えお願い！</t>
  </si>
  <si>
    <t>補充！</t>
  </si>
  <si>
    <t>プライズメーター故障？</t>
  </si>
  <si>
    <t>11.3.4.11</t>
  </si>
  <si>
    <t>11.1.6.11</t>
  </si>
  <si>
    <t>サンリオフェイスポーチ22.6.8.22</t>
  </si>
  <si>
    <t>20.2.8.20</t>
  </si>
  <si>
    <t>22.7.8.22</t>
  </si>
  <si>
    <t>そろそろ入れ替えかも！</t>
  </si>
  <si>
    <t>他店補充用に回して入れ替え</t>
  </si>
  <si>
    <t>エラーコード5により稼働しておらず</t>
  </si>
  <si>
    <t>プロ4 20.4.6.20</t>
  </si>
  <si>
    <t>そろそろ入れ替え！</t>
    <phoneticPr fontId="9"/>
  </si>
  <si>
    <t>サンリオがま口財布18.5.7.18.80</t>
  </si>
  <si>
    <t>サンリオがま口財布</t>
  </si>
  <si>
    <t>サンリオがま口ミニポーチ21.7.9.21</t>
  </si>
  <si>
    <t>月曜日次第入れ替え</t>
  </si>
  <si>
    <t>そろそろ入れ替え！</t>
  </si>
  <si>
    <t>サンリオがま口ポーチ</t>
  </si>
  <si>
    <t>アングリーベイビー23.9.9.23</t>
  </si>
  <si>
    <t>ちいかわマスコットポーチ20.7.8.20</t>
  </si>
  <si>
    <t>プロ4</t>
  </si>
  <si>
    <t>スンスン髪留め22.7.8.22</t>
  </si>
  <si>
    <t>ルララ</t>
    <phoneticPr fontId="9"/>
  </si>
  <si>
    <t>アングリーベイビー</t>
  </si>
  <si>
    <t>23.8.9.23</t>
  </si>
  <si>
    <t>ちいかわマスコットポーチ</t>
  </si>
  <si>
    <t>スンスン髪留め</t>
  </si>
  <si>
    <t>23.7.8.23</t>
  </si>
  <si>
    <t>24.7.8.24</t>
  </si>
  <si>
    <t>サンリオウィンターキーケース24.2.10.24</t>
  </si>
  <si>
    <t>押忍番長ボイスボタン22.1.8.22</t>
  </si>
  <si>
    <t>22.6.8.22緩和10→20</t>
  </si>
  <si>
    <t>11.2.6.11</t>
  </si>
  <si>
    <t>21.6.7.20緩和20→10</t>
  </si>
  <si>
    <t>シリコン1→2  sp5→8</t>
  </si>
  <si>
    <t>押忍番長ボイスボタン</t>
  </si>
  <si>
    <r>
      <t>11/11</t>
    </r>
    <r>
      <rPr>
        <sz val="6"/>
        <color theme="1"/>
        <rFont val="ＭＳ Ｐゴシック"/>
        <family val="2"/>
        <charset val="128"/>
      </rPr>
      <t>設置</t>
    </r>
    <rPh sb="5" eb="7">
      <t>セッチ</t>
    </rPh>
    <phoneticPr fontId="9"/>
  </si>
  <si>
    <t>ボンボンドロップシール</t>
  </si>
  <si>
    <t>ゲームアーク</t>
  </si>
  <si>
    <t>キティボアバンスクリップ</t>
  </si>
  <si>
    <t>ギャルキティマスコット</t>
  </si>
  <si>
    <t>バタースクイーズ</t>
  </si>
  <si>
    <t>キティフェイス千鳥</t>
  </si>
  <si>
    <t>ジャグラーボタン</t>
  </si>
  <si>
    <t>ラフブマスコット</t>
  </si>
  <si>
    <t>キティシッポ付フェイスポーチ</t>
  </si>
  <si>
    <t>キティフェイスがま口</t>
  </si>
  <si>
    <t>番長ボタン</t>
  </si>
  <si>
    <t>シールバインダー　21.10.11</t>
  </si>
  <si>
    <t>サンリオウィンターマスコット</t>
  </si>
  <si>
    <t>サンリオスカーフ付きリュック</t>
    <rPh sb="8" eb="9">
      <t>ツ</t>
    </rPh>
    <phoneticPr fontId="9"/>
  </si>
  <si>
    <r>
      <t>22.7.9.22</t>
    </r>
    <r>
      <rPr>
        <sz val="6"/>
        <color theme="1"/>
        <rFont val="游ゴシック"/>
        <family val="2"/>
        <charset val="128"/>
      </rPr>
      <t>袋から出した</t>
    </r>
    <rPh sb="9" eb="10">
      <t>フクロ</t>
    </rPh>
    <rPh sb="12" eb="13">
      <t>ダ</t>
    </rPh>
    <phoneticPr fontId="9"/>
  </si>
  <si>
    <t>シールバインダー</t>
  </si>
  <si>
    <t>21.9.11</t>
  </si>
  <si>
    <t>たまごっちマスコット</t>
  </si>
  <si>
    <t>たまごっちマスコット21.5.7</t>
  </si>
  <si>
    <t>しばこ16.6.8</t>
  </si>
  <si>
    <t>13.5.7 速度2,しばこのアームと変えた。小さいうアームに変えたい。</t>
  </si>
  <si>
    <t>サンリオマスコット</t>
  </si>
  <si>
    <t>21.6.821</t>
  </si>
  <si>
    <t>しばこ</t>
  </si>
  <si>
    <t>21.8.11</t>
  </si>
  <si>
    <t>15.5.8</t>
  </si>
  <si>
    <t>キティヘアパッチン9.4.6</t>
  </si>
  <si>
    <t>14.6.7速度2.アーム変えた</t>
  </si>
  <si>
    <t>キティヘアパッチン</t>
  </si>
  <si>
    <t>ポケモンシリコンポーチ14.6.8</t>
  </si>
  <si>
    <t>3/20/金</t>
  </si>
  <si>
    <t>ポケモンシリコンポーチ</t>
  </si>
  <si>
    <t>キティダブルミラー19.9.10</t>
  </si>
  <si>
    <t>サンリオヘアバンド20.8.10</t>
  </si>
  <si>
    <t>液晶ミニカメラに変える？</t>
  </si>
  <si>
    <t>アーム変えた18.7.9 ゲーム機イヤホンに変える？</t>
  </si>
  <si>
    <t>キティダブルミラー</t>
  </si>
  <si>
    <t>サンリオヘアバンド</t>
  </si>
  <si>
    <t>19.8.9</t>
  </si>
  <si>
    <t>21.6.7</t>
  </si>
  <si>
    <t>サンリオ豹柄キーケース</t>
  </si>
  <si>
    <t>しばこに変える→前回キーケースに変えた</t>
  </si>
  <si>
    <t>液晶ミニカメラ23.8.10</t>
  </si>
  <si>
    <t>16.6.7</t>
  </si>
  <si>
    <t>しばこ16.6.8.16</t>
  </si>
  <si>
    <t>ヒョウ柄キーケース22.7.8.22</t>
  </si>
  <si>
    <t>サンリオスカーフ付きリュック</t>
  </si>
  <si>
    <t>景品</t>
    <rPh sb="0" eb="2">
      <t>ケイヒン</t>
    </rPh>
    <phoneticPr fontId="9"/>
  </si>
  <si>
    <r>
      <rPr>
        <sz val="8"/>
        <color theme="1"/>
        <rFont val="Calibri"/>
        <family val="2"/>
        <charset val="128"/>
        <scheme val="minor"/>
      </rPr>
      <t>ボンボンドロップシール</t>
    </r>
    <phoneticPr fontId="9"/>
  </si>
  <si>
    <t>豹柄キーケース</t>
  </si>
  <si>
    <t>22.8.9</t>
  </si>
  <si>
    <t>キティバンスクリップビッグ19.9.10</t>
  </si>
  <si>
    <t>30.11.12</t>
  </si>
  <si>
    <t>ふわもちミニスクイーズ15.5.6</t>
  </si>
  <si>
    <t>キティバンスクリップビッグ</t>
    <phoneticPr fontId="9"/>
  </si>
  <si>
    <t>次替える</t>
    <rPh sb="0" eb="1">
      <t>ツギ</t>
    </rPh>
    <rPh sb="1" eb="2">
      <t>カ</t>
    </rPh>
    <phoneticPr fontId="9"/>
  </si>
  <si>
    <t>そろそろ入れ替え時</t>
    <rPh sb="4" eb="5">
      <t>イ</t>
    </rPh>
    <rPh sb="6" eb="7">
      <t>カ</t>
    </rPh>
    <rPh sb="8" eb="9">
      <t>ドキ</t>
    </rPh>
    <phoneticPr fontId="9"/>
  </si>
  <si>
    <r>
      <t>21.6.8</t>
    </r>
    <r>
      <rPr>
        <sz val="6"/>
        <color theme="1"/>
        <rFont val="ＭＳ ゴシック"/>
        <family val="3"/>
        <charset val="128"/>
      </rPr>
      <t>速度</t>
    </r>
    <r>
      <rPr>
        <sz val="6"/>
        <color theme="1"/>
        <rFont val="Calibri"/>
        <family val="2"/>
      </rPr>
      <t>2</t>
    </r>
    <r>
      <rPr>
        <sz val="6"/>
        <color theme="1"/>
        <rFont val="游ゴシック"/>
        <family val="2"/>
        <charset val="128"/>
      </rPr>
      <t>。そろそろ入れ替え時</t>
    </r>
    <rPh sb="14" eb="15">
      <t>イ</t>
    </rPh>
    <rPh sb="16" eb="17">
      <t>カ</t>
    </rPh>
    <rPh sb="18" eb="19">
      <t>ドキ</t>
    </rPh>
    <phoneticPr fontId="9"/>
  </si>
  <si>
    <t>23.5.7</t>
  </si>
  <si>
    <t>30.10.11</t>
  </si>
  <si>
    <t>ふわもちミニスクイーズ</t>
  </si>
  <si>
    <t>たまごっちブロックシール22.7.9</t>
  </si>
  <si>
    <t>モンチッチマスコット16.5.7</t>
  </si>
  <si>
    <t>チェキフィルム20.8.9.20.50</t>
  </si>
  <si>
    <t>背面の飾りも入れて70～80個は投入したい</t>
    <rPh sb="0" eb="2">
      <t>ハイメン</t>
    </rPh>
    <rPh sb="3" eb="4">
      <t>カザ</t>
    </rPh>
    <rPh sb="6" eb="7">
      <t>イ</t>
    </rPh>
    <rPh sb="14" eb="15">
      <t>コ</t>
    </rPh>
    <rPh sb="16" eb="18">
      <t>トウニュウ</t>
    </rPh>
    <phoneticPr fontId="9"/>
  </si>
  <si>
    <t>15.5.6アームも小さいのに替えた</t>
  </si>
  <si>
    <t>たまごっちブロックシール</t>
  </si>
  <si>
    <t>チェキフィルム</t>
  </si>
  <si>
    <t>22.7.8</t>
  </si>
  <si>
    <t>キティ着物マスコット15.6.8</t>
  </si>
  <si>
    <t>ギャルキティマスコット16.5.6</t>
  </si>
  <si>
    <t>キティ着物マスコット</t>
  </si>
  <si>
    <t>アーム変えた15.5.7</t>
  </si>
  <si>
    <t>21.8.9</t>
  </si>
  <si>
    <t>24.6.8.速度2</t>
  </si>
  <si>
    <t>速度2.上部停止</t>
  </si>
  <si>
    <t>サンリオカラビナ付きミニファン22.7.8</t>
  </si>
  <si>
    <t>22.6.8速度1</t>
  </si>
  <si>
    <t>サンリオカラビナ付きミニファン</t>
  </si>
  <si>
    <t>キティ豹柄マスコット13.4.5</t>
  </si>
  <si>
    <t>15.6.7</t>
  </si>
  <si>
    <t>27.8.10速度2</t>
  </si>
  <si>
    <t>トイストーリー・ディズニーベアブリック18.5.6</t>
  </si>
  <si>
    <t>エラーで止まってた。ゴムつけたら直った</t>
  </si>
  <si>
    <t>20.5.7</t>
  </si>
  <si>
    <t>トイストーリー・ディズニーベアブリック</t>
  </si>
  <si>
    <t>キティ豹柄マスコット</t>
  </si>
  <si>
    <t>かえるがま口20.8.9</t>
  </si>
  <si>
    <t>カラビナ付きぬいぐるみファスナーマスコット20.7.9</t>
  </si>
  <si>
    <t>ジャグラーワイヤレスイヤホン22.7.10</t>
  </si>
  <si>
    <t>カラビナ付きぬいぐるみファスナーマスコット</t>
  </si>
  <si>
    <t>かえるがま口</t>
  </si>
  <si>
    <t>ジャグラーワイヤレスイヤホン</t>
  </si>
  <si>
    <t>21.7.9</t>
  </si>
  <si>
    <t>キティボールペン15.4.6</t>
  </si>
  <si>
    <t>パンケーキスクイーズ24.10.12</t>
  </si>
  <si>
    <t>キティボールペン</t>
  </si>
  <si>
    <t>フルーツスクイーズ24.8.10ゴム2</t>
  </si>
  <si>
    <t>パンケーキスクイーズ</t>
  </si>
  <si>
    <t>アンパンマン指人形20.6.7</t>
  </si>
  <si>
    <t>ドーナツスクイーズ21.6.6</t>
  </si>
  <si>
    <t>マリオカートマスコット20.7.8</t>
  </si>
  <si>
    <t>ドーナツスクイーズ</t>
  </si>
  <si>
    <t>アンパンマン指人形</t>
  </si>
  <si>
    <t>マリオカートマスコット</t>
  </si>
  <si>
    <t>フルーツスクイーズ</t>
  </si>
  <si>
    <t>アンパンマンマスコット20.7.7</t>
  </si>
  <si>
    <t>アンパンマンマスコット</t>
  </si>
  <si>
    <t>ジャグラーDXボタン20.6.7.20</t>
  </si>
  <si>
    <t>たまごっちカスタムキーリング24.9.9</t>
  </si>
  <si>
    <t>半熟玉子スクイーズ21.8.8</t>
  </si>
  <si>
    <t>20.7.7</t>
  </si>
  <si>
    <t>ジャグラーDXボタン</t>
  </si>
  <si>
    <t>たまごっちカスタムキーリング</t>
  </si>
  <si>
    <t>23.7.7</t>
  </si>
  <si>
    <t>半熟玉子スクイーズ</t>
  </si>
  <si>
    <t>おはじきシール混ぜた</t>
  </si>
  <si>
    <t>ポケモンファスナーマスコット21.8.8</t>
  </si>
  <si>
    <t>19.6.7</t>
  </si>
  <si>
    <t>24.10.10</t>
  </si>
  <si>
    <t>18.7.8</t>
  </si>
  <si>
    <t>カラビナ付きぬいぐるみファスナーマスコット22.9.9</t>
  </si>
  <si>
    <t>20.10.10</t>
  </si>
  <si>
    <t>17.7.8</t>
  </si>
  <si>
    <t>15.7.7</t>
  </si>
  <si>
    <t>19.9.10</t>
  </si>
  <si>
    <t>たまごっちカスタムキーリング21.7.7</t>
  </si>
  <si>
    <t>20.7.8</t>
  </si>
  <si>
    <t>21.7.8</t>
  </si>
  <si>
    <t>20.8.8</t>
  </si>
  <si>
    <t>24.10.12</t>
  </si>
  <si>
    <t>24.8.10</t>
  </si>
  <si>
    <t>キティフェイスMC</t>
  </si>
  <si>
    <t>32.8.9.32</t>
  </si>
  <si>
    <t>24.8.9シリコン2</t>
  </si>
  <si>
    <t>とろみスクイーズ混ぜた</t>
  </si>
  <si>
    <t>サミュエルフェイス22.9.10</t>
  </si>
  <si>
    <t>サミュエルフェイス</t>
  </si>
  <si>
    <t>ポケモンファスナーマスコット</t>
  </si>
  <si>
    <t>15.7.8</t>
  </si>
  <si>
    <t>上部停止長くした</t>
  </si>
  <si>
    <t>シリコン、3個にした</t>
  </si>
  <si>
    <t>石減らして上部停止長くした</t>
  </si>
  <si>
    <t>ウォーターガン23.8.9シリコン2</t>
  </si>
  <si>
    <t>キーボードブロック22.9.10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</si>
</sst>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0_);[Red]\(0\)"/>
    <numFmt numFmtId="177" formatCode="m/d/aaa"/>
    <numFmt numFmtId="178" formatCode="0.0%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6"/>
      <color theme="1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11"/>
      <color rgb="FF333333"/>
      <name val="Calibri"/>
      <family val="2"/>
    </font>
    <font>
      <sz val="10"/>
      <color theme="1"/>
      <name val="MS PGothic"/>
      <family val="3"/>
      <charset val="128"/>
    </font>
    <font>
      <sz val="11"/>
      <color theme="1"/>
      <name val="ＭＳ ゴシック"/>
      <family val="3"/>
      <charset val="128"/>
    </font>
    <font>
      <sz val="6"/>
      <name val="Calibri"/>
      <family val="3"/>
      <charset val="128"/>
      <scheme val="minor"/>
    </font>
    <font>
      <sz val="7"/>
      <color theme="1"/>
      <name val="Calibri"/>
      <family val="2"/>
      <scheme val="minor"/>
    </font>
    <font>
      <sz val="11"/>
      <color theme="1"/>
      <name val="ＭＳ Ｐゴシック"/>
      <family val="2"/>
      <charset val="128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ＭＳ Ｐゴシック"/>
      <family val="2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6"/>
      <color theme="1"/>
      <name val="ＭＳ Ｐゴシック"/>
      <family val="2"/>
      <charset val="128"/>
    </font>
    <font>
      <sz val="5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MS PGothic"/>
      <family val="3"/>
      <charset val="128"/>
    </font>
    <font>
      <sz val="11"/>
      <name val="Aptos Narrow"/>
      <family val="2"/>
    </font>
    <font>
      <sz val="6"/>
      <color theme="1"/>
      <name val="ＭＳ Ｐゴシック"/>
      <family val="3"/>
      <charset val="128"/>
    </font>
    <font>
      <sz val="14"/>
      <color theme="1"/>
      <name val="Calibri"/>
      <family val="2"/>
    </font>
    <font>
      <sz val="9"/>
      <color theme="1"/>
      <name val="ＭＳ ゴシック"/>
      <family val="3"/>
      <charset val="128"/>
    </font>
    <font>
      <sz val="6"/>
      <color theme="1"/>
      <name val="游ゴシック"/>
      <family val="2"/>
      <charset val="128"/>
    </font>
    <font>
      <sz val="9"/>
      <color theme="1"/>
      <name val="ＭＳ Ｐゴシック"/>
      <family val="3"/>
      <charset val="128"/>
    </font>
    <font>
      <sz val="9"/>
      <color theme="1"/>
      <name val="MS PGothic"/>
      <family val="3"/>
      <charset val="128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  <charset val="128"/>
      <scheme val="minor"/>
    </font>
    <font>
      <sz val="6"/>
      <color theme="1"/>
      <name val="ＭＳ ゴシック"/>
      <family val="3"/>
      <charset val="128"/>
    </font>
    <font>
      <sz val="6"/>
      <color theme="1"/>
      <name val="ＭＳ Ｐ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rgb="FFB2A1C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0" fontId="17" fillId="0" borderId="0"/>
  </cellStyleXfs>
  <cellXfs count="157">
    <xf numFmtId="0" fontId="0" fillId="0" borderId="0" xfId="0" applyAlignment="1">
      <alignment vertical="center"/>
    </xf>
    <xf numFmtId="3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8" fontId="1" fillId="0" borderId="0" xfId="0" applyNumberFormat="1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38" fontId="1" fillId="0" borderId="1" xfId="0" applyNumberFormat="1" applyFont="1" applyBorder="1" applyAlignment="1">
      <alignment horizontal="center" vertical="center"/>
    </xf>
    <xf numFmtId="38" fontId="4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  <xf numFmtId="38" fontId="1" fillId="0" borderId="1" xfId="0" applyNumberFormat="1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177" fontId="1" fillId="0" borderId="1" xfId="0" applyNumberFormat="1" applyFont="1" applyBorder="1" applyAlignment="1">
      <alignment vertical="center"/>
    </xf>
    <xf numFmtId="38" fontId="1" fillId="0" borderId="1" xfId="0" applyNumberFormat="1" applyFont="1" applyBorder="1" applyAlignment="1">
      <alignment horizontal="right" vertical="center"/>
    </xf>
    <xf numFmtId="9" fontId="1" fillId="0" borderId="0" xfId="0" applyNumberFormat="1" applyFont="1" applyAlignment="1">
      <alignment vertical="center"/>
    </xf>
    <xf numFmtId="38" fontId="1" fillId="0" borderId="4" xfId="0" applyNumberFormat="1" applyFont="1" applyBorder="1" applyAlignment="1">
      <alignment vertical="center"/>
    </xf>
    <xf numFmtId="177" fontId="1" fillId="0" borderId="5" xfId="0" applyNumberFormat="1" applyFont="1" applyBorder="1" applyAlignment="1">
      <alignment vertical="center"/>
    </xf>
    <xf numFmtId="38" fontId="1" fillId="0" borderId="5" xfId="0" applyNumberFormat="1" applyFont="1" applyBorder="1" applyAlignment="1">
      <alignment vertical="center"/>
    </xf>
    <xf numFmtId="9" fontId="1" fillId="0" borderId="5" xfId="0" applyNumberFormat="1" applyFont="1" applyBorder="1" applyAlignment="1">
      <alignment vertical="center"/>
    </xf>
    <xf numFmtId="38" fontId="1" fillId="0" borderId="6" xfId="0" applyNumberFormat="1" applyFont="1" applyBorder="1" applyAlignment="1">
      <alignment vertical="center"/>
    </xf>
    <xf numFmtId="38" fontId="1" fillId="0" borderId="7" xfId="0" applyNumberFormat="1" applyFont="1" applyBorder="1" applyAlignment="1">
      <alignment vertical="center"/>
    </xf>
    <xf numFmtId="9" fontId="1" fillId="0" borderId="7" xfId="0" applyNumberFormat="1" applyFont="1" applyBorder="1" applyAlignment="1">
      <alignment vertical="center"/>
    </xf>
    <xf numFmtId="177" fontId="1" fillId="0" borderId="2" xfId="0" applyNumberFormat="1" applyFont="1" applyBorder="1" applyAlignment="1">
      <alignment vertical="center"/>
    </xf>
    <xf numFmtId="38" fontId="1" fillId="0" borderId="2" xfId="0" applyNumberFormat="1" applyFont="1" applyBorder="1" applyAlignment="1">
      <alignment vertical="center"/>
    </xf>
    <xf numFmtId="178" fontId="1" fillId="0" borderId="1" xfId="0" applyNumberFormat="1" applyFont="1" applyBorder="1" applyAlignment="1">
      <alignment vertical="center"/>
    </xf>
    <xf numFmtId="38" fontId="6" fillId="0" borderId="1" xfId="0" applyNumberFormat="1" applyFont="1" applyBorder="1" applyAlignment="1">
      <alignment vertical="center"/>
    </xf>
    <xf numFmtId="38" fontId="2" fillId="0" borderId="2" xfId="0" applyNumberFormat="1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77" fontId="1" fillId="0" borderId="0" xfId="0" applyNumberFormat="1" applyFont="1" applyAlignment="1">
      <alignment vertical="center"/>
    </xf>
    <xf numFmtId="38" fontId="1" fillId="0" borderId="5" xfId="0" applyNumberFormat="1" applyFont="1" applyBorder="1" applyAlignment="1">
      <alignment horizontal="right" vertical="center"/>
    </xf>
    <xf numFmtId="38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38" fontId="1" fillId="0" borderId="8" xfId="0" applyNumberFormat="1" applyFont="1" applyBorder="1" applyAlignment="1">
      <alignment vertical="center"/>
    </xf>
    <xf numFmtId="38" fontId="1" fillId="0" borderId="9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38" fontId="1" fillId="0" borderId="15" xfId="0" applyNumberFormat="1" applyFont="1" applyBorder="1" applyAlignment="1">
      <alignment vertical="center"/>
    </xf>
    <xf numFmtId="38" fontId="1" fillId="0" borderId="10" xfId="0" applyNumberFormat="1" applyFont="1" applyBorder="1" applyAlignment="1">
      <alignment vertical="center"/>
    </xf>
    <xf numFmtId="38" fontId="1" fillId="0" borderId="12" xfId="0" applyNumberFormat="1" applyFont="1" applyBorder="1" applyAlignment="1">
      <alignment vertical="center"/>
    </xf>
    <xf numFmtId="38" fontId="1" fillId="0" borderId="9" xfId="0" applyNumberFormat="1" applyFont="1" applyBorder="1" applyAlignment="1">
      <alignment horizontal="center" vertical="center"/>
    </xf>
    <xf numFmtId="38" fontId="1" fillId="0" borderId="11" xfId="0" applyNumberFormat="1" applyFont="1" applyBorder="1" applyAlignment="1">
      <alignment vertical="center"/>
    </xf>
    <xf numFmtId="9" fontId="1" fillId="0" borderId="8" xfId="0" applyNumberFormat="1" applyFont="1" applyBorder="1" applyAlignment="1">
      <alignment vertical="center"/>
    </xf>
    <xf numFmtId="177" fontId="1" fillId="0" borderId="8" xfId="0" applyNumberFormat="1" applyFont="1" applyBorder="1" applyAlignment="1">
      <alignment vertical="center"/>
    </xf>
    <xf numFmtId="38" fontId="1" fillId="0" borderId="8" xfId="0" applyNumberFormat="1" applyFont="1" applyBorder="1" applyAlignment="1">
      <alignment horizontal="right" vertical="center"/>
    </xf>
    <xf numFmtId="178" fontId="1" fillId="0" borderId="8" xfId="0" applyNumberFormat="1" applyFont="1" applyBorder="1" applyAlignment="1">
      <alignment vertical="center"/>
    </xf>
    <xf numFmtId="38" fontId="2" fillId="0" borderId="8" xfId="0" applyNumberFormat="1" applyFont="1" applyBorder="1" applyAlignment="1">
      <alignment vertical="center"/>
    </xf>
    <xf numFmtId="176" fontId="0" fillId="0" borderId="0" xfId="0" applyNumberFormat="1" applyAlignment="1">
      <alignment vertical="center"/>
    </xf>
    <xf numFmtId="177" fontId="1" fillId="0" borderId="3" xfId="0" applyNumberFormat="1" applyFont="1" applyBorder="1" applyAlignment="1">
      <alignment vertical="center"/>
    </xf>
    <xf numFmtId="177" fontId="1" fillId="0" borderId="4" xfId="0" applyNumberFormat="1" applyFont="1" applyBorder="1" applyAlignment="1">
      <alignment vertical="center"/>
    </xf>
    <xf numFmtId="177" fontId="1" fillId="0" borderId="6" xfId="0" applyNumberFormat="1" applyFont="1" applyBorder="1" applyAlignment="1">
      <alignment vertical="center"/>
    </xf>
    <xf numFmtId="38" fontId="1" fillId="0" borderId="8" xfId="0" applyNumberFormat="1" applyFont="1" applyBorder="1" applyAlignment="1">
      <alignment horizontal="center" vertical="center"/>
    </xf>
    <xf numFmtId="177" fontId="1" fillId="0" borderId="15" xfId="0" applyNumberFormat="1" applyFont="1" applyBorder="1" applyAlignment="1">
      <alignment vertical="center"/>
    </xf>
    <xf numFmtId="38" fontId="2" fillId="0" borderId="15" xfId="0" applyNumberFormat="1" applyFont="1" applyBorder="1" applyAlignment="1">
      <alignment vertical="center"/>
    </xf>
    <xf numFmtId="177" fontId="1" fillId="0" borderId="12" xfId="0" applyNumberFormat="1" applyFont="1" applyBorder="1" applyAlignment="1">
      <alignment vertical="center"/>
    </xf>
    <xf numFmtId="0" fontId="0" fillId="0" borderId="14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8" fontId="7" fillId="0" borderId="13" xfId="0" applyNumberFormat="1" applyFont="1" applyBorder="1" applyAlignment="1">
      <alignment horizontal="center" vertical="center"/>
    </xf>
    <xf numFmtId="178" fontId="1" fillId="0" borderId="1" xfId="3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177" fontId="11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" fillId="0" borderId="8" xfId="0" applyNumberFormat="1" applyFont="1" applyBorder="1" applyAlignment="1">
      <alignment vertical="center"/>
    </xf>
    <xf numFmtId="176" fontId="1" fillId="0" borderId="6" xfId="0" applyNumberFormat="1" applyFont="1" applyBorder="1" applyAlignment="1">
      <alignment vertical="center"/>
    </xf>
    <xf numFmtId="176" fontId="1" fillId="0" borderId="4" xfId="0" applyNumberFormat="1" applyFont="1" applyBorder="1" applyAlignment="1">
      <alignment vertical="center"/>
    </xf>
    <xf numFmtId="176" fontId="1" fillId="0" borderId="12" xfId="0" applyNumberFormat="1" applyFont="1" applyBorder="1" applyAlignment="1">
      <alignment vertical="center"/>
    </xf>
    <xf numFmtId="176" fontId="1" fillId="0" borderId="15" xfId="0" applyNumberFormat="1" applyFont="1" applyBorder="1" applyAlignment="1">
      <alignment vertical="center"/>
    </xf>
    <xf numFmtId="176" fontId="1" fillId="0" borderId="2" xfId="0" applyNumberFormat="1" applyFont="1" applyBorder="1" applyAlignment="1">
      <alignment vertical="center"/>
    </xf>
    <xf numFmtId="176" fontId="1" fillId="0" borderId="5" xfId="0" applyNumberFormat="1" applyFont="1" applyBorder="1" applyAlignment="1">
      <alignment vertical="center"/>
    </xf>
    <xf numFmtId="176" fontId="1" fillId="0" borderId="9" xfId="0" applyNumberFormat="1" applyFont="1" applyBorder="1" applyAlignment="1">
      <alignment vertical="center"/>
    </xf>
    <xf numFmtId="38" fontId="11" fillId="0" borderId="9" xfId="0" applyNumberFormat="1" applyFont="1" applyBorder="1" applyAlignment="1">
      <alignment vertical="center"/>
    </xf>
    <xf numFmtId="38" fontId="15" fillId="0" borderId="8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  <xf numFmtId="177" fontId="1" fillId="0" borderId="6" xfId="0" applyNumberFormat="1" applyFont="1" applyBorder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  <xf numFmtId="177" fontId="1" fillId="0" borderId="5" xfId="0" applyNumberFormat="1" applyFont="1" applyBorder="1" applyAlignment="1">
      <alignment horizontal="right" vertical="center"/>
    </xf>
    <xf numFmtId="177" fontId="1" fillId="0" borderId="3" xfId="0" applyNumberFormat="1" applyFont="1" applyBorder="1" applyAlignment="1">
      <alignment horizontal="right" vertical="center"/>
    </xf>
    <xf numFmtId="38" fontId="1" fillId="3" borderId="1" xfId="0" applyNumberFormat="1" applyFont="1" applyFill="1" applyBorder="1" applyAlignment="1">
      <alignment vertical="center"/>
    </xf>
    <xf numFmtId="38" fontId="1" fillId="4" borderId="1" xfId="0" applyNumberFormat="1" applyFont="1" applyFill="1" applyBorder="1" applyAlignment="1">
      <alignment vertical="center"/>
    </xf>
    <xf numFmtId="38" fontId="1" fillId="0" borderId="17" xfId="0" applyNumberFormat="1" applyFont="1" applyBorder="1" applyAlignment="1">
      <alignment vertical="center"/>
    </xf>
    <xf numFmtId="38" fontId="1" fillId="0" borderId="8" xfId="4" applyFont="1" applyBorder="1" applyAlignment="1">
      <alignment vertical="center"/>
    </xf>
    <xf numFmtId="38" fontId="11" fillId="0" borderId="13" xfId="0" applyNumberFormat="1" applyFont="1" applyBorder="1" applyAlignment="1">
      <alignment vertical="center"/>
    </xf>
    <xf numFmtId="178" fontId="1" fillId="0" borderId="13" xfId="3" applyNumberFormat="1" applyFont="1" applyBorder="1" applyAlignment="1">
      <alignment vertical="center"/>
    </xf>
    <xf numFmtId="38" fontId="1" fillId="3" borderId="10" xfId="0" applyNumberFormat="1" applyFont="1" applyFill="1" applyBorder="1" applyAlignment="1">
      <alignment vertical="center"/>
    </xf>
    <xf numFmtId="38" fontId="1" fillId="0" borderId="5" xfId="0" applyNumberFormat="1" applyFont="1" applyBorder="1" applyAlignment="1">
      <alignment vertical="top"/>
    </xf>
    <xf numFmtId="38" fontId="1" fillId="0" borderId="15" xfId="0" applyNumberFormat="1" applyFont="1" applyBorder="1" applyAlignment="1">
      <alignment horizontal="right" vertical="center"/>
    </xf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38" fontId="1" fillId="5" borderId="0" xfId="0" applyNumberFormat="1" applyFont="1" applyFill="1" applyAlignment="1">
      <alignment vertical="center"/>
    </xf>
    <xf numFmtId="177" fontId="1" fillId="0" borderId="2" xfId="0" applyNumberFormat="1" applyFont="1" applyBorder="1" applyAlignment="1">
      <alignment horizontal="center" vertical="center"/>
    </xf>
    <xf numFmtId="38" fontId="18" fillId="0" borderId="1" xfId="0" applyNumberFormat="1" applyFont="1" applyBorder="1" applyAlignment="1">
      <alignment vertical="center"/>
    </xf>
    <xf numFmtId="38" fontId="19" fillId="0" borderId="1" xfId="0" applyNumberFormat="1" applyFont="1" applyBorder="1" applyAlignment="1">
      <alignment vertical="center"/>
    </xf>
    <xf numFmtId="38" fontId="3" fillId="0" borderId="1" xfId="0" applyNumberFormat="1" applyFont="1" applyBorder="1" applyAlignment="1">
      <alignment horizontal="center" vertical="center"/>
    </xf>
    <xf numFmtId="38" fontId="23" fillId="0" borderId="1" xfId="0" applyNumberFormat="1" applyFont="1" applyBorder="1" applyAlignment="1">
      <alignment vertical="center"/>
    </xf>
    <xf numFmtId="38" fontId="1" fillId="3" borderId="8" xfId="0" applyNumberFormat="1" applyFont="1" applyFill="1" applyBorder="1" applyAlignment="1">
      <alignment vertical="center"/>
    </xf>
    <xf numFmtId="177" fontId="1" fillId="4" borderId="2" xfId="0" applyNumberFormat="1" applyFont="1" applyFill="1" applyBorder="1" applyAlignment="1">
      <alignment horizontal="right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8" fontId="1" fillId="6" borderId="8" xfId="0" applyNumberFormat="1" applyFont="1" applyFill="1" applyBorder="1" applyAlignment="1">
      <alignment vertical="center"/>
    </xf>
    <xf numFmtId="38" fontId="5" fillId="8" borderId="1" xfId="0" applyNumberFormat="1" applyFont="1" applyFill="1" applyBorder="1" applyAlignment="1">
      <alignment vertical="center"/>
    </xf>
    <xf numFmtId="38" fontId="3" fillId="8" borderId="1" xfId="0" applyNumberFormat="1" applyFont="1" applyFill="1" applyBorder="1" applyAlignment="1">
      <alignment vertical="center"/>
    </xf>
    <xf numFmtId="38" fontId="2" fillId="8" borderId="1" xfId="0" applyNumberFormat="1" applyFont="1" applyFill="1" applyBorder="1" applyAlignment="1">
      <alignment vertical="center"/>
    </xf>
    <xf numFmtId="38" fontId="25" fillId="8" borderId="1" xfId="0" applyNumberFormat="1" applyFont="1" applyFill="1" applyBorder="1" applyAlignment="1">
      <alignment vertical="center"/>
    </xf>
    <xf numFmtId="38" fontId="1" fillId="4" borderId="10" xfId="0" applyNumberFormat="1" applyFont="1" applyFill="1" applyBorder="1" applyAlignment="1">
      <alignment vertical="center"/>
    </xf>
    <xf numFmtId="0" fontId="0" fillId="5" borderId="0" xfId="0" applyFill="1" applyAlignment="1">
      <alignment vertical="center"/>
    </xf>
    <xf numFmtId="38" fontId="20" fillId="9" borderId="0" xfId="0" applyNumberFormat="1" applyFont="1" applyFill="1" applyAlignment="1">
      <alignment vertical="center"/>
    </xf>
    <xf numFmtId="177" fontId="1" fillId="4" borderId="8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vertical="center"/>
    </xf>
    <xf numFmtId="38" fontId="15" fillId="0" borderId="8" xfId="0" applyNumberFormat="1" applyFont="1" applyBorder="1" applyAlignment="1">
      <alignment vertical="center"/>
    </xf>
    <xf numFmtId="38" fontId="25" fillId="0" borderId="1" xfId="0" applyNumberFormat="1" applyFont="1" applyBorder="1" applyAlignment="1">
      <alignment vertical="center"/>
    </xf>
    <xf numFmtId="38" fontId="27" fillId="0" borderId="5" xfId="0" applyNumberFormat="1" applyFont="1" applyBorder="1" applyAlignment="1">
      <alignment vertical="center"/>
    </xf>
    <xf numFmtId="38" fontId="3" fillId="0" borderId="8" xfId="0" applyNumberFormat="1" applyFont="1" applyBorder="1" applyAlignment="1">
      <alignment vertical="center"/>
    </xf>
    <xf numFmtId="38" fontId="3" fillId="0" borderId="1" xfId="0" applyNumberFormat="1" applyFont="1" applyBorder="1" applyAlignment="1">
      <alignment vertical="center"/>
    </xf>
    <xf numFmtId="38" fontId="3" fillId="0" borderId="5" xfId="0" applyNumberFormat="1" applyFont="1" applyBorder="1" applyAlignment="1">
      <alignment vertical="center"/>
    </xf>
    <xf numFmtId="38" fontId="3" fillId="0" borderId="10" xfId="0" applyNumberFormat="1" applyFont="1" applyBorder="1" applyAlignment="1">
      <alignment vertical="center"/>
    </xf>
    <xf numFmtId="38" fontId="3" fillId="0" borderId="12" xfId="0" applyNumberFormat="1" applyFont="1" applyBorder="1" applyAlignment="1">
      <alignment vertical="center"/>
    </xf>
    <xf numFmtId="38" fontId="3" fillId="0" borderId="15" xfId="0" applyNumberFormat="1" applyFont="1" applyBorder="1" applyAlignment="1">
      <alignment vertical="center"/>
    </xf>
    <xf numFmtId="38" fontId="28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38" fontId="15" fillId="0" borderId="1" xfId="0" applyNumberFormat="1" applyFont="1" applyBorder="1" applyAlignment="1">
      <alignment vertical="center"/>
    </xf>
    <xf numFmtId="38" fontId="15" fillId="0" borderId="5" xfId="0" applyNumberFormat="1" applyFont="1" applyBorder="1" applyAlignment="1">
      <alignment vertical="center"/>
    </xf>
    <xf numFmtId="38" fontId="2" fillId="10" borderId="1" xfId="0" applyNumberFormat="1" applyFont="1" applyFill="1" applyBorder="1" applyAlignment="1">
      <alignment vertical="center"/>
    </xf>
    <xf numFmtId="38" fontId="11" fillId="0" borderId="9" xfId="0" applyNumberFormat="1" applyFont="1" applyBorder="1" applyAlignment="1">
      <alignment horizontal="center" vertical="center"/>
    </xf>
    <xf numFmtId="38" fontId="11" fillId="0" borderId="1" xfId="0" applyNumberFormat="1" applyFont="1" applyBorder="1" applyAlignment="1">
      <alignment horizontal="center" vertical="center"/>
    </xf>
    <xf numFmtId="38" fontId="30" fillId="0" borderId="8" xfId="0" applyNumberFormat="1" applyFont="1" applyBorder="1" applyAlignment="1">
      <alignment vertical="center"/>
    </xf>
    <xf numFmtId="38" fontId="30" fillId="0" borderId="1" xfId="0" applyNumberFormat="1" applyFont="1" applyBorder="1" applyAlignment="1">
      <alignment vertical="center"/>
    </xf>
    <xf numFmtId="178" fontId="30" fillId="0" borderId="1" xfId="0" applyNumberFormat="1" applyFont="1" applyBorder="1" applyAlignment="1">
      <alignment vertical="center"/>
    </xf>
    <xf numFmtId="38" fontId="1" fillId="11" borderId="8" xfId="0" applyNumberFormat="1" applyFont="1" applyFill="1" applyBorder="1" applyAlignment="1">
      <alignment vertical="center"/>
    </xf>
    <xf numFmtId="38" fontId="1" fillId="11" borderId="10" xfId="0" applyNumberFormat="1" applyFont="1" applyFill="1" applyBorder="1" applyAlignment="1">
      <alignment vertical="center"/>
    </xf>
    <xf numFmtId="38" fontId="33" fillId="0" borderId="1" xfId="0" applyNumberFormat="1" applyFont="1" applyBorder="1" applyAlignment="1">
      <alignment vertical="center"/>
    </xf>
    <xf numFmtId="38" fontId="1" fillId="3" borderId="15" xfId="0" applyNumberFormat="1" applyFont="1" applyFill="1" applyBorder="1" applyAlignment="1">
      <alignment vertical="center"/>
    </xf>
    <xf numFmtId="38" fontId="11" fillId="0" borderId="18" xfId="0" applyNumberFormat="1" applyFont="1" applyBorder="1" applyAlignment="1">
      <alignment horizontal="center" vertical="center"/>
    </xf>
    <xf numFmtId="38" fontId="11" fillId="0" borderId="19" xfId="0" applyNumberFormat="1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38" fontId="1" fillId="7" borderId="18" xfId="0" applyNumberFormat="1" applyFont="1" applyFill="1" applyBorder="1" applyAlignment="1">
      <alignment horizontal="center" vertical="center"/>
    </xf>
    <xf numFmtId="38" fontId="1" fillId="7" borderId="19" xfId="0" applyNumberFormat="1" applyFont="1" applyFill="1" applyBorder="1" applyAlignment="1">
      <alignment horizontal="center" vertical="center"/>
    </xf>
    <xf numFmtId="38" fontId="1" fillId="0" borderId="20" xfId="2" applyNumberFormat="1" applyFont="1" applyBorder="1" applyAlignment="1">
      <alignment horizontal="center" vertical="center"/>
    </xf>
    <xf numFmtId="38" fontId="1" fillId="0" borderId="21" xfId="2" applyNumberFormat="1" applyFont="1" applyBorder="1" applyAlignment="1">
      <alignment horizontal="center" vertical="center"/>
    </xf>
    <xf numFmtId="38" fontId="1" fillId="0" borderId="4" xfId="0" applyNumberFormat="1" applyFont="1" applyBorder="1" applyAlignment="1">
      <alignment horizontal="center" vertical="center"/>
    </xf>
    <xf numFmtId="38" fontId="1" fillId="0" borderId="4" xfId="0" applyNumberFormat="1" applyFont="1" applyBorder="1" applyAlignment="1">
      <alignment horizontal="right" vertical="center"/>
    </xf>
    <xf numFmtId="38" fontId="5" fillId="0" borderId="4" xfId="0" applyNumberFormat="1" applyFont="1" applyBorder="1" applyAlignment="1">
      <alignment horizontal="right" vertical="center"/>
    </xf>
    <xf numFmtId="38" fontId="3" fillId="0" borderId="4" xfId="0" applyNumberFormat="1" applyFont="1" applyBorder="1" applyAlignment="1">
      <alignment horizontal="center" vertical="center"/>
    </xf>
    <xf numFmtId="38" fontId="7" fillId="0" borderId="4" xfId="0" applyNumberFormat="1" applyFont="1" applyBorder="1" applyAlignment="1">
      <alignment horizontal="center" vertical="center"/>
    </xf>
    <xf numFmtId="38" fontId="21" fillId="0" borderId="4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vertical="center"/>
    </xf>
    <xf numFmtId="0" fontId="1" fillId="5" borderId="13" xfId="0" applyFont="1" applyFill="1" applyBorder="1" applyAlignment="1">
      <alignment horizontal="center" vertical="center"/>
    </xf>
    <xf numFmtId="38" fontId="3" fillId="0" borderId="3" xfId="0" applyNumberFormat="1" applyFont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24" fillId="5" borderId="13" xfId="0" applyFont="1" applyFill="1" applyBorder="1" applyAlignment="1">
      <alignment horizontal="center" vertical="center"/>
    </xf>
    <xf numFmtId="38" fontId="11" fillId="0" borderId="14" xfId="0" applyNumberFormat="1" applyFont="1" applyBorder="1" applyAlignment="1">
      <alignment horizontal="center" vertical="center"/>
    </xf>
    <xf numFmtId="177" fontId="11" fillId="0" borderId="14" xfId="0" applyNumberFormat="1" applyFont="1" applyBorder="1" applyAlignment="1">
      <alignment horizontal="center" vertical="center"/>
    </xf>
    <xf numFmtId="38" fontId="1" fillId="7" borderId="16" xfId="0" applyNumberFormat="1" applyFont="1" applyFill="1" applyBorder="1" applyAlignment="1">
      <alignment horizontal="center" vertical="center"/>
    </xf>
    <xf numFmtId="38" fontId="1" fillId="0" borderId="14" xfId="2" applyNumberFormat="1" applyFont="1" applyBorder="1" applyAlignment="1">
      <alignment horizontal="center" vertical="center"/>
    </xf>
    <xf numFmtId="38" fontId="1" fillId="0" borderId="16" xfId="0" applyNumberFormat="1" applyFont="1" applyBorder="1" applyAlignment="1">
      <alignment horizontal="center" vertical="center"/>
    </xf>
  </cellXfs>
  <cellStyles count="6">
    <cellStyle name="Hyperlink" xfId="1" xr:uid="{00000000-000B-0000-0000-000008000000}"/>
    <cellStyle name="パーセント" xfId="3" builtinId="5"/>
    <cellStyle name="桁区切り" xfId="4" builtinId="6"/>
    <cellStyle name="通貨" xfId="2" builtinId="7"/>
    <cellStyle name="標準" xfId="0" builtinId="0"/>
    <cellStyle name="標準 2 2 2" xfId="5" xr:uid="{F8540B52-7F22-4ECA-851E-56D76D368B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B2F0-2C71-4E78-97AE-8C43992C204F}">
  <dimension ref="A1:BR2822"/>
  <sheetViews>
    <sheetView tabSelected="1" zoomScale="80" zoomScaleNormal="80" workbookViewId="0">
      <pane xSplit="1" ySplit="2" topLeftCell="AN4" activePane="bottomRight" state="frozen"/>
      <selection pane="bottomLeft" activeCell="A3" sqref="A3"/>
      <selection pane="topRight" activeCell="B1" sqref="B1"/>
      <selection pane="bottomRight" activeCell="AP14" sqref="AP14"/>
    </sheetView>
  </sheetViews>
  <sheetFormatPr defaultColWidth="14.390625" defaultRowHeight="15" customHeight="1" x14ac:dyDescent="0.2"/>
  <cols>
    <col min="1" max="1" width="10.22265625" bestFit="1" customWidth="1"/>
    <col min="2" max="2" width="9.14453125" style="46" bestFit="1" customWidth="1"/>
    <col min="3" max="3" width="7.93359375" bestFit="1" customWidth="1"/>
    <col min="4" max="4" width="9.14453125" bestFit="1" customWidth="1"/>
    <col min="5" max="5" width="9.28125" bestFit="1" customWidth="1"/>
    <col min="6" max="6" width="6.45703125" bestFit="1" customWidth="1"/>
    <col min="7" max="7" width="8.609375" bestFit="1" customWidth="1"/>
    <col min="8" max="9" width="6.45703125" bestFit="1" customWidth="1"/>
    <col min="10" max="10" width="25.2890625" style="120" bestFit="1" customWidth="1"/>
    <col min="11" max="11" width="6.9921875" style="35" bestFit="1" customWidth="1"/>
    <col min="12" max="12" width="9.14453125" bestFit="1" customWidth="1"/>
    <col min="13" max="13" width="9.28125" bestFit="1" customWidth="1"/>
    <col min="14" max="14" width="25.2890625" bestFit="1" customWidth="1"/>
    <col min="15" max="15" width="3.09375" customWidth="1"/>
    <col min="16" max="16" width="10.22265625" bestFit="1" customWidth="1"/>
    <col min="17" max="18" width="9.14453125" bestFit="1" customWidth="1"/>
    <col min="19" max="19" width="9.28125" bestFit="1" customWidth="1"/>
    <col min="20" max="20" width="4.3046875" bestFit="1" customWidth="1"/>
    <col min="21" max="21" width="8.609375" bestFit="1" customWidth="1"/>
    <col min="22" max="23" width="6.45703125" bestFit="1" customWidth="1"/>
    <col min="24" max="24" width="31.4765625" style="120" bestFit="1" customWidth="1"/>
    <col min="25" max="25" width="6.9921875" bestFit="1" customWidth="1"/>
    <col min="26" max="26" width="9.14453125" bestFit="1" customWidth="1"/>
    <col min="27" max="27" width="9.28125" bestFit="1" customWidth="1"/>
    <col min="28" max="28" width="25.2890625" bestFit="1" customWidth="1"/>
    <col min="29" max="29" width="4.03515625" customWidth="1"/>
    <col min="30" max="30" width="10.22265625" bestFit="1" customWidth="1"/>
    <col min="31" max="31" width="7.93359375" bestFit="1" customWidth="1"/>
    <col min="32" max="32" width="9.14453125" bestFit="1" customWidth="1"/>
    <col min="33" max="33" width="9.28125" bestFit="1" customWidth="1"/>
    <col min="34" max="34" width="4.3046875" bestFit="1" customWidth="1"/>
    <col min="35" max="35" width="9.28125" bestFit="1" customWidth="1"/>
    <col min="36" max="36" width="8.609375" bestFit="1" customWidth="1"/>
    <col min="37" max="37" width="9.28125" bestFit="1" customWidth="1"/>
    <col min="38" max="38" width="29.45703125" style="120" bestFit="1" customWidth="1"/>
    <col min="39" max="39" width="6.9921875" bestFit="1" customWidth="1"/>
    <col min="40" max="40" width="7.93359375" bestFit="1" customWidth="1"/>
    <col min="41" max="41" width="9.28125" bestFit="1" customWidth="1"/>
    <col min="42" max="42" width="27.171875" customWidth="1"/>
    <col min="43" max="43" width="3.09375" customWidth="1"/>
    <col min="44" max="44" width="10.22265625" bestFit="1" customWidth="1"/>
    <col min="45" max="45" width="7.93359375" bestFit="1" customWidth="1"/>
    <col min="46" max="46" width="9.14453125" bestFit="1" customWidth="1"/>
    <col min="47" max="47" width="9.28125" bestFit="1" customWidth="1"/>
    <col min="48" max="48" width="4.3046875" bestFit="1" customWidth="1"/>
    <col min="49" max="49" width="9.28125" bestFit="1" customWidth="1"/>
    <col min="50" max="51" width="6.45703125" bestFit="1" customWidth="1"/>
    <col min="52" max="52" width="29.45703125" style="120" bestFit="1" customWidth="1"/>
    <col min="53" max="53" width="6.9921875" bestFit="1" customWidth="1"/>
    <col min="54" max="54" width="7.93359375" bestFit="1" customWidth="1"/>
    <col min="55" max="55" width="9.28125" bestFit="1" customWidth="1"/>
    <col min="56" max="56" width="21.65625" bestFit="1" customWidth="1"/>
    <col min="57" max="57" width="2.95703125" customWidth="1"/>
    <col min="58" max="58" width="10.22265625" bestFit="1" customWidth="1"/>
    <col min="59" max="59" width="7.3984375" bestFit="1" customWidth="1"/>
    <col min="60" max="61" width="9.28125" bestFit="1" customWidth="1"/>
    <col min="62" max="62" width="4.3046875" bestFit="1" customWidth="1"/>
    <col min="63" max="63" width="8.609375" bestFit="1" customWidth="1"/>
    <col min="64" max="65" width="7.93359375" bestFit="1" customWidth="1"/>
    <col min="66" max="66" width="24.34765625" bestFit="1" customWidth="1"/>
    <col min="67" max="67" width="6.9921875" bestFit="1" customWidth="1"/>
    <col min="68" max="68" width="8.609375" bestFit="1" customWidth="1"/>
    <col min="69" max="69" width="9.28125" bestFit="1" customWidth="1"/>
    <col min="70" max="70" width="13.71875" bestFit="1" customWidth="1"/>
  </cols>
  <sheetData>
    <row r="1" spans="1:70" ht="15" customHeight="1" x14ac:dyDescent="0.2">
      <c r="A1" s="150" t="s">
        <v>53</v>
      </c>
      <c r="B1" s="150"/>
      <c r="C1" s="150"/>
      <c r="D1" s="150"/>
      <c r="E1" s="151" t="s">
        <v>0</v>
      </c>
      <c r="F1" s="151"/>
      <c r="G1" s="86"/>
      <c r="H1" s="86"/>
      <c r="I1" s="86"/>
      <c r="J1" s="108"/>
      <c r="K1" s="86"/>
      <c r="L1" s="86"/>
      <c r="M1" s="86"/>
      <c r="N1" s="87"/>
      <c r="O1" s="88"/>
      <c r="P1" s="150" t="s">
        <v>53</v>
      </c>
      <c r="Q1" s="150"/>
      <c r="R1" s="150"/>
      <c r="S1" s="151" t="s">
        <v>1</v>
      </c>
      <c r="T1" s="151"/>
      <c r="U1" s="86"/>
      <c r="V1" s="86"/>
      <c r="W1" s="86"/>
      <c r="X1" s="108"/>
      <c r="Y1" s="86"/>
      <c r="Z1" s="86"/>
      <c r="AA1" s="86"/>
      <c r="AB1" s="87"/>
      <c r="AD1" s="150" t="s">
        <v>53</v>
      </c>
      <c r="AE1" s="150"/>
      <c r="AF1" s="150"/>
      <c r="AG1" s="151" t="s">
        <v>54</v>
      </c>
      <c r="AH1" s="151"/>
      <c r="AI1" s="86"/>
      <c r="AJ1" s="86"/>
      <c r="AK1" s="86"/>
      <c r="AL1" s="108"/>
      <c r="AM1" s="86"/>
      <c r="AN1" s="86"/>
      <c r="AO1" s="86"/>
      <c r="AP1" s="87"/>
      <c r="AR1" s="150" t="s">
        <v>53</v>
      </c>
      <c r="AS1" s="150"/>
      <c r="AT1" s="150"/>
      <c r="AU1" s="151" t="s">
        <v>55</v>
      </c>
      <c r="AV1" s="151"/>
      <c r="AW1" s="86"/>
      <c r="AX1" s="86"/>
      <c r="AY1" s="86"/>
      <c r="AZ1" s="108"/>
      <c r="BA1" s="86"/>
      <c r="BB1" s="86"/>
      <c r="BC1" s="86"/>
      <c r="BD1" s="87"/>
      <c r="BE1" s="105"/>
      <c r="BF1" s="150" t="s">
        <v>43</v>
      </c>
      <c r="BG1" s="150"/>
      <c r="BH1" s="150"/>
      <c r="BI1" s="148" t="s">
        <v>44</v>
      </c>
      <c r="BJ1" s="148"/>
      <c r="BK1" s="106"/>
      <c r="BL1" s="106"/>
      <c r="BM1" s="106"/>
      <c r="BN1" s="106"/>
      <c r="BO1" s="106"/>
      <c r="BP1" s="106"/>
      <c r="BQ1" s="106"/>
      <c r="BR1" s="106"/>
    </row>
    <row r="2" spans="1:70" x14ac:dyDescent="0.2">
      <c r="A2" s="7" t="s">
        <v>2</v>
      </c>
      <c r="B2" s="60" t="s">
        <v>3</v>
      </c>
      <c r="C2" s="5" t="s">
        <v>4</v>
      </c>
      <c r="D2" s="5" t="s">
        <v>5</v>
      </c>
      <c r="E2" s="6" t="s">
        <v>6</v>
      </c>
      <c r="F2" s="5" t="s">
        <v>5</v>
      </c>
      <c r="G2" s="5" t="s">
        <v>7</v>
      </c>
      <c r="H2" s="5" t="s">
        <v>8</v>
      </c>
      <c r="I2" s="5" t="s">
        <v>9</v>
      </c>
      <c r="J2" s="92" t="s">
        <v>10</v>
      </c>
      <c r="K2" s="5" t="s">
        <v>11</v>
      </c>
      <c r="L2" s="5" t="s">
        <v>8</v>
      </c>
      <c r="M2" s="5" t="s">
        <v>12</v>
      </c>
      <c r="N2" s="5" t="s">
        <v>13</v>
      </c>
      <c r="O2" s="3"/>
      <c r="P2" s="7" t="s">
        <v>2</v>
      </c>
      <c r="Q2" s="5" t="s">
        <v>4</v>
      </c>
      <c r="R2" s="5" t="s">
        <v>5</v>
      </c>
      <c r="S2" s="6" t="s">
        <v>6</v>
      </c>
      <c r="T2" s="5" t="s">
        <v>5</v>
      </c>
      <c r="U2" s="5" t="s">
        <v>7</v>
      </c>
      <c r="V2" s="5" t="s">
        <v>8</v>
      </c>
      <c r="W2" s="5" t="s">
        <v>9</v>
      </c>
      <c r="X2" s="92" t="s">
        <v>10</v>
      </c>
      <c r="Y2" s="5" t="s">
        <v>11</v>
      </c>
      <c r="Z2" s="5" t="s">
        <v>8</v>
      </c>
      <c r="AA2" s="5" t="s">
        <v>12</v>
      </c>
      <c r="AB2" s="5" t="s">
        <v>13</v>
      </c>
      <c r="AD2" s="7" t="s">
        <v>2</v>
      </c>
      <c r="AE2" s="5" t="s">
        <v>4</v>
      </c>
      <c r="AF2" s="5" t="s">
        <v>5</v>
      </c>
      <c r="AG2" s="6" t="s">
        <v>6</v>
      </c>
      <c r="AH2" s="5" t="s">
        <v>5</v>
      </c>
      <c r="AI2" s="5" t="s">
        <v>7</v>
      </c>
      <c r="AJ2" s="5" t="s">
        <v>8</v>
      </c>
      <c r="AK2" s="5" t="s">
        <v>9</v>
      </c>
      <c r="AL2" s="92" t="s">
        <v>10</v>
      </c>
      <c r="AM2" s="5" t="s">
        <v>11</v>
      </c>
      <c r="AN2" s="5" t="s">
        <v>8</v>
      </c>
      <c r="AO2" s="5" t="s">
        <v>12</v>
      </c>
      <c r="AP2" s="5" t="s">
        <v>13</v>
      </c>
      <c r="AR2" s="7" t="s">
        <v>2</v>
      </c>
      <c r="AS2" s="5" t="s">
        <v>4</v>
      </c>
      <c r="AT2" s="5" t="s">
        <v>5</v>
      </c>
      <c r="AU2" s="6" t="s">
        <v>6</v>
      </c>
      <c r="AV2" s="5" t="s">
        <v>5</v>
      </c>
      <c r="AW2" s="5" t="s">
        <v>7</v>
      </c>
      <c r="AX2" s="5" t="s">
        <v>8</v>
      </c>
      <c r="AY2" s="5" t="s">
        <v>9</v>
      </c>
      <c r="AZ2" s="92" t="s">
        <v>10</v>
      </c>
      <c r="BA2" s="5" t="s">
        <v>11</v>
      </c>
      <c r="BB2" s="5" t="s">
        <v>8</v>
      </c>
      <c r="BC2" s="5" t="s">
        <v>12</v>
      </c>
      <c r="BD2" s="5" t="s">
        <v>13</v>
      </c>
      <c r="BF2" s="89" t="s">
        <v>2</v>
      </c>
      <c r="BG2" s="5" t="s">
        <v>4</v>
      </c>
      <c r="BH2" s="5" t="s">
        <v>5</v>
      </c>
      <c r="BI2" s="6" t="s">
        <v>6</v>
      </c>
      <c r="BJ2" s="5" t="s">
        <v>5</v>
      </c>
      <c r="BK2" s="5" t="s">
        <v>7</v>
      </c>
      <c r="BL2" s="5" t="s">
        <v>8</v>
      </c>
      <c r="BM2" s="5" t="s">
        <v>9</v>
      </c>
      <c r="BN2" s="125" t="s">
        <v>181</v>
      </c>
      <c r="BO2" s="5" t="s">
        <v>11</v>
      </c>
      <c r="BP2" s="5" t="s">
        <v>45</v>
      </c>
      <c r="BQ2" s="5" t="s">
        <v>46</v>
      </c>
      <c r="BR2" s="5" t="s">
        <v>13</v>
      </c>
    </row>
    <row r="3" spans="1:70" x14ac:dyDescent="0.2">
      <c r="A3" s="12">
        <v>46160</v>
      </c>
      <c r="B3" s="61">
        <v>954</v>
      </c>
      <c r="C3" s="33">
        <v>91</v>
      </c>
      <c r="D3" s="33">
        <v>29</v>
      </c>
      <c r="E3" s="33">
        <v>996</v>
      </c>
      <c r="F3" s="33">
        <v>1</v>
      </c>
      <c r="G3" s="33">
        <v>6</v>
      </c>
      <c r="H3" s="33">
        <v>1</v>
      </c>
      <c r="I3" s="33">
        <v>0</v>
      </c>
      <c r="J3" s="109" t="s">
        <v>20</v>
      </c>
      <c r="K3" s="40">
        <v>572</v>
      </c>
      <c r="L3" s="33">
        <v>572</v>
      </c>
      <c r="M3" s="41">
        <v>0.19724137931034483</v>
      </c>
      <c r="N3" s="11"/>
      <c r="O3" s="1"/>
      <c r="P3" s="12">
        <v>46160</v>
      </c>
      <c r="Q3" s="33">
        <v>4008</v>
      </c>
      <c r="R3" s="33">
        <v>47</v>
      </c>
      <c r="S3" s="33">
        <v>73</v>
      </c>
      <c r="T3" s="33">
        <v>2</v>
      </c>
      <c r="U3" s="33">
        <v>4</v>
      </c>
      <c r="V3" s="33">
        <v>1</v>
      </c>
      <c r="W3" s="33">
        <v>0</v>
      </c>
      <c r="X3" s="109" t="s">
        <v>238</v>
      </c>
      <c r="Y3" s="40">
        <v>792</v>
      </c>
      <c r="Z3" s="33">
        <v>792</v>
      </c>
      <c r="AA3" s="41">
        <v>0.16851063829787233</v>
      </c>
      <c r="AB3" s="11"/>
      <c r="AD3" s="12">
        <v>46160</v>
      </c>
      <c r="AE3" s="33">
        <v>15137</v>
      </c>
      <c r="AF3" s="94">
        <v>124</v>
      </c>
      <c r="AG3" s="33">
        <v>548</v>
      </c>
      <c r="AH3" s="33">
        <v>3</v>
      </c>
      <c r="AI3" s="33">
        <v>1</v>
      </c>
      <c r="AJ3" s="33">
        <v>4</v>
      </c>
      <c r="AK3" s="33">
        <v>0</v>
      </c>
      <c r="AL3" s="109" t="s">
        <v>246</v>
      </c>
      <c r="AM3" s="40">
        <v>1100</v>
      </c>
      <c r="AN3" s="33">
        <v>4400</v>
      </c>
      <c r="AO3" s="41">
        <v>0.35483870967741937</v>
      </c>
      <c r="AP3" s="11"/>
      <c r="AR3" s="12">
        <v>46160</v>
      </c>
      <c r="AS3" s="33">
        <v>10160</v>
      </c>
      <c r="AT3" s="33">
        <v>16</v>
      </c>
      <c r="AU3" s="33">
        <v>545</v>
      </c>
      <c r="AV3" s="33">
        <v>0</v>
      </c>
      <c r="AW3" s="33">
        <v>1</v>
      </c>
      <c r="AX3" s="33">
        <v>1</v>
      </c>
      <c r="AY3" s="33">
        <v>7</v>
      </c>
      <c r="AZ3" s="112" t="s">
        <v>212</v>
      </c>
      <c r="BA3" s="40">
        <v>1100</v>
      </c>
      <c r="BB3" s="33">
        <v>1100</v>
      </c>
      <c r="BC3" s="41">
        <v>0.6875</v>
      </c>
      <c r="BD3" s="11"/>
      <c r="BF3" s="7">
        <v>46160</v>
      </c>
      <c r="BG3" s="13">
        <v>7954</v>
      </c>
      <c r="BH3" s="33">
        <v>208</v>
      </c>
      <c r="BI3" s="9">
        <v>89</v>
      </c>
      <c r="BJ3" s="33">
        <v>4</v>
      </c>
      <c r="BK3" s="33">
        <v>27</v>
      </c>
      <c r="BL3" s="33">
        <v>3</v>
      </c>
      <c r="BM3" s="33">
        <v>4</v>
      </c>
      <c r="BN3" s="126" t="s">
        <v>134</v>
      </c>
      <c r="BO3" s="33">
        <v>1500</v>
      </c>
      <c r="BP3" s="9">
        <v>4500</v>
      </c>
      <c r="BQ3" s="10">
        <v>0.21634615384615385</v>
      </c>
      <c r="BR3" s="93"/>
    </row>
    <row r="4" spans="1:70" x14ac:dyDescent="0.2">
      <c r="A4" s="59"/>
      <c r="B4" s="8"/>
      <c r="C4" s="33">
        <v>105</v>
      </c>
      <c r="D4" s="9">
        <v>42</v>
      </c>
      <c r="E4" s="33">
        <v>0</v>
      </c>
      <c r="F4" s="9">
        <v>0</v>
      </c>
      <c r="G4" s="9">
        <v>41</v>
      </c>
      <c r="H4" s="9">
        <v>0</v>
      </c>
      <c r="I4" s="9">
        <v>0</v>
      </c>
      <c r="J4" s="109" t="s">
        <v>15</v>
      </c>
      <c r="K4" s="33">
        <v>275</v>
      </c>
      <c r="L4" s="9">
        <v>0</v>
      </c>
      <c r="M4" s="10">
        <v>0</v>
      </c>
      <c r="N4" s="11"/>
      <c r="O4" s="1"/>
      <c r="P4" s="12"/>
      <c r="Q4" s="33">
        <v>3849</v>
      </c>
      <c r="R4" s="77">
        <v>36</v>
      </c>
      <c r="S4" s="33">
        <v>107</v>
      </c>
      <c r="T4" s="9">
        <v>3</v>
      </c>
      <c r="U4" s="9">
        <v>9</v>
      </c>
      <c r="V4" s="9">
        <v>3</v>
      </c>
      <c r="W4" s="9">
        <v>3</v>
      </c>
      <c r="X4" s="121" t="s">
        <v>232</v>
      </c>
      <c r="Y4" s="34">
        <v>181</v>
      </c>
      <c r="Z4" s="9">
        <v>543</v>
      </c>
      <c r="AA4" s="10">
        <v>0.15083333333333335</v>
      </c>
      <c r="AB4" s="11"/>
      <c r="AD4" s="12"/>
      <c r="AE4" s="33">
        <v>12271</v>
      </c>
      <c r="AF4" s="9">
        <v>53</v>
      </c>
      <c r="AG4" s="33">
        <v>363</v>
      </c>
      <c r="AH4" s="9">
        <v>3</v>
      </c>
      <c r="AI4" s="9">
        <v>14</v>
      </c>
      <c r="AJ4" s="9">
        <v>2</v>
      </c>
      <c r="AK4" s="9">
        <v>5</v>
      </c>
      <c r="AL4" s="121" t="s">
        <v>219</v>
      </c>
      <c r="AM4" s="34">
        <v>748</v>
      </c>
      <c r="AN4" s="9">
        <v>1496</v>
      </c>
      <c r="AO4" s="10">
        <v>0.28226415094339624</v>
      </c>
      <c r="AP4" s="11"/>
      <c r="AR4" s="12"/>
      <c r="AS4" s="33">
        <v>11230</v>
      </c>
      <c r="AT4" s="77">
        <v>5</v>
      </c>
      <c r="AU4" s="33">
        <v>561</v>
      </c>
      <c r="AV4" s="9">
        <v>1</v>
      </c>
      <c r="AW4" s="9">
        <v>9</v>
      </c>
      <c r="AX4" s="9">
        <v>1</v>
      </c>
      <c r="AY4" s="9">
        <v>0</v>
      </c>
      <c r="AZ4" s="113" t="s">
        <v>272</v>
      </c>
      <c r="BA4" s="34">
        <v>170</v>
      </c>
      <c r="BB4" s="9">
        <v>170</v>
      </c>
      <c r="BC4" s="10">
        <v>0.34</v>
      </c>
      <c r="BD4" s="11"/>
      <c r="BF4" s="96">
        <f>IF($A7="","",$A7)</f>
        <v>46164</v>
      </c>
      <c r="BG4" s="13">
        <v>8130</v>
      </c>
      <c r="BH4" s="9">
        <f t="shared" ref="BH4" si="0">IF(BG4="","",BG4-BG3)</f>
        <v>176</v>
      </c>
      <c r="BI4" s="9">
        <v>91</v>
      </c>
      <c r="BJ4" s="9">
        <f t="shared" ref="BJ4" si="1">IF(BI4="","",BI4-BI3)</f>
        <v>2</v>
      </c>
      <c r="BK4" s="9">
        <v>28</v>
      </c>
      <c r="BL4" s="9">
        <f t="shared" ref="BL4" si="2">IF(BK4="","",BK3+BM3-BK4)</f>
        <v>3</v>
      </c>
      <c r="BM4" s="9">
        <v>0</v>
      </c>
      <c r="BN4" s="126" t="str">
        <f t="shared" ref="BN4" si="3">IF(BG4="","",BN3)</f>
        <v>ボンボンドロップシール</v>
      </c>
      <c r="BO4" s="33">
        <f t="shared" ref="BO4" si="4">IF(BG4="","",BO3)</f>
        <v>1500</v>
      </c>
      <c r="BP4" s="9">
        <f t="shared" ref="BP4" si="5">IF(BO4="","",BL4*BO4)</f>
        <v>4500</v>
      </c>
      <c r="BQ4" s="10">
        <f t="shared" ref="BQ4" si="6">IF(BP4="","",BP4/(BH4*100))</f>
        <v>0.25568181818181818</v>
      </c>
      <c r="BR4" s="91"/>
    </row>
    <row r="5" spans="1:70" x14ac:dyDescent="0.2">
      <c r="A5" s="12"/>
      <c r="B5" s="8"/>
      <c r="C5" s="33">
        <v>222</v>
      </c>
      <c r="D5" s="77">
        <v>102</v>
      </c>
      <c r="E5" s="33">
        <v>2</v>
      </c>
      <c r="F5" s="9">
        <v>1</v>
      </c>
      <c r="G5" s="9">
        <v>2</v>
      </c>
      <c r="H5" s="9">
        <v>1</v>
      </c>
      <c r="I5" s="9">
        <v>1</v>
      </c>
      <c r="J5" s="110" t="s">
        <v>247</v>
      </c>
      <c r="K5" s="34">
        <v>0</v>
      </c>
      <c r="L5" s="9">
        <v>0</v>
      </c>
      <c r="M5" s="10">
        <v>0</v>
      </c>
      <c r="N5" s="11"/>
      <c r="O5" s="1"/>
      <c r="P5" s="12"/>
      <c r="Q5" s="33">
        <v>5038</v>
      </c>
      <c r="R5" s="77">
        <v>86</v>
      </c>
      <c r="S5" s="33">
        <v>160</v>
      </c>
      <c r="T5" s="9">
        <v>4</v>
      </c>
      <c r="U5" s="9">
        <v>15</v>
      </c>
      <c r="V5" s="9">
        <v>4</v>
      </c>
      <c r="W5" s="9">
        <v>3</v>
      </c>
      <c r="X5" s="121" t="s">
        <v>239</v>
      </c>
      <c r="Y5" s="34">
        <v>200</v>
      </c>
      <c r="Z5" s="9">
        <v>800</v>
      </c>
      <c r="AA5" s="10">
        <v>9.3023255813953487E-2</v>
      </c>
      <c r="AB5" s="11"/>
      <c r="AD5" s="12"/>
      <c r="AE5" s="33">
        <v>15309</v>
      </c>
      <c r="AF5" s="77">
        <v>29</v>
      </c>
      <c r="AG5" s="33">
        <v>799</v>
      </c>
      <c r="AH5" s="9">
        <v>6</v>
      </c>
      <c r="AI5" s="9">
        <v>14</v>
      </c>
      <c r="AJ5" s="9">
        <v>7</v>
      </c>
      <c r="AK5" s="9">
        <v>6</v>
      </c>
      <c r="AL5" s="121" t="s">
        <v>225</v>
      </c>
      <c r="AM5" s="34">
        <v>300</v>
      </c>
      <c r="AN5" s="9">
        <v>2100</v>
      </c>
      <c r="AO5" s="10">
        <v>0.72413793103448276</v>
      </c>
      <c r="AP5" s="11"/>
      <c r="AR5" s="12"/>
      <c r="AS5" s="33">
        <v>13420</v>
      </c>
      <c r="AT5" s="9">
        <v>37</v>
      </c>
      <c r="AU5" s="33">
        <v>779</v>
      </c>
      <c r="AV5" s="9">
        <v>1</v>
      </c>
      <c r="AW5" s="9">
        <v>69</v>
      </c>
      <c r="AX5" s="9">
        <v>1</v>
      </c>
      <c r="AY5" s="9">
        <v>0</v>
      </c>
      <c r="AZ5" s="113" t="s">
        <v>194</v>
      </c>
      <c r="BA5" s="9">
        <v>99</v>
      </c>
      <c r="BB5" s="9">
        <v>99</v>
      </c>
      <c r="BC5" s="10">
        <v>2.6756756756756758E-2</v>
      </c>
      <c r="BD5" s="11"/>
      <c r="BF5" s="96">
        <f>IF($A11="","",$A11)</f>
        <v>46167</v>
      </c>
      <c r="BG5" s="13">
        <v>8238</v>
      </c>
      <c r="BH5" s="9">
        <f t="shared" ref="BH4:BH16" si="7">IF(BG5="","",BG5-BG4)</f>
        <v>108</v>
      </c>
      <c r="BI5" s="9">
        <v>91</v>
      </c>
      <c r="BJ5" s="9">
        <f t="shared" ref="BJ4:BJ16" si="8">IF(BI5="","",BI5-BI4)</f>
        <v>0</v>
      </c>
      <c r="BK5" s="33">
        <v>28</v>
      </c>
      <c r="BL5" s="9">
        <f t="shared" ref="BL4:BL16" si="9">IF(BK5="","",BK4+BM4-BK5)</f>
        <v>0</v>
      </c>
      <c r="BM5" s="33">
        <v>0</v>
      </c>
      <c r="BN5" s="126" t="str">
        <f t="shared" ref="BN4:BN42" si="10">IF(BG5="","",BN4)</f>
        <v>ボンボンドロップシール</v>
      </c>
      <c r="BO5" s="33">
        <f t="shared" ref="BO4:BO16" si="11">IF(BG5="","",BO4)</f>
        <v>1500</v>
      </c>
      <c r="BP5" s="9">
        <f t="shared" ref="BP4:BP16" si="12">IF(BO5="","",BL5*BO5)</f>
        <v>0</v>
      </c>
      <c r="BQ5" s="10">
        <f t="shared" ref="BQ4:BQ15" si="13">IF(BP5="","",BP5/(BH5*100))</f>
        <v>0</v>
      </c>
      <c r="BR5" s="91"/>
    </row>
    <row r="6" spans="1:70" ht="15" customHeight="1" thickBot="1" x14ac:dyDescent="0.25">
      <c r="A6" s="16"/>
      <c r="B6" s="62"/>
      <c r="C6" s="36">
        <v>96</v>
      </c>
      <c r="D6" s="36">
        <v>63</v>
      </c>
      <c r="E6" s="36">
        <v>1</v>
      </c>
      <c r="F6" s="17">
        <v>1</v>
      </c>
      <c r="G6" s="17">
        <v>14</v>
      </c>
      <c r="H6" s="17">
        <v>1</v>
      </c>
      <c r="I6" s="17">
        <v>0</v>
      </c>
      <c r="J6" s="111" t="s">
        <v>138</v>
      </c>
      <c r="K6" s="17">
        <v>250</v>
      </c>
      <c r="L6" s="17">
        <v>250</v>
      </c>
      <c r="M6" s="18">
        <v>3.968253968253968E-2</v>
      </c>
      <c r="N6" s="11"/>
      <c r="O6" s="1"/>
      <c r="P6" s="16"/>
      <c r="Q6" s="36">
        <v>5803</v>
      </c>
      <c r="R6" s="36">
        <v>29</v>
      </c>
      <c r="S6" s="36">
        <v>167</v>
      </c>
      <c r="T6" s="17">
        <v>0</v>
      </c>
      <c r="U6" s="17">
        <v>10</v>
      </c>
      <c r="V6" s="17">
        <v>0</v>
      </c>
      <c r="W6" s="17">
        <v>0</v>
      </c>
      <c r="X6" s="122" t="s">
        <v>200</v>
      </c>
      <c r="Y6" s="17">
        <v>648</v>
      </c>
      <c r="Z6" s="17">
        <v>0</v>
      </c>
      <c r="AA6" s="18">
        <v>0</v>
      </c>
      <c r="AB6" s="11" t="s">
        <v>273</v>
      </c>
      <c r="AD6" s="16"/>
      <c r="AE6" s="36">
        <v>16185</v>
      </c>
      <c r="AF6" s="36">
        <v>17</v>
      </c>
      <c r="AG6" s="36">
        <v>939</v>
      </c>
      <c r="AH6" s="17">
        <v>1</v>
      </c>
      <c r="AI6" s="17">
        <v>12</v>
      </c>
      <c r="AJ6" s="17">
        <v>1</v>
      </c>
      <c r="AK6" s="17">
        <v>0</v>
      </c>
      <c r="AL6" s="122" t="s">
        <v>271</v>
      </c>
      <c r="AM6" s="17">
        <v>350</v>
      </c>
      <c r="AN6" s="17">
        <v>350</v>
      </c>
      <c r="AO6" s="18">
        <v>0.20588235294117646</v>
      </c>
      <c r="AP6" s="11"/>
      <c r="AR6" s="16"/>
      <c r="AS6" s="36">
        <v>11249</v>
      </c>
      <c r="AT6" s="132">
        <v>31</v>
      </c>
      <c r="AU6" s="36">
        <v>819</v>
      </c>
      <c r="AV6" s="17">
        <v>1</v>
      </c>
      <c r="AW6" s="17">
        <v>7</v>
      </c>
      <c r="AX6" s="17">
        <v>1</v>
      </c>
      <c r="AY6" s="17">
        <v>1</v>
      </c>
      <c r="AZ6" s="114" t="s">
        <v>266</v>
      </c>
      <c r="BA6" s="37">
        <v>640</v>
      </c>
      <c r="BB6" s="17">
        <v>640</v>
      </c>
      <c r="BC6" s="18">
        <v>0.20645161290322581</v>
      </c>
      <c r="BD6" s="11"/>
      <c r="BF6" s="96" t="str">
        <f>IF($A15="","",$A15)</f>
        <v/>
      </c>
      <c r="BG6" s="13"/>
      <c r="BH6" s="9" t="str">
        <f t="shared" si="7"/>
        <v/>
      </c>
      <c r="BI6" s="9"/>
      <c r="BJ6" s="9" t="str">
        <f t="shared" si="8"/>
        <v/>
      </c>
      <c r="BK6" s="33"/>
      <c r="BL6" s="9" t="str">
        <f t="shared" si="9"/>
        <v/>
      </c>
      <c r="BM6" s="33"/>
      <c r="BN6" s="126" t="str">
        <f t="shared" si="10"/>
        <v/>
      </c>
      <c r="BO6" s="33" t="str">
        <f t="shared" si="11"/>
        <v/>
      </c>
      <c r="BP6" s="9" t="str">
        <f t="shared" si="12"/>
        <v/>
      </c>
      <c r="BQ6" s="10" t="str">
        <f t="shared" si="13"/>
        <v/>
      </c>
      <c r="BR6" s="11"/>
    </row>
    <row r="7" spans="1:70" ht="15" customHeight="1" thickTop="1" x14ac:dyDescent="0.2">
      <c r="A7" s="71">
        <v>46164</v>
      </c>
      <c r="B7" s="61">
        <f>SUM(D7:D10)+SUM(R7:R10)+SUM(AF7:AF10)+SUM(AT7:AT10)+SUM(BH4)</f>
        <v>1195</v>
      </c>
      <c r="C7" s="33">
        <v>121</v>
      </c>
      <c r="D7" s="33">
        <f t="shared" ref="D7:D10" si="14">IF(C7="","",C7-C3)</f>
        <v>30</v>
      </c>
      <c r="E7" s="33">
        <v>998</v>
      </c>
      <c r="F7" s="20">
        <f t="shared" ref="F7:F10" si="15">IF(E7="","",E7-E3)</f>
        <v>2</v>
      </c>
      <c r="G7" s="33">
        <v>4</v>
      </c>
      <c r="H7" s="33">
        <f t="shared" ref="H7:H10" si="16">IF(G7="","",G3+I3-G7)</f>
        <v>2</v>
      </c>
      <c r="I7" s="43">
        <v>0</v>
      </c>
      <c r="J7" s="112" t="str">
        <f t="shared" ref="J7:J10" si="17">IF(C7="","",J3)</f>
        <v>モンチッチマスコット</v>
      </c>
      <c r="K7" s="40">
        <f t="shared" ref="K7:K10" si="18">IF(D7="","",K3)</f>
        <v>572</v>
      </c>
      <c r="L7" s="20">
        <f t="shared" ref="L7:L10" si="19">IF(G7="","",H7*K7)</f>
        <v>1144</v>
      </c>
      <c r="M7" s="21">
        <f t="shared" ref="M7:M10" si="20">IF(H7="","",L7/(D7*100))</f>
        <v>0.38133333333333336</v>
      </c>
      <c r="N7" s="11" t="s">
        <v>245</v>
      </c>
      <c r="P7" s="76">
        <f>IF($A7="","",$A7)</f>
        <v>46164</v>
      </c>
      <c r="Q7" s="33">
        <v>4026</v>
      </c>
      <c r="R7" s="33">
        <f t="shared" ref="R7:R41" si="21">IF(Q7="","",Q7-Q3)</f>
        <v>18</v>
      </c>
      <c r="S7" s="33">
        <v>74</v>
      </c>
      <c r="T7" s="20">
        <f t="shared" ref="T7:T42" si="22">IF(S7="","",S7-S3)</f>
        <v>1</v>
      </c>
      <c r="U7" s="33">
        <v>4</v>
      </c>
      <c r="V7" s="33">
        <f t="shared" ref="V7:V42" si="23">IF(U7="","",U3+W3-U7)</f>
        <v>0</v>
      </c>
      <c r="W7" s="43">
        <v>0</v>
      </c>
      <c r="X7" s="112" t="str">
        <f t="shared" ref="X7:X42" si="24">IF(Q7="","",X3)</f>
        <v>マリオカートマスコット</v>
      </c>
      <c r="Y7" s="40">
        <f t="shared" ref="Y7:Y42" si="25">IF(R7="","",Y3)</f>
        <v>792</v>
      </c>
      <c r="Z7" s="20">
        <f t="shared" ref="Z7:Z42" si="26">IF(U7="","",V7*Y7)</f>
        <v>0</v>
      </c>
      <c r="AA7" s="21">
        <f t="shared" ref="AA7:AA42" si="27">IF(V7="","",Z7/(R7*100))</f>
        <v>0</v>
      </c>
      <c r="AB7" s="11"/>
      <c r="AD7" s="76">
        <f>IF($A7="","",$A7)</f>
        <v>46164</v>
      </c>
      <c r="AE7" s="33">
        <v>15352</v>
      </c>
      <c r="AF7" s="33">
        <f t="shared" ref="AF7:AF41" si="28">IF(AE7="","",AE7-AE3)</f>
        <v>215</v>
      </c>
      <c r="AG7" s="33">
        <v>550</v>
      </c>
      <c r="AH7" s="20">
        <f t="shared" ref="AH7:AH42" si="29">IF(AG7="","",AG7-AG3)</f>
        <v>2</v>
      </c>
      <c r="AI7" s="33">
        <v>1</v>
      </c>
      <c r="AJ7" s="33">
        <f t="shared" ref="AJ7:AJ42" si="30">IF(AI7="","",AI3+AK3-AI7)</f>
        <v>0</v>
      </c>
      <c r="AK7" s="43">
        <v>0</v>
      </c>
      <c r="AL7" s="112" t="str">
        <f t="shared" ref="AL7:AL42" si="31">IF(AE7="","",AL3)</f>
        <v>ジャグラーDXボタン</v>
      </c>
      <c r="AM7" s="40">
        <f t="shared" ref="AM7:AM42" si="32">IF(AF7="","",AM3)</f>
        <v>1100</v>
      </c>
      <c r="AN7" s="20">
        <f t="shared" ref="AN7:AN42" si="33">IF(AI7="","",AJ7*AM7)</f>
        <v>0</v>
      </c>
      <c r="AO7" s="21">
        <f t="shared" ref="AO7:AO42" si="34">IF(AJ7="","",AN7/(AF7*100))</f>
        <v>0</v>
      </c>
      <c r="AP7" s="11"/>
      <c r="AR7" s="76">
        <f>IF($A7="","",$A7)</f>
        <v>46164</v>
      </c>
      <c r="AS7" s="33">
        <v>10272</v>
      </c>
      <c r="AT7" s="33">
        <f t="shared" ref="AT7:AT41" si="35">IF(AS7="","",AS7-AS3)</f>
        <v>112</v>
      </c>
      <c r="AU7" s="33">
        <v>549</v>
      </c>
      <c r="AV7" s="20">
        <f t="shared" ref="AV7:AV42" si="36">IF(AU7="","",AU7-AU3)</f>
        <v>4</v>
      </c>
      <c r="AW7" s="33">
        <v>4</v>
      </c>
      <c r="AX7" s="33">
        <f t="shared" ref="AX7:AX42" si="37">IF(AW7="","",AW3+AY3-AW7)</f>
        <v>4</v>
      </c>
      <c r="AY7" s="43">
        <v>0</v>
      </c>
      <c r="AZ7" s="112" t="str">
        <f t="shared" ref="AZ7:AZ42" si="38">IF(AS7="","",AZ3)</f>
        <v>サンリオカラビナ付きミニファン</v>
      </c>
      <c r="BA7" s="40">
        <f t="shared" ref="BA7:BA42" si="39">IF(AT7="","",BA3)</f>
        <v>1100</v>
      </c>
      <c r="BB7" s="20">
        <f t="shared" ref="BB7:BB42" si="40">IF(AW7="","",AX7*BA7)</f>
        <v>4400</v>
      </c>
      <c r="BC7" s="21">
        <f t="shared" ref="BC7:BC42" si="41">IF(AX7="","",BB7/(AT7*100))</f>
        <v>0.39285714285714285</v>
      </c>
      <c r="BD7" s="11"/>
      <c r="BF7" s="96" t="str">
        <f>IF($A19="","",$A19)</f>
        <v/>
      </c>
      <c r="BG7" s="13"/>
      <c r="BH7" s="9" t="str">
        <f t="shared" si="7"/>
        <v/>
      </c>
      <c r="BI7" s="9"/>
      <c r="BJ7" s="9" t="str">
        <f t="shared" si="8"/>
        <v/>
      </c>
      <c r="BK7" s="33"/>
      <c r="BL7" s="9" t="str">
        <f t="shared" si="9"/>
        <v/>
      </c>
      <c r="BM7" s="33"/>
      <c r="BN7" s="126" t="str">
        <f t="shared" si="10"/>
        <v/>
      </c>
      <c r="BO7" s="33" t="str">
        <f t="shared" si="11"/>
        <v/>
      </c>
      <c r="BP7" s="9" t="str">
        <f t="shared" si="12"/>
        <v/>
      </c>
      <c r="BQ7" s="10" t="str">
        <f t="shared" si="13"/>
        <v/>
      </c>
      <c r="BR7" s="11"/>
    </row>
    <row r="8" spans="1:70" x14ac:dyDescent="0.2">
      <c r="A8" s="72"/>
      <c r="B8" s="63"/>
      <c r="C8" s="9">
        <v>250</v>
      </c>
      <c r="D8" s="9">
        <f t="shared" si="14"/>
        <v>145</v>
      </c>
      <c r="E8" s="9">
        <v>2</v>
      </c>
      <c r="F8" s="9">
        <f t="shared" si="15"/>
        <v>2</v>
      </c>
      <c r="G8" s="9">
        <v>39</v>
      </c>
      <c r="H8" s="9">
        <f t="shared" si="16"/>
        <v>2</v>
      </c>
      <c r="I8" s="13">
        <v>10</v>
      </c>
      <c r="J8" s="113" t="str">
        <f t="shared" si="17"/>
        <v>電ブル</v>
      </c>
      <c r="K8" s="34">
        <f t="shared" si="18"/>
        <v>275</v>
      </c>
      <c r="L8" s="9">
        <f t="shared" si="19"/>
        <v>550</v>
      </c>
      <c r="M8" s="10">
        <f t="shared" si="20"/>
        <v>3.793103448275862E-2</v>
      </c>
      <c r="N8" s="11"/>
      <c r="P8" s="72"/>
      <c r="Q8" s="9">
        <v>3874</v>
      </c>
      <c r="R8" s="9">
        <f t="shared" si="21"/>
        <v>25</v>
      </c>
      <c r="S8" s="9">
        <v>107</v>
      </c>
      <c r="T8" s="9">
        <f t="shared" si="22"/>
        <v>0</v>
      </c>
      <c r="U8" s="9">
        <v>12</v>
      </c>
      <c r="V8" s="9">
        <f t="shared" si="23"/>
        <v>0</v>
      </c>
      <c r="W8" s="13">
        <v>0</v>
      </c>
      <c r="X8" s="113" t="str">
        <f t="shared" si="24"/>
        <v>パンケーキスクイーズ</v>
      </c>
      <c r="Y8" s="34">
        <f t="shared" si="25"/>
        <v>181</v>
      </c>
      <c r="Z8" s="9">
        <f t="shared" si="26"/>
        <v>0</v>
      </c>
      <c r="AA8" s="10">
        <f t="shared" si="27"/>
        <v>0</v>
      </c>
      <c r="AB8" s="11"/>
      <c r="AD8" s="72"/>
      <c r="AE8" s="9">
        <v>12319</v>
      </c>
      <c r="AF8" s="9">
        <f t="shared" si="28"/>
        <v>48</v>
      </c>
      <c r="AG8" s="9">
        <v>364</v>
      </c>
      <c r="AH8" s="9">
        <f t="shared" si="29"/>
        <v>1</v>
      </c>
      <c r="AI8" s="9">
        <v>18</v>
      </c>
      <c r="AJ8" s="9">
        <f t="shared" si="30"/>
        <v>1</v>
      </c>
      <c r="AK8" s="13">
        <v>0</v>
      </c>
      <c r="AL8" s="113" t="str">
        <f t="shared" si="31"/>
        <v>トイストーリー・ディズニーベアブリック</v>
      </c>
      <c r="AM8" s="34">
        <f t="shared" si="32"/>
        <v>748</v>
      </c>
      <c r="AN8" s="9">
        <f t="shared" si="33"/>
        <v>748</v>
      </c>
      <c r="AO8" s="10">
        <f t="shared" si="34"/>
        <v>0.15583333333333332</v>
      </c>
      <c r="AP8" s="11"/>
      <c r="AR8" s="72"/>
      <c r="AS8" s="9">
        <v>11256</v>
      </c>
      <c r="AT8" s="9">
        <f t="shared" si="35"/>
        <v>26</v>
      </c>
      <c r="AU8" s="9">
        <v>561</v>
      </c>
      <c r="AV8" s="9">
        <f t="shared" si="36"/>
        <v>0</v>
      </c>
      <c r="AW8" s="9">
        <v>9</v>
      </c>
      <c r="AX8" s="9">
        <f t="shared" si="37"/>
        <v>0</v>
      </c>
      <c r="AY8" s="13">
        <v>0</v>
      </c>
      <c r="AZ8" s="113" t="str">
        <f t="shared" si="38"/>
        <v>ポケモンファスナーマスコット</v>
      </c>
      <c r="BA8" s="34">
        <f t="shared" si="39"/>
        <v>170</v>
      </c>
      <c r="BB8" s="9">
        <f t="shared" si="40"/>
        <v>0</v>
      </c>
      <c r="BC8" s="10">
        <f t="shared" si="41"/>
        <v>0</v>
      </c>
      <c r="BD8" s="11"/>
      <c r="BF8" s="96" t="str">
        <f>IF($A23="","",$A23)</f>
        <v/>
      </c>
      <c r="BG8" s="13"/>
      <c r="BH8" s="9" t="str">
        <f t="shared" si="7"/>
        <v/>
      </c>
      <c r="BI8" s="9"/>
      <c r="BJ8" s="9" t="str">
        <f t="shared" si="8"/>
        <v/>
      </c>
      <c r="BK8" s="33"/>
      <c r="BL8" s="9" t="str">
        <f t="shared" si="9"/>
        <v/>
      </c>
      <c r="BM8" s="33"/>
      <c r="BN8" s="126" t="str">
        <f t="shared" si="10"/>
        <v/>
      </c>
      <c r="BO8" s="33" t="str">
        <f t="shared" si="11"/>
        <v/>
      </c>
      <c r="BP8" s="9" t="str">
        <f t="shared" si="12"/>
        <v/>
      </c>
      <c r="BQ8" s="10" t="str">
        <f t="shared" si="13"/>
        <v/>
      </c>
      <c r="BR8" s="11"/>
    </row>
    <row r="9" spans="1:70" x14ac:dyDescent="0.2">
      <c r="A9" s="72"/>
      <c r="B9" s="63"/>
      <c r="C9" s="23">
        <v>404</v>
      </c>
      <c r="D9" s="9">
        <f t="shared" si="14"/>
        <v>182</v>
      </c>
      <c r="E9" s="9">
        <v>8</v>
      </c>
      <c r="F9" s="9">
        <f t="shared" si="15"/>
        <v>6</v>
      </c>
      <c r="G9" s="23">
        <v>0</v>
      </c>
      <c r="H9" s="9">
        <f t="shared" si="16"/>
        <v>3</v>
      </c>
      <c r="I9" s="30">
        <v>3</v>
      </c>
      <c r="J9" s="113" t="str">
        <f t="shared" si="17"/>
        <v>たまごっちカスタムキーリング</v>
      </c>
      <c r="K9" s="9">
        <f t="shared" si="18"/>
        <v>0</v>
      </c>
      <c r="L9" s="9">
        <f t="shared" si="19"/>
        <v>0</v>
      </c>
      <c r="M9" s="10">
        <f t="shared" si="20"/>
        <v>0</v>
      </c>
      <c r="N9" s="11"/>
      <c r="P9" s="72"/>
      <c r="Q9" s="23">
        <v>5058</v>
      </c>
      <c r="R9" s="9">
        <f t="shared" si="21"/>
        <v>20</v>
      </c>
      <c r="S9" s="9">
        <v>161</v>
      </c>
      <c r="T9" s="9">
        <f t="shared" si="22"/>
        <v>1</v>
      </c>
      <c r="U9" s="23">
        <v>17</v>
      </c>
      <c r="V9" s="9">
        <f t="shared" si="23"/>
        <v>1</v>
      </c>
      <c r="W9" s="30">
        <v>0</v>
      </c>
      <c r="X9" s="113" t="str">
        <f t="shared" si="24"/>
        <v>フルーツスクイーズ</v>
      </c>
      <c r="Y9" s="9">
        <f t="shared" si="25"/>
        <v>200</v>
      </c>
      <c r="Z9" s="9">
        <f t="shared" si="26"/>
        <v>200</v>
      </c>
      <c r="AA9" s="10">
        <f t="shared" si="27"/>
        <v>0.1</v>
      </c>
      <c r="AB9" s="11"/>
      <c r="AD9" s="72"/>
      <c r="AE9" s="23">
        <v>15352</v>
      </c>
      <c r="AF9" s="9">
        <f t="shared" si="28"/>
        <v>43</v>
      </c>
      <c r="AG9" s="9">
        <v>802</v>
      </c>
      <c r="AH9" s="9">
        <f t="shared" si="29"/>
        <v>3</v>
      </c>
      <c r="AI9" s="23">
        <v>16</v>
      </c>
      <c r="AJ9" s="9">
        <f t="shared" si="30"/>
        <v>4</v>
      </c>
      <c r="AK9" s="30">
        <v>4</v>
      </c>
      <c r="AL9" s="113" t="str">
        <f t="shared" si="31"/>
        <v>かえるがま口</v>
      </c>
      <c r="AM9" s="9">
        <f t="shared" si="32"/>
        <v>300</v>
      </c>
      <c r="AN9" s="9">
        <f t="shared" si="33"/>
        <v>1200</v>
      </c>
      <c r="AO9" s="10">
        <f t="shared" si="34"/>
        <v>0.27906976744186046</v>
      </c>
      <c r="AP9" s="11"/>
      <c r="AR9" s="72"/>
      <c r="AS9" s="23">
        <v>13432</v>
      </c>
      <c r="AT9" s="9">
        <f t="shared" si="35"/>
        <v>12</v>
      </c>
      <c r="AU9" s="9">
        <v>779</v>
      </c>
      <c r="AV9" s="9">
        <f t="shared" si="36"/>
        <v>0</v>
      </c>
      <c r="AW9" s="23">
        <v>69</v>
      </c>
      <c r="AX9" s="9">
        <f t="shared" si="37"/>
        <v>0</v>
      </c>
      <c r="AY9" s="30">
        <v>0</v>
      </c>
      <c r="AZ9" s="113" t="str">
        <f t="shared" si="38"/>
        <v>ふわもちミニスクイーズ</v>
      </c>
      <c r="BA9" s="9">
        <f t="shared" si="39"/>
        <v>99</v>
      </c>
      <c r="BB9" s="9">
        <f t="shared" si="40"/>
        <v>0</v>
      </c>
      <c r="BC9" s="10">
        <f t="shared" si="41"/>
        <v>0</v>
      </c>
      <c r="BD9" s="11"/>
      <c r="BF9" s="96" t="str">
        <f>IF($A27="","",$A27)</f>
        <v/>
      </c>
      <c r="BG9" s="13"/>
      <c r="BH9" s="9" t="str">
        <f t="shared" si="7"/>
        <v/>
      </c>
      <c r="BI9" s="9"/>
      <c r="BJ9" s="9" t="str">
        <f t="shared" si="8"/>
        <v/>
      </c>
      <c r="BK9" s="33"/>
      <c r="BL9" s="9" t="str">
        <f t="shared" si="9"/>
        <v/>
      </c>
      <c r="BM9" s="33"/>
      <c r="BN9" s="126" t="str">
        <f t="shared" si="10"/>
        <v/>
      </c>
      <c r="BO9" s="33" t="str">
        <f t="shared" si="11"/>
        <v/>
      </c>
      <c r="BP9" s="9" t="str">
        <f t="shared" si="12"/>
        <v/>
      </c>
      <c r="BQ9" s="10" t="str">
        <f t="shared" si="13"/>
        <v/>
      </c>
      <c r="BR9" s="11"/>
    </row>
    <row r="10" spans="1:70" ht="15" customHeight="1" thickBot="1" x14ac:dyDescent="0.25">
      <c r="A10" s="75"/>
      <c r="B10" s="62"/>
      <c r="C10" s="17">
        <v>135</v>
      </c>
      <c r="D10" s="37">
        <f>IF(C10="","",C10-C6)</f>
        <v>39</v>
      </c>
      <c r="E10" s="17">
        <v>3</v>
      </c>
      <c r="F10" s="17">
        <f t="shared" si="15"/>
        <v>2</v>
      </c>
      <c r="G10" s="17">
        <v>12</v>
      </c>
      <c r="H10" s="17">
        <f t="shared" si="16"/>
        <v>2</v>
      </c>
      <c r="I10" s="29"/>
      <c r="J10" s="114" t="str">
        <f t="shared" si="17"/>
        <v>バタースクイーズ</v>
      </c>
      <c r="K10" s="37">
        <f t="shared" si="18"/>
        <v>250</v>
      </c>
      <c r="L10" s="17">
        <f t="shared" si="19"/>
        <v>500</v>
      </c>
      <c r="M10" s="18">
        <f t="shared" si="20"/>
        <v>0.12820512820512819</v>
      </c>
      <c r="N10" s="11"/>
      <c r="P10" s="75"/>
      <c r="Q10" s="17">
        <v>5868</v>
      </c>
      <c r="R10" s="37">
        <f t="shared" si="21"/>
        <v>65</v>
      </c>
      <c r="S10" s="17">
        <v>167</v>
      </c>
      <c r="T10" s="17">
        <f t="shared" si="22"/>
        <v>0</v>
      </c>
      <c r="U10" s="17">
        <v>9</v>
      </c>
      <c r="V10" s="17">
        <f t="shared" si="23"/>
        <v>1</v>
      </c>
      <c r="W10" s="29">
        <v>0</v>
      </c>
      <c r="X10" s="114" t="str">
        <f t="shared" si="24"/>
        <v>たまごっちブロックシール</v>
      </c>
      <c r="Y10" s="37">
        <f t="shared" si="25"/>
        <v>648</v>
      </c>
      <c r="Z10" s="17">
        <f t="shared" si="26"/>
        <v>648</v>
      </c>
      <c r="AA10" s="18">
        <f t="shared" si="27"/>
        <v>9.9692307692307691E-2</v>
      </c>
      <c r="AB10" s="11"/>
      <c r="AD10" s="75"/>
      <c r="AE10" s="17">
        <v>16205</v>
      </c>
      <c r="AF10" s="37">
        <f t="shared" si="28"/>
        <v>20</v>
      </c>
      <c r="AG10" s="17">
        <v>939</v>
      </c>
      <c r="AH10" s="17">
        <f t="shared" si="29"/>
        <v>0</v>
      </c>
      <c r="AI10" s="17">
        <v>12</v>
      </c>
      <c r="AJ10" s="17">
        <f t="shared" si="30"/>
        <v>0</v>
      </c>
      <c r="AK10" s="29">
        <v>0</v>
      </c>
      <c r="AL10" s="114" t="str">
        <f t="shared" si="31"/>
        <v>サミュエルフェイス</v>
      </c>
      <c r="AM10" s="37">
        <f t="shared" si="32"/>
        <v>350</v>
      </c>
      <c r="AN10" s="17">
        <f t="shared" si="33"/>
        <v>0</v>
      </c>
      <c r="AO10" s="18">
        <f t="shared" si="34"/>
        <v>0</v>
      </c>
      <c r="AP10" s="11"/>
      <c r="AR10" s="75"/>
      <c r="AS10" s="17">
        <v>11268</v>
      </c>
      <c r="AT10" s="37">
        <f t="shared" si="35"/>
        <v>19</v>
      </c>
      <c r="AU10" s="17">
        <v>819</v>
      </c>
      <c r="AV10" s="17">
        <f t="shared" si="36"/>
        <v>0</v>
      </c>
      <c r="AW10" s="17">
        <v>8</v>
      </c>
      <c r="AX10" s="17">
        <f t="shared" si="37"/>
        <v>0</v>
      </c>
      <c r="AY10" s="29">
        <v>0</v>
      </c>
      <c r="AZ10" s="114" t="str">
        <f t="shared" si="38"/>
        <v>キティフェイスMC</v>
      </c>
      <c r="BA10" s="37">
        <f t="shared" si="39"/>
        <v>640</v>
      </c>
      <c r="BB10" s="17">
        <f t="shared" si="40"/>
        <v>0</v>
      </c>
      <c r="BC10" s="18">
        <f t="shared" si="41"/>
        <v>0</v>
      </c>
      <c r="BD10" s="11"/>
      <c r="BF10" s="96" t="str">
        <f>IF($A31="","",$A31)</f>
        <v/>
      </c>
      <c r="BG10" s="13"/>
      <c r="BH10" s="9" t="str">
        <f t="shared" si="7"/>
        <v/>
      </c>
      <c r="BI10" s="9"/>
      <c r="BJ10" s="9" t="str">
        <f t="shared" si="8"/>
        <v/>
      </c>
      <c r="BK10" s="33"/>
      <c r="BL10" s="9" t="str">
        <f t="shared" si="9"/>
        <v/>
      </c>
      <c r="BM10" s="33"/>
      <c r="BN10" s="126" t="str">
        <f t="shared" si="10"/>
        <v/>
      </c>
      <c r="BO10" s="33" t="str">
        <f t="shared" si="11"/>
        <v/>
      </c>
      <c r="BP10" s="9" t="str">
        <f t="shared" si="12"/>
        <v/>
      </c>
      <c r="BQ10" s="10" t="str">
        <f t="shared" si="13"/>
        <v/>
      </c>
      <c r="BR10" s="11"/>
    </row>
    <row r="11" spans="1:70" ht="15" customHeight="1" thickTop="1" x14ac:dyDescent="0.2">
      <c r="A11" s="71">
        <v>46167</v>
      </c>
      <c r="B11" s="61">
        <f>SUM(D11:D14)+SUM(R11:R14)+SUM(AF11:AF14)+SUM(AT11:AT14)+SUM(BH5)</f>
        <v>670</v>
      </c>
      <c r="C11" s="33">
        <v>129</v>
      </c>
      <c r="D11" s="33">
        <f t="shared" ref="D7:D38" si="42">IF(C11="","",C11-C7)</f>
        <v>8</v>
      </c>
      <c r="E11" s="33">
        <v>998</v>
      </c>
      <c r="F11" s="20">
        <f t="shared" ref="F7:F38" si="43">IF(E11="","",E11-E7)</f>
        <v>0</v>
      </c>
      <c r="G11" s="33">
        <v>4</v>
      </c>
      <c r="H11" s="33">
        <f t="shared" ref="H7:H53" si="44">IF(G11="","",G7+I7-G11)</f>
        <v>0</v>
      </c>
      <c r="I11" s="43">
        <v>0</v>
      </c>
      <c r="J11" s="112" t="str">
        <f t="shared" ref="J10:J34" si="45">IF(C11="","",J7)</f>
        <v>モンチッチマスコット</v>
      </c>
      <c r="K11" s="40">
        <f t="shared" ref="K10:K58" si="46">IF(D11="","",K7)</f>
        <v>572</v>
      </c>
      <c r="L11" s="20">
        <f t="shared" ref="L7:L58" si="47">IF(G11="","",H11*K11)</f>
        <v>0</v>
      </c>
      <c r="M11" s="21">
        <f t="shared" ref="M7:M58" si="48">IF(H11="","",L11/(D11*100))</f>
        <v>0</v>
      </c>
      <c r="N11" s="11"/>
      <c r="P11" s="76">
        <f>IF($A11="","",$A11)</f>
        <v>46167</v>
      </c>
      <c r="Q11" s="33">
        <v>4060</v>
      </c>
      <c r="R11" s="33">
        <f t="shared" si="21"/>
        <v>34</v>
      </c>
      <c r="S11" s="33">
        <v>75</v>
      </c>
      <c r="T11" s="20">
        <f t="shared" si="22"/>
        <v>1</v>
      </c>
      <c r="U11" s="33">
        <v>3</v>
      </c>
      <c r="V11" s="33">
        <f t="shared" si="23"/>
        <v>1</v>
      </c>
      <c r="W11" s="43">
        <v>0</v>
      </c>
      <c r="X11" s="112" t="str">
        <f t="shared" si="24"/>
        <v>マリオカートマスコット</v>
      </c>
      <c r="Y11" s="40">
        <f t="shared" si="25"/>
        <v>792</v>
      </c>
      <c r="Z11" s="20">
        <f t="shared" si="26"/>
        <v>792</v>
      </c>
      <c r="AA11" s="21">
        <f t="shared" si="27"/>
        <v>0.23294117647058823</v>
      </c>
      <c r="AB11" s="11"/>
      <c r="AD11" s="76">
        <f>IF($A11="","",$A11)</f>
        <v>46167</v>
      </c>
      <c r="AE11" s="33">
        <v>15386</v>
      </c>
      <c r="AF11" s="33">
        <f t="shared" si="28"/>
        <v>34</v>
      </c>
      <c r="AG11" s="33">
        <v>550</v>
      </c>
      <c r="AH11" s="20">
        <f t="shared" si="29"/>
        <v>0</v>
      </c>
      <c r="AI11" s="33">
        <v>0</v>
      </c>
      <c r="AJ11" s="33">
        <f t="shared" si="30"/>
        <v>1</v>
      </c>
      <c r="AK11" s="43">
        <v>2</v>
      </c>
      <c r="AL11" s="112" t="str">
        <f t="shared" si="31"/>
        <v>ジャグラーDXボタン</v>
      </c>
      <c r="AM11" s="40">
        <f t="shared" si="32"/>
        <v>1100</v>
      </c>
      <c r="AN11" s="20">
        <f t="shared" si="33"/>
        <v>1100</v>
      </c>
      <c r="AO11" s="21">
        <f t="shared" si="34"/>
        <v>0.3235294117647059</v>
      </c>
      <c r="AP11" s="11" t="s">
        <v>274</v>
      </c>
      <c r="AR11" s="76">
        <f>IF($A11="","",$A11)</f>
        <v>46167</v>
      </c>
      <c r="AS11" s="33">
        <v>10317</v>
      </c>
      <c r="AT11" s="33">
        <f t="shared" si="35"/>
        <v>45</v>
      </c>
      <c r="AU11" s="33">
        <v>551</v>
      </c>
      <c r="AV11" s="20">
        <f t="shared" si="36"/>
        <v>2</v>
      </c>
      <c r="AW11" s="33">
        <v>1</v>
      </c>
      <c r="AX11" s="33">
        <f t="shared" si="37"/>
        <v>3</v>
      </c>
      <c r="AY11" s="43">
        <v>6</v>
      </c>
      <c r="AZ11" s="112" t="str">
        <f t="shared" si="38"/>
        <v>サンリオカラビナ付きミニファン</v>
      </c>
      <c r="BA11" s="40">
        <f t="shared" si="39"/>
        <v>1100</v>
      </c>
      <c r="BB11" s="20">
        <f t="shared" si="40"/>
        <v>3300</v>
      </c>
      <c r="BC11" s="21">
        <f t="shared" si="41"/>
        <v>0.73333333333333328</v>
      </c>
      <c r="BD11" s="11"/>
      <c r="BF11" s="96" t="str">
        <f>IF($A35="","",$A35)</f>
        <v/>
      </c>
      <c r="BG11" s="13"/>
      <c r="BH11" s="9" t="str">
        <f t="shared" si="7"/>
        <v/>
      </c>
      <c r="BI11" s="9"/>
      <c r="BJ11" s="9" t="str">
        <f t="shared" si="8"/>
        <v/>
      </c>
      <c r="BK11" s="33"/>
      <c r="BL11" s="9" t="str">
        <f t="shared" si="9"/>
        <v/>
      </c>
      <c r="BM11" s="33"/>
      <c r="BN11" s="126" t="str">
        <f t="shared" si="10"/>
        <v/>
      </c>
      <c r="BO11" s="33" t="str">
        <f t="shared" si="11"/>
        <v/>
      </c>
      <c r="BP11" s="9" t="str">
        <f t="shared" si="12"/>
        <v/>
      </c>
      <c r="BQ11" s="10" t="str">
        <f t="shared" si="13"/>
        <v/>
      </c>
      <c r="BR11" s="91"/>
    </row>
    <row r="12" spans="1:70" x14ac:dyDescent="0.2">
      <c r="A12" s="72"/>
      <c r="B12" s="61"/>
      <c r="C12" s="33">
        <v>308</v>
      </c>
      <c r="D12" s="9">
        <f t="shared" si="42"/>
        <v>58</v>
      </c>
      <c r="E12" s="9">
        <v>4</v>
      </c>
      <c r="F12" s="9">
        <f t="shared" si="43"/>
        <v>2</v>
      </c>
      <c r="G12" s="9">
        <v>47</v>
      </c>
      <c r="H12" s="9">
        <f t="shared" si="44"/>
        <v>2</v>
      </c>
      <c r="I12" s="13">
        <v>15</v>
      </c>
      <c r="J12" s="113" t="str">
        <f t="shared" si="45"/>
        <v>電ブル</v>
      </c>
      <c r="K12" s="34">
        <f t="shared" si="46"/>
        <v>275</v>
      </c>
      <c r="L12" s="9">
        <f t="shared" si="47"/>
        <v>550</v>
      </c>
      <c r="M12" s="10">
        <f t="shared" si="48"/>
        <v>9.4827586206896547E-2</v>
      </c>
      <c r="N12" s="11"/>
      <c r="P12" s="72"/>
      <c r="Q12" s="33">
        <v>3898</v>
      </c>
      <c r="R12" s="9">
        <f t="shared" si="21"/>
        <v>24</v>
      </c>
      <c r="S12" s="9">
        <v>108</v>
      </c>
      <c r="T12" s="9">
        <f t="shared" si="22"/>
        <v>1</v>
      </c>
      <c r="U12" s="9">
        <v>11</v>
      </c>
      <c r="V12" s="9">
        <f t="shared" si="23"/>
        <v>1</v>
      </c>
      <c r="W12" s="13">
        <v>0</v>
      </c>
      <c r="X12" s="113" t="str">
        <f t="shared" si="24"/>
        <v>パンケーキスクイーズ</v>
      </c>
      <c r="Y12" s="34">
        <f t="shared" si="25"/>
        <v>181</v>
      </c>
      <c r="Z12" s="9">
        <f t="shared" si="26"/>
        <v>181</v>
      </c>
      <c r="AA12" s="10">
        <f t="shared" si="27"/>
        <v>7.5416666666666674E-2</v>
      </c>
      <c r="AB12" s="11"/>
      <c r="AD12" s="72"/>
      <c r="AE12" s="33">
        <v>12402</v>
      </c>
      <c r="AF12" s="9">
        <f t="shared" si="28"/>
        <v>83</v>
      </c>
      <c r="AG12" s="9">
        <v>365</v>
      </c>
      <c r="AH12" s="9">
        <f t="shared" si="29"/>
        <v>1</v>
      </c>
      <c r="AI12" s="9">
        <v>16</v>
      </c>
      <c r="AJ12" s="9">
        <f t="shared" si="30"/>
        <v>2</v>
      </c>
      <c r="AK12" s="13">
        <v>3</v>
      </c>
      <c r="AL12" s="113" t="str">
        <f t="shared" si="31"/>
        <v>トイストーリー・ディズニーベアブリック</v>
      </c>
      <c r="AM12" s="34">
        <f t="shared" si="32"/>
        <v>748</v>
      </c>
      <c r="AN12" s="9">
        <f t="shared" si="33"/>
        <v>1496</v>
      </c>
      <c r="AO12" s="10">
        <f t="shared" si="34"/>
        <v>0.18024096385542168</v>
      </c>
      <c r="AP12" s="11"/>
      <c r="AR12" s="72"/>
      <c r="AS12" s="33">
        <v>11271</v>
      </c>
      <c r="AT12" s="9">
        <f t="shared" si="35"/>
        <v>15</v>
      </c>
      <c r="AU12" s="9">
        <v>563</v>
      </c>
      <c r="AV12" s="9">
        <f t="shared" si="36"/>
        <v>2</v>
      </c>
      <c r="AW12" s="9">
        <v>7</v>
      </c>
      <c r="AX12" s="9">
        <f t="shared" si="37"/>
        <v>2</v>
      </c>
      <c r="AY12" s="13">
        <v>5</v>
      </c>
      <c r="AZ12" s="113" t="str">
        <f t="shared" si="38"/>
        <v>ポケモンファスナーマスコット</v>
      </c>
      <c r="BA12" s="34">
        <f t="shared" si="39"/>
        <v>170</v>
      </c>
      <c r="BB12" s="9">
        <f t="shared" si="40"/>
        <v>340</v>
      </c>
      <c r="BC12" s="10">
        <f t="shared" si="41"/>
        <v>0.22666666666666666</v>
      </c>
      <c r="BD12" s="11" t="s">
        <v>277</v>
      </c>
      <c r="BF12" s="96" t="str">
        <f>IF($A39="","",$A39)</f>
        <v/>
      </c>
      <c r="BG12" s="13"/>
      <c r="BH12" s="9" t="str">
        <f t="shared" si="7"/>
        <v/>
      </c>
      <c r="BI12" s="9"/>
      <c r="BJ12" s="9" t="str">
        <f t="shared" si="8"/>
        <v/>
      </c>
      <c r="BK12" s="9"/>
      <c r="BL12" s="9" t="str">
        <f t="shared" si="9"/>
        <v/>
      </c>
      <c r="BM12" s="9"/>
      <c r="BN12" s="126" t="str">
        <f t="shared" si="10"/>
        <v/>
      </c>
      <c r="BO12" s="33" t="str">
        <f t="shared" si="11"/>
        <v/>
      </c>
      <c r="BP12" s="9" t="str">
        <f t="shared" si="12"/>
        <v/>
      </c>
      <c r="BQ12" s="10" t="str">
        <f t="shared" si="13"/>
        <v/>
      </c>
      <c r="BR12" s="91"/>
    </row>
    <row r="13" spans="1:70" x14ac:dyDescent="0.2">
      <c r="A13" s="72"/>
      <c r="B13" s="64"/>
      <c r="C13" s="38">
        <v>474</v>
      </c>
      <c r="D13" s="9">
        <f t="shared" si="42"/>
        <v>70</v>
      </c>
      <c r="E13" s="9">
        <v>11</v>
      </c>
      <c r="F13" s="9">
        <f t="shared" si="43"/>
        <v>3</v>
      </c>
      <c r="G13" s="9">
        <v>0</v>
      </c>
      <c r="H13" s="9">
        <f t="shared" si="44"/>
        <v>3</v>
      </c>
      <c r="I13" s="13">
        <v>7</v>
      </c>
      <c r="J13" s="113" t="str">
        <f t="shared" si="45"/>
        <v>たまごっちカスタムキーリング</v>
      </c>
      <c r="K13" s="9">
        <f t="shared" si="46"/>
        <v>0</v>
      </c>
      <c r="L13" s="9">
        <f t="shared" si="47"/>
        <v>0</v>
      </c>
      <c r="M13" s="10">
        <f t="shared" si="48"/>
        <v>0</v>
      </c>
      <c r="N13" s="11" t="s">
        <v>274</v>
      </c>
      <c r="P13" s="72"/>
      <c r="Q13" s="38">
        <v>5081</v>
      </c>
      <c r="R13" s="9">
        <f t="shared" si="21"/>
        <v>23</v>
      </c>
      <c r="S13" s="9">
        <v>161</v>
      </c>
      <c r="T13" s="9">
        <f t="shared" si="22"/>
        <v>0</v>
      </c>
      <c r="U13" s="9">
        <v>17</v>
      </c>
      <c r="V13" s="9">
        <f t="shared" si="23"/>
        <v>0</v>
      </c>
      <c r="W13" s="13">
        <v>0</v>
      </c>
      <c r="X13" s="113" t="str">
        <f t="shared" si="24"/>
        <v>フルーツスクイーズ</v>
      </c>
      <c r="Y13" s="9">
        <f t="shared" si="25"/>
        <v>200</v>
      </c>
      <c r="Z13" s="9">
        <f t="shared" si="26"/>
        <v>0</v>
      </c>
      <c r="AA13" s="10">
        <f t="shared" si="27"/>
        <v>0</v>
      </c>
      <c r="AB13" s="11" t="s">
        <v>275</v>
      </c>
      <c r="AD13" s="72"/>
      <c r="AE13" s="38">
        <v>15366</v>
      </c>
      <c r="AF13" s="9">
        <f t="shared" si="28"/>
        <v>14</v>
      </c>
      <c r="AG13" s="9">
        <v>804</v>
      </c>
      <c r="AH13" s="9">
        <f t="shared" si="29"/>
        <v>2</v>
      </c>
      <c r="AI13" s="9">
        <v>17</v>
      </c>
      <c r="AJ13" s="9">
        <f t="shared" si="30"/>
        <v>3</v>
      </c>
      <c r="AK13" s="13">
        <v>4</v>
      </c>
      <c r="AL13" s="113" t="str">
        <f t="shared" si="31"/>
        <v>かえるがま口</v>
      </c>
      <c r="AM13" s="9">
        <f t="shared" si="32"/>
        <v>300</v>
      </c>
      <c r="AN13" s="9">
        <f t="shared" si="33"/>
        <v>900</v>
      </c>
      <c r="AO13" s="10">
        <f t="shared" si="34"/>
        <v>0.6428571428571429</v>
      </c>
      <c r="AP13" s="11" t="s">
        <v>276</v>
      </c>
      <c r="AR13" s="72"/>
      <c r="AS13" s="38">
        <v>13447</v>
      </c>
      <c r="AT13" s="9">
        <f t="shared" si="35"/>
        <v>15</v>
      </c>
      <c r="AU13" s="9">
        <v>779</v>
      </c>
      <c r="AV13" s="9">
        <f t="shared" si="36"/>
        <v>0</v>
      </c>
      <c r="AW13" s="9">
        <v>69</v>
      </c>
      <c r="AX13" s="9">
        <f t="shared" si="37"/>
        <v>0</v>
      </c>
      <c r="AY13" s="13">
        <v>0</v>
      </c>
      <c r="AZ13" s="113" t="str">
        <f t="shared" si="38"/>
        <v>ふわもちミニスクイーズ</v>
      </c>
      <c r="BA13" s="9">
        <f t="shared" si="39"/>
        <v>99</v>
      </c>
      <c r="BB13" s="9">
        <f t="shared" si="40"/>
        <v>0</v>
      </c>
      <c r="BC13" s="10">
        <f t="shared" si="41"/>
        <v>0</v>
      </c>
      <c r="BD13" s="11"/>
      <c r="BF13" s="96" t="str">
        <f>IF($A43="","",$A43)</f>
        <v/>
      </c>
      <c r="BG13" s="13"/>
      <c r="BH13" s="9" t="str">
        <f t="shared" si="7"/>
        <v/>
      </c>
      <c r="BI13" s="9"/>
      <c r="BJ13" s="9" t="str">
        <f t="shared" si="8"/>
        <v/>
      </c>
      <c r="BK13" s="9"/>
      <c r="BL13" s="9" t="str">
        <f t="shared" si="9"/>
        <v/>
      </c>
      <c r="BM13" s="9"/>
      <c r="BN13" s="126" t="str">
        <f t="shared" si="10"/>
        <v/>
      </c>
      <c r="BO13" s="33" t="str">
        <f t="shared" si="11"/>
        <v/>
      </c>
      <c r="BP13" s="9" t="str">
        <f t="shared" si="12"/>
        <v/>
      </c>
      <c r="BQ13" s="10" t="str">
        <f t="shared" si="13"/>
        <v/>
      </c>
      <c r="BR13" s="91"/>
    </row>
    <row r="14" spans="1:70" ht="15" customHeight="1" thickBot="1" x14ac:dyDescent="0.25">
      <c r="A14" s="75"/>
      <c r="B14" s="65"/>
      <c r="C14" s="36">
        <v>196</v>
      </c>
      <c r="D14" s="37">
        <f t="shared" si="42"/>
        <v>61</v>
      </c>
      <c r="E14" s="17">
        <v>4</v>
      </c>
      <c r="F14" s="17">
        <f t="shared" si="43"/>
        <v>1</v>
      </c>
      <c r="G14" s="17">
        <v>11</v>
      </c>
      <c r="H14" s="17">
        <f t="shared" si="44"/>
        <v>1</v>
      </c>
      <c r="I14" s="29">
        <v>5</v>
      </c>
      <c r="J14" s="114" t="str">
        <f t="shared" si="45"/>
        <v>バタースクイーズ</v>
      </c>
      <c r="K14" s="37">
        <f t="shared" si="46"/>
        <v>250</v>
      </c>
      <c r="L14" s="17">
        <f t="shared" si="47"/>
        <v>250</v>
      </c>
      <c r="M14" s="18">
        <f t="shared" si="48"/>
        <v>4.0983606557377046E-2</v>
      </c>
      <c r="N14" s="11"/>
      <c r="P14" s="75"/>
      <c r="Q14" s="36">
        <v>5902</v>
      </c>
      <c r="R14" s="37">
        <f t="shared" si="21"/>
        <v>34</v>
      </c>
      <c r="S14" s="17">
        <v>167</v>
      </c>
      <c r="T14" s="17">
        <f t="shared" si="22"/>
        <v>0</v>
      </c>
      <c r="U14" s="17">
        <v>9</v>
      </c>
      <c r="V14" s="17">
        <f t="shared" si="23"/>
        <v>0</v>
      </c>
      <c r="W14" s="29">
        <v>3</v>
      </c>
      <c r="X14" s="114" t="str">
        <f t="shared" si="24"/>
        <v>たまごっちブロックシール</v>
      </c>
      <c r="Y14" s="37">
        <f t="shared" si="25"/>
        <v>648</v>
      </c>
      <c r="Z14" s="17">
        <f t="shared" si="26"/>
        <v>0</v>
      </c>
      <c r="AA14" s="18">
        <f t="shared" si="27"/>
        <v>0</v>
      </c>
      <c r="AB14" s="11"/>
      <c r="AD14" s="75"/>
      <c r="AE14" s="36">
        <v>16220</v>
      </c>
      <c r="AF14" s="37">
        <f t="shared" si="28"/>
        <v>15</v>
      </c>
      <c r="AG14" s="17">
        <v>940</v>
      </c>
      <c r="AH14" s="17">
        <f t="shared" si="29"/>
        <v>1</v>
      </c>
      <c r="AI14" s="17">
        <v>10</v>
      </c>
      <c r="AJ14" s="17">
        <f t="shared" si="30"/>
        <v>2</v>
      </c>
      <c r="AK14" s="29">
        <v>30</v>
      </c>
      <c r="AL14" s="114" t="str">
        <f t="shared" si="31"/>
        <v>サミュエルフェイス</v>
      </c>
      <c r="AM14" s="37">
        <f t="shared" si="32"/>
        <v>350</v>
      </c>
      <c r="AN14" s="17">
        <f t="shared" si="33"/>
        <v>700</v>
      </c>
      <c r="AO14" s="18">
        <f t="shared" si="34"/>
        <v>0.46666666666666667</v>
      </c>
      <c r="AP14" s="11" t="s">
        <v>278</v>
      </c>
      <c r="AR14" s="75"/>
      <c r="AS14" s="36">
        <v>11297</v>
      </c>
      <c r="AT14" s="37">
        <f t="shared" si="35"/>
        <v>29</v>
      </c>
      <c r="AU14" s="17">
        <v>820</v>
      </c>
      <c r="AV14" s="17">
        <f t="shared" si="36"/>
        <v>1</v>
      </c>
      <c r="AW14" s="17">
        <v>8</v>
      </c>
      <c r="AX14" s="17">
        <f t="shared" si="37"/>
        <v>0</v>
      </c>
      <c r="AY14" s="29">
        <v>0</v>
      </c>
      <c r="AZ14" s="114" t="str">
        <f t="shared" si="38"/>
        <v>キティフェイスMC</v>
      </c>
      <c r="BA14" s="37">
        <f t="shared" si="39"/>
        <v>640</v>
      </c>
      <c r="BB14" s="17">
        <f t="shared" si="40"/>
        <v>0</v>
      </c>
      <c r="BC14" s="18">
        <f t="shared" si="41"/>
        <v>0</v>
      </c>
      <c r="BD14" s="11"/>
      <c r="BF14" s="96" t="str">
        <f>IF($A47="","",$A47)</f>
        <v/>
      </c>
      <c r="BG14" s="13"/>
      <c r="BH14" s="9" t="str">
        <f t="shared" si="7"/>
        <v/>
      </c>
      <c r="BI14" s="9"/>
      <c r="BJ14" s="9" t="str">
        <f t="shared" si="8"/>
        <v/>
      </c>
      <c r="BK14" s="9"/>
      <c r="BL14" s="9" t="str">
        <f t="shared" si="9"/>
        <v/>
      </c>
      <c r="BM14" s="9"/>
      <c r="BN14" s="126" t="str">
        <f t="shared" si="10"/>
        <v/>
      </c>
      <c r="BO14" s="33" t="str">
        <f t="shared" si="11"/>
        <v/>
      </c>
      <c r="BP14" s="9" t="str">
        <f t="shared" si="12"/>
        <v/>
      </c>
      <c r="BQ14" s="10" t="str">
        <f t="shared" si="13"/>
        <v/>
      </c>
      <c r="BR14" s="11"/>
    </row>
    <row r="15" spans="1:70" ht="15" customHeight="1" thickTop="1" x14ac:dyDescent="0.2">
      <c r="A15" s="71"/>
      <c r="B15" s="61">
        <f>SUM(D15:D18)+SUM(R15:R18)+SUM(AF15:AF18)+SUM(AT15:AT18)+SUM(BH6)</f>
        <v>0</v>
      </c>
      <c r="C15" s="33"/>
      <c r="D15" s="33" t="str">
        <f t="shared" si="42"/>
        <v/>
      </c>
      <c r="E15" s="33"/>
      <c r="F15" s="20" t="str">
        <f t="shared" si="43"/>
        <v/>
      </c>
      <c r="G15" s="33"/>
      <c r="H15" s="33" t="str">
        <f t="shared" si="44"/>
        <v/>
      </c>
      <c r="I15" s="43"/>
      <c r="J15" s="112" t="str">
        <f t="shared" si="45"/>
        <v/>
      </c>
      <c r="K15" s="34" t="str">
        <f t="shared" si="46"/>
        <v/>
      </c>
      <c r="L15" s="20" t="str">
        <f t="shared" si="47"/>
        <v/>
      </c>
      <c r="M15" s="21" t="str">
        <f t="shared" si="48"/>
        <v/>
      </c>
      <c r="N15" s="11"/>
      <c r="O15" s="1"/>
      <c r="P15" s="76" t="str">
        <f>IF($A15="","",$A15)</f>
        <v/>
      </c>
      <c r="Q15" s="33"/>
      <c r="R15" s="33" t="str">
        <f t="shared" si="21"/>
        <v/>
      </c>
      <c r="S15" s="33"/>
      <c r="T15" s="20" t="str">
        <f t="shared" si="22"/>
        <v/>
      </c>
      <c r="U15" s="33"/>
      <c r="V15" s="33" t="str">
        <f t="shared" si="23"/>
        <v/>
      </c>
      <c r="W15" s="43"/>
      <c r="X15" s="112" t="str">
        <f t="shared" si="24"/>
        <v/>
      </c>
      <c r="Y15" s="34" t="str">
        <f t="shared" si="25"/>
        <v/>
      </c>
      <c r="Z15" s="20" t="str">
        <f t="shared" si="26"/>
        <v/>
      </c>
      <c r="AA15" s="21" t="str">
        <f t="shared" si="27"/>
        <v/>
      </c>
      <c r="AB15" s="11"/>
      <c r="AD15" s="76" t="str">
        <f>IF($A15="","",$A15)</f>
        <v/>
      </c>
      <c r="AE15" s="33"/>
      <c r="AF15" s="33" t="str">
        <f t="shared" si="28"/>
        <v/>
      </c>
      <c r="AG15" s="33"/>
      <c r="AH15" s="20" t="str">
        <f t="shared" si="29"/>
        <v/>
      </c>
      <c r="AI15" s="33"/>
      <c r="AJ15" s="33" t="str">
        <f t="shared" si="30"/>
        <v/>
      </c>
      <c r="AK15" s="43"/>
      <c r="AL15" s="112" t="str">
        <f t="shared" si="31"/>
        <v/>
      </c>
      <c r="AM15" s="34" t="str">
        <f t="shared" si="32"/>
        <v/>
      </c>
      <c r="AN15" s="20" t="str">
        <f t="shared" si="33"/>
        <v/>
      </c>
      <c r="AO15" s="21" t="str">
        <f t="shared" si="34"/>
        <v/>
      </c>
      <c r="AP15" s="11"/>
      <c r="AR15" s="76" t="str">
        <f>IF($A15="","",$A15)</f>
        <v/>
      </c>
      <c r="AS15" s="33"/>
      <c r="AT15" s="33" t="str">
        <f t="shared" si="35"/>
        <v/>
      </c>
      <c r="AU15" s="33"/>
      <c r="AV15" s="20" t="str">
        <f t="shared" si="36"/>
        <v/>
      </c>
      <c r="AW15" s="33"/>
      <c r="AX15" s="33" t="str">
        <f t="shared" si="37"/>
        <v/>
      </c>
      <c r="AY15" s="43"/>
      <c r="AZ15" s="112" t="str">
        <f t="shared" si="38"/>
        <v/>
      </c>
      <c r="BA15" s="34" t="str">
        <f t="shared" si="39"/>
        <v/>
      </c>
      <c r="BB15" s="20" t="str">
        <f t="shared" si="40"/>
        <v/>
      </c>
      <c r="BC15" s="21" t="str">
        <f t="shared" si="41"/>
        <v/>
      </c>
      <c r="BD15" s="11"/>
      <c r="BF15" s="96" t="str">
        <f>IF($A51="","",$A51)</f>
        <v/>
      </c>
      <c r="BG15" s="13"/>
      <c r="BH15" s="9" t="str">
        <f t="shared" si="7"/>
        <v/>
      </c>
      <c r="BI15" s="9"/>
      <c r="BJ15" s="9" t="str">
        <f t="shared" si="8"/>
        <v/>
      </c>
      <c r="BK15" s="9"/>
      <c r="BL15" s="9" t="str">
        <f t="shared" si="9"/>
        <v/>
      </c>
      <c r="BM15" s="9"/>
      <c r="BN15" s="126" t="str">
        <f t="shared" si="10"/>
        <v/>
      </c>
      <c r="BO15" s="33" t="str">
        <f t="shared" si="11"/>
        <v/>
      </c>
      <c r="BP15" s="9" t="str">
        <f t="shared" si="12"/>
        <v/>
      </c>
      <c r="BQ15" s="10" t="str">
        <f t="shared" si="13"/>
        <v/>
      </c>
      <c r="BR15" s="11"/>
    </row>
    <row r="16" spans="1:70" x14ac:dyDescent="0.2">
      <c r="A16" s="72"/>
      <c r="B16" s="8"/>
      <c r="C16" s="9"/>
      <c r="D16" s="9" t="str">
        <f t="shared" si="42"/>
        <v/>
      </c>
      <c r="E16" s="9"/>
      <c r="F16" s="9" t="str">
        <f t="shared" si="43"/>
        <v/>
      </c>
      <c r="G16" s="9"/>
      <c r="H16" s="9" t="str">
        <f t="shared" si="44"/>
        <v/>
      </c>
      <c r="I16" s="13"/>
      <c r="J16" s="113" t="str">
        <f t="shared" si="45"/>
        <v/>
      </c>
      <c r="K16" s="34" t="str">
        <f t="shared" si="46"/>
        <v/>
      </c>
      <c r="L16" s="9" t="str">
        <f t="shared" si="47"/>
        <v/>
      </c>
      <c r="M16" s="10" t="str">
        <f t="shared" si="48"/>
        <v/>
      </c>
      <c r="N16" s="11"/>
      <c r="O16" s="1"/>
      <c r="P16" s="72"/>
      <c r="Q16" s="9"/>
      <c r="R16" s="9" t="str">
        <f t="shared" si="21"/>
        <v/>
      </c>
      <c r="S16" s="9"/>
      <c r="T16" s="9" t="str">
        <f t="shared" si="22"/>
        <v/>
      </c>
      <c r="U16" s="9"/>
      <c r="V16" s="9" t="str">
        <f t="shared" si="23"/>
        <v/>
      </c>
      <c r="W16" s="13"/>
      <c r="X16" s="113" t="str">
        <f t="shared" si="24"/>
        <v/>
      </c>
      <c r="Y16" s="34" t="str">
        <f t="shared" si="25"/>
        <v/>
      </c>
      <c r="Z16" s="9" t="str">
        <f t="shared" si="26"/>
        <v/>
      </c>
      <c r="AA16" s="10" t="str">
        <f t="shared" si="27"/>
        <v/>
      </c>
      <c r="AB16" s="11"/>
      <c r="AD16" s="72"/>
      <c r="AE16" s="9"/>
      <c r="AF16" s="9" t="str">
        <f t="shared" si="28"/>
        <v/>
      </c>
      <c r="AG16" s="9"/>
      <c r="AH16" s="9" t="str">
        <f t="shared" si="29"/>
        <v/>
      </c>
      <c r="AI16" s="9"/>
      <c r="AJ16" s="9" t="str">
        <f t="shared" si="30"/>
        <v/>
      </c>
      <c r="AK16" s="13"/>
      <c r="AL16" s="113" t="str">
        <f t="shared" si="31"/>
        <v/>
      </c>
      <c r="AM16" s="34" t="str">
        <f t="shared" si="32"/>
        <v/>
      </c>
      <c r="AN16" s="9" t="str">
        <f t="shared" si="33"/>
        <v/>
      </c>
      <c r="AO16" s="10" t="str">
        <f t="shared" si="34"/>
        <v/>
      </c>
      <c r="AP16" s="11"/>
      <c r="AR16" s="72"/>
      <c r="AS16" s="9"/>
      <c r="AT16" s="9" t="str">
        <f t="shared" si="35"/>
        <v/>
      </c>
      <c r="AU16" s="9"/>
      <c r="AV16" s="9" t="str">
        <f t="shared" si="36"/>
        <v/>
      </c>
      <c r="AW16" s="9"/>
      <c r="AX16" s="9" t="str">
        <f t="shared" si="37"/>
        <v/>
      </c>
      <c r="AY16" s="13"/>
      <c r="AZ16" s="113" t="str">
        <f t="shared" si="38"/>
        <v/>
      </c>
      <c r="BA16" s="34" t="str">
        <f t="shared" si="39"/>
        <v/>
      </c>
      <c r="BB16" s="9" t="str">
        <f t="shared" si="40"/>
        <v/>
      </c>
      <c r="BC16" s="10" t="str">
        <f t="shared" si="41"/>
        <v/>
      </c>
      <c r="BD16" s="11"/>
      <c r="BF16" s="96" t="str">
        <f>IF($A$425="","",$A$425)</f>
        <v/>
      </c>
      <c r="BG16" s="9"/>
      <c r="BH16" s="9" t="str">
        <f t="shared" si="7"/>
        <v/>
      </c>
      <c r="BI16" s="9"/>
      <c r="BJ16" s="9" t="str">
        <f t="shared" si="8"/>
        <v/>
      </c>
      <c r="BK16" s="9"/>
      <c r="BL16" s="9" t="str">
        <f t="shared" si="9"/>
        <v/>
      </c>
      <c r="BM16" s="9"/>
      <c r="BN16" s="126" t="str">
        <f t="shared" si="10"/>
        <v/>
      </c>
      <c r="BO16" s="33" t="str">
        <f t="shared" si="11"/>
        <v/>
      </c>
      <c r="BP16" s="9" t="str">
        <f t="shared" si="12"/>
        <v/>
      </c>
      <c r="BQ16" s="10" t="str">
        <f>IF(BP16="","",BP16/(BG16*100))</f>
        <v/>
      </c>
      <c r="BR16" s="90"/>
    </row>
    <row r="17" spans="1:70" x14ac:dyDescent="0.2">
      <c r="A17" s="74"/>
      <c r="B17" s="66"/>
      <c r="C17" s="23"/>
      <c r="D17" s="9" t="str">
        <f t="shared" si="42"/>
        <v/>
      </c>
      <c r="E17" s="9"/>
      <c r="F17" s="9" t="str">
        <f t="shared" si="43"/>
        <v/>
      </c>
      <c r="G17" s="23"/>
      <c r="H17" s="9" t="str">
        <f t="shared" si="44"/>
        <v/>
      </c>
      <c r="I17" s="30"/>
      <c r="J17" s="113" t="str">
        <f t="shared" si="45"/>
        <v/>
      </c>
      <c r="K17" s="34" t="str">
        <f t="shared" si="46"/>
        <v/>
      </c>
      <c r="L17" s="9" t="str">
        <f t="shared" si="47"/>
        <v/>
      </c>
      <c r="M17" s="10" t="str">
        <f t="shared" si="48"/>
        <v/>
      </c>
      <c r="N17" s="11"/>
      <c r="P17" s="74"/>
      <c r="Q17" s="23"/>
      <c r="R17" s="9" t="str">
        <f t="shared" si="21"/>
        <v/>
      </c>
      <c r="S17" s="9"/>
      <c r="T17" s="9" t="str">
        <f t="shared" si="22"/>
        <v/>
      </c>
      <c r="U17" s="23"/>
      <c r="V17" s="9" t="str">
        <f t="shared" si="23"/>
        <v/>
      </c>
      <c r="W17" s="30"/>
      <c r="X17" s="113" t="str">
        <f t="shared" si="24"/>
        <v/>
      </c>
      <c r="Y17" s="34" t="str">
        <f t="shared" si="25"/>
        <v/>
      </c>
      <c r="Z17" s="9" t="str">
        <f t="shared" si="26"/>
        <v/>
      </c>
      <c r="AA17" s="10" t="str">
        <f t="shared" si="27"/>
        <v/>
      </c>
      <c r="AB17" s="11"/>
      <c r="AD17" s="74"/>
      <c r="AE17" s="23"/>
      <c r="AF17" s="9" t="str">
        <f t="shared" si="28"/>
        <v/>
      </c>
      <c r="AG17" s="9"/>
      <c r="AH17" s="9" t="str">
        <f t="shared" si="29"/>
        <v/>
      </c>
      <c r="AI17" s="23"/>
      <c r="AJ17" s="9" t="str">
        <f t="shared" si="30"/>
        <v/>
      </c>
      <c r="AK17" s="30"/>
      <c r="AL17" s="113" t="str">
        <f t="shared" si="31"/>
        <v/>
      </c>
      <c r="AM17" s="34" t="str">
        <f t="shared" si="32"/>
        <v/>
      </c>
      <c r="AN17" s="9" t="str">
        <f t="shared" si="33"/>
        <v/>
      </c>
      <c r="AO17" s="10" t="str">
        <f t="shared" si="34"/>
        <v/>
      </c>
      <c r="AP17" s="11"/>
      <c r="AR17" s="74"/>
      <c r="AS17" s="23"/>
      <c r="AT17" s="9" t="str">
        <f t="shared" si="35"/>
        <v/>
      </c>
      <c r="AU17" s="9"/>
      <c r="AV17" s="9" t="str">
        <f t="shared" si="36"/>
        <v/>
      </c>
      <c r="AW17" s="23"/>
      <c r="AX17" s="9" t="str">
        <f t="shared" si="37"/>
        <v/>
      </c>
      <c r="AY17" s="30"/>
      <c r="AZ17" s="113" t="str">
        <f t="shared" si="38"/>
        <v/>
      </c>
      <c r="BA17" s="34" t="str">
        <f t="shared" si="39"/>
        <v/>
      </c>
      <c r="BB17" s="9" t="str">
        <f t="shared" si="40"/>
        <v/>
      </c>
      <c r="BC17" s="10" t="str">
        <f t="shared" si="41"/>
        <v/>
      </c>
      <c r="BD17" s="11"/>
      <c r="BF17" s="96"/>
      <c r="BG17" s="9"/>
      <c r="BH17" s="9"/>
      <c r="BI17" s="9"/>
      <c r="BJ17" s="9"/>
      <c r="BK17" s="9"/>
      <c r="BL17" s="9"/>
      <c r="BM17" s="9"/>
      <c r="BN17" s="126" t="str">
        <f t="shared" si="10"/>
        <v/>
      </c>
      <c r="BO17" s="33"/>
      <c r="BP17" s="9"/>
      <c r="BQ17" s="10" t="str">
        <f>IF(BP17="","",BP17/(BG17*100))</f>
        <v/>
      </c>
      <c r="BR17" s="90"/>
    </row>
    <row r="18" spans="1:70" ht="15" customHeight="1" thickBot="1" x14ac:dyDescent="0.25">
      <c r="A18" s="75"/>
      <c r="B18" s="67"/>
      <c r="C18" s="17"/>
      <c r="D18" s="37" t="str">
        <f t="shared" si="42"/>
        <v/>
      </c>
      <c r="E18" s="17"/>
      <c r="F18" s="17" t="str">
        <f t="shared" si="43"/>
        <v/>
      </c>
      <c r="G18" s="17"/>
      <c r="H18" s="17" t="str">
        <f t="shared" si="44"/>
        <v/>
      </c>
      <c r="I18" s="29"/>
      <c r="J18" s="114" t="str">
        <f t="shared" si="45"/>
        <v/>
      </c>
      <c r="K18" s="37" t="str">
        <f t="shared" si="46"/>
        <v/>
      </c>
      <c r="L18" s="17" t="str">
        <f t="shared" si="47"/>
        <v/>
      </c>
      <c r="M18" s="18" t="str">
        <f t="shared" si="48"/>
        <v/>
      </c>
      <c r="N18" s="11"/>
      <c r="P18" s="75"/>
      <c r="Q18" s="17"/>
      <c r="R18" s="37" t="str">
        <f t="shared" si="21"/>
        <v/>
      </c>
      <c r="S18" s="17"/>
      <c r="T18" s="17" t="str">
        <f t="shared" si="22"/>
        <v/>
      </c>
      <c r="U18" s="17"/>
      <c r="V18" s="17" t="str">
        <f t="shared" si="23"/>
        <v/>
      </c>
      <c r="W18" s="29"/>
      <c r="X18" s="114" t="str">
        <f t="shared" si="24"/>
        <v/>
      </c>
      <c r="Y18" s="37" t="str">
        <f t="shared" si="25"/>
        <v/>
      </c>
      <c r="Z18" s="17" t="str">
        <f t="shared" si="26"/>
        <v/>
      </c>
      <c r="AA18" s="18" t="str">
        <f t="shared" si="27"/>
        <v/>
      </c>
      <c r="AB18" s="11"/>
      <c r="AD18" s="75"/>
      <c r="AE18" s="17"/>
      <c r="AF18" s="37" t="str">
        <f t="shared" si="28"/>
        <v/>
      </c>
      <c r="AG18" s="17"/>
      <c r="AH18" s="17" t="str">
        <f t="shared" si="29"/>
        <v/>
      </c>
      <c r="AI18" s="17"/>
      <c r="AJ18" s="17" t="str">
        <f t="shared" si="30"/>
        <v/>
      </c>
      <c r="AK18" s="29"/>
      <c r="AL18" s="114" t="str">
        <f t="shared" si="31"/>
        <v/>
      </c>
      <c r="AM18" s="37" t="str">
        <f t="shared" si="32"/>
        <v/>
      </c>
      <c r="AN18" s="17" t="str">
        <f t="shared" si="33"/>
        <v/>
      </c>
      <c r="AO18" s="18" t="str">
        <f t="shared" si="34"/>
        <v/>
      </c>
      <c r="AP18" s="11"/>
      <c r="AR18" s="75"/>
      <c r="AS18" s="17"/>
      <c r="AT18" s="37" t="str">
        <f t="shared" si="35"/>
        <v/>
      </c>
      <c r="AU18" s="17"/>
      <c r="AV18" s="17" t="str">
        <f t="shared" si="36"/>
        <v/>
      </c>
      <c r="AW18" s="17"/>
      <c r="AX18" s="17" t="str">
        <f t="shared" si="37"/>
        <v/>
      </c>
      <c r="AY18" s="29"/>
      <c r="AZ18" s="114" t="str">
        <f t="shared" si="38"/>
        <v/>
      </c>
      <c r="BA18" s="37" t="str">
        <f t="shared" si="39"/>
        <v/>
      </c>
      <c r="BB18" s="17" t="str">
        <f t="shared" si="40"/>
        <v/>
      </c>
      <c r="BC18" s="18" t="str">
        <f t="shared" si="41"/>
        <v/>
      </c>
      <c r="BD18" s="11"/>
      <c r="BF18" s="96"/>
      <c r="BG18" s="9"/>
      <c r="BH18" s="9" t="str">
        <f>IF(BG18="","",BG18-BG19)</f>
        <v/>
      </c>
      <c r="BI18" s="9"/>
      <c r="BJ18" s="9" t="str">
        <f>IF(BI18="","",BI18-BI19)</f>
        <v/>
      </c>
      <c r="BK18" s="9"/>
      <c r="BL18" s="9" t="str">
        <f>IF(BK18="","",BK19+BM19-BK18)</f>
        <v/>
      </c>
      <c r="BM18" s="9"/>
      <c r="BN18" s="126" t="str">
        <f t="shared" si="10"/>
        <v/>
      </c>
      <c r="BO18" s="33" t="str">
        <f>IF(BG18="","",BO19)</f>
        <v/>
      </c>
      <c r="BP18" s="9" t="str">
        <f t="shared" ref="BP18:BP50" si="49">IF(BO18="","",BL18*BO18)</f>
        <v/>
      </c>
      <c r="BQ18" s="10" t="str">
        <f t="shared" ref="BQ18:BQ50" si="50">IF(BP18="","",BP18/(BH18*100))</f>
        <v/>
      </c>
      <c r="BR18" s="90"/>
    </row>
    <row r="19" spans="1:70" ht="15" customHeight="1" thickTop="1" x14ac:dyDescent="0.2">
      <c r="A19" s="71"/>
      <c r="B19" s="61">
        <f>SUM(D19:D22)+SUM(R19:R22)+SUM(AF19:AF22)+SUM(AT19:AT22)+SUM(BH7)</f>
        <v>0</v>
      </c>
      <c r="C19" s="33"/>
      <c r="D19" s="33" t="str">
        <f t="shared" si="42"/>
        <v/>
      </c>
      <c r="E19" s="33"/>
      <c r="F19" s="20" t="str">
        <f t="shared" si="43"/>
        <v/>
      </c>
      <c r="G19" s="33"/>
      <c r="H19" s="33" t="str">
        <f t="shared" si="44"/>
        <v/>
      </c>
      <c r="I19" s="43"/>
      <c r="J19" s="112" t="str">
        <f t="shared" si="45"/>
        <v/>
      </c>
      <c r="K19" s="34" t="str">
        <f t="shared" si="46"/>
        <v/>
      </c>
      <c r="L19" s="20" t="str">
        <f t="shared" si="47"/>
        <v/>
      </c>
      <c r="M19" s="21" t="str">
        <f t="shared" si="48"/>
        <v/>
      </c>
      <c r="N19" s="11"/>
      <c r="P19" s="76" t="str">
        <f>IF($A19="","",$A19)</f>
        <v/>
      </c>
      <c r="Q19" s="33"/>
      <c r="R19" s="33" t="str">
        <f t="shared" si="21"/>
        <v/>
      </c>
      <c r="S19" s="33"/>
      <c r="T19" s="20" t="str">
        <f t="shared" si="22"/>
        <v/>
      </c>
      <c r="U19" s="33"/>
      <c r="V19" s="33" t="str">
        <f t="shared" si="23"/>
        <v/>
      </c>
      <c r="W19" s="43"/>
      <c r="X19" s="112" t="str">
        <f t="shared" si="24"/>
        <v/>
      </c>
      <c r="Y19" s="34" t="str">
        <f t="shared" si="25"/>
        <v/>
      </c>
      <c r="Z19" s="20" t="str">
        <f t="shared" si="26"/>
        <v/>
      </c>
      <c r="AA19" s="21" t="str">
        <f t="shared" si="27"/>
        <v/>
      </c>
      <c r="AB19" s="11"/>
      <c r="AD19" s="76" t="str">
        <f>IF($A19="","",$A19)</f>
        <v/>
      </c>
      <c r="AE19" s="33"/>
      <c r="AF19" s="33" t="str">
        <f t="shared" si="28"/>
        <v/>
      </c>
      <c r="AG19" s="33"/>
      <c r="AH19" s="20" t="str">
        <f t="shared" si="29"/>
        <v/>
      </c>
      <c r="AI19" s="33"/>
      <c r="AJ19" s="33" t="str">
        <f t="shared" si="30"/>
        <v/>
      </c>
      <c r="AK19" s="43"/>
      <c r="AL19" s="112" t="str">
        <f t="shared" si="31"/>
        <v/>
      </c>
      <c r="AM19" s="34" t="str">
        <f t="shared" si="32"/>
        <v/>
      </c>
      <c r="AN19" s="20" t="str">
        <f t="shared" si="33"/>
        <v/>
      </c>
      <c r="AO19" s="21" t="str">
        <f t="shared" si="34"/>
        <v/>
      </c>
      <c r="AP19" s="11"/>
      <c r="AR19" s="76" t="str">
        <f>IF($A19="","",$A19)</f>
        <v/>
      </c>
      <c r="AS19" s="33"/>
      <c r="AT19" s="33" t="str">
        <f t="shared" si="35"/>
        <v/>
      </c>
      <c r="AU19" s="33"/>
      <c r="AV19" s="20" t="str">
        <f t="shared" si="36"/>
        <v/>
      </c>
      <c r="AW19" s="33"/>
      <c r="AX19" s="33" t="str">
        <f t="shared" si="37"/>
        <v/>
      </c>
      <c r="AY19" s="43"/>
      <c r="AZ19" s="112" t="str">
        <f t="shared" si="38"/>
        <v/>
      </c>
      <c r="BA19" s="34" t="str">
        <f t="shared" si="39"/>
        <v/>
      </c>
      <c r="BB19" s="20" t="str">
        <f t="shared" si="40"/>
        <v/>
      </c>
      <c r="BC19" s="21" t="str">
        <f t="shared" si="41"/>
        <v/>
      </c>
      <c r="BD19" s="11"/>
      <c r="BF19" s="96"/>
      <c r="BG19" s="9"/>
      <c r="BH19" s="9" t="str">
        <f>IF(BG19="","",BG19-BG16)</f>
        <v/>
      </c>
      <c r="BI19" s="9"/>
      <c r="BJ19" s="9" t="str">
        <f>IF(BI19="","",BI19-BI16)</f>
        <v/>
      </c>
      <c r="BK19" s="9"/>
      <c r="BL19" s="9" t="str">
        <f>IF(BK19="","",BK16+BM16-BK19)</f>
        <v/>
      </c>
      <c r="BM19" s="9"/>
      <c r="BN19" s="126" t="str">
        <f t="shared" si="10"/>
        <v/>
      </c>
      <c r="BO19" s="33" t="str">
        <f>IF(BG19="","",BO16)</f>
        <v/>
      </c>
      <c r="BP19" s="9" t="str">
        <f t="shared" si="49"/>
        <v/>
      </c>
      <c r="BQ19" s="10" t="str">
        <f t="shared" si="50"/>
        <v/>
      </c>
      <c r="BR19" s="90"/>
    </row>
    <row r="20" spans="1:70" x14ac:dyDescent="0.2">
      <c r="A20" s="71"/>
      <c r="B20" s="61"/>
      <c r="C20" s="33"/>
      <c r="D20" s="9" t="str">
        <f t="shared" si="42"/>
        <v/>
      </c>
      <c r="E20" s="9"/>
      <c r="F20" s="9" t="str">
        <f t="shared" si="43"/>
        <v/>
      </c>
      <c r="G20" s="9"/>
      <c r="H20" s="9" t="str">
        <f t="shared" si="44"/>
        <v/>
      </c>
      <c r="I20" s="13"/>
      <c r="J20" s="113" t="str">
        <f t="shared" si="45"/>
        <v/>
      </c>
      <c r="K20" s="34" t="str">
        <f t="shared" si="46"/>
        <v/>
      </c>
      <c r="L20" s="9" t="str">
        <f t="shared" si="47"/>
        <v/>
      </c>
      <c r="M20" s="10" t="str">
        <f t="shared" si="48"/>
        <v/>
      </c>
      <c r="N20" s="11"/>
      <c r="P20" s="71"/>
      <c r="Q20" s="33"/>
      <c r="R20" s="9" t="str">
        <f t="shared" si="21"/>
        <v/>
      </c>
      <c r="S20" s="9"/>
      <c r="T20" s="9" t="str">
        <f t="shared" si="22"/>
        <v/>
      </c>
      <c r="U20" s="9"/>
      <c r="V20" s="9" t="str">
        <f t="shared" si="23"/>
        <v/>
      </c>
      <c r="W20" s="13"/>
      <c r="X20" s="113" t="str">
        <f t="shared" si="24"/>
        <v/>
      </c>
      <c r="Y20" s="34" t="str">
        <f t="shared" si="25"/>
        <v/>
      </c>
      <c r="Z20" s="9" t="str">
        <f t="shared" si="26"/>
        <v/>
      </c>
      <c r="AA20" s="10" t="str">
        <f t="shared" si="27"/>
        <v/>
      </c>
      <c r="AB20" s="11"/>
      <c r="AD20" s="71"/>
      <c r="AE20" s="33"/>
      <c r="AF20" s="9" t="str">
        <f t="shared" si="28"/>
        <v/>
      </c>
      <c r="AG20" s="9"/>
      <c r="AH20" s="9" t="str">
        <f t="shared" si="29"/>
        <v/>
      </c>
      <c r="AI20" s="9"/>
      <c r="AJ20" s="9" t="str">
        <f t="shared" si="30"/>
        <v/>
      </c>
      <c r="AK20" s="13"/>
      <c r="AL20" s="113" t="str">
        <f t="shared" si="31"/>
        <v/>
      </c>
      <c r="AM20" s="34" t="str">
        <f t="shared" si="32"/>
        <v/>
      </c>
      <c r="AN20" s="9" t="str">
        <f t="shared" si="33"/>
        <v/>
      </c>
      <c r="AO20" s="10" t="str">
        <f t="shared" si="34"/>
        <v/>
      </c>
      <c r="AP20" s="11"/>
      <c r="AR20" s="71"/>
      <c r="AS20" s="33"/>
      <c r="AT20" s="9" t="str">
        <f t="shared" si="35"/>
        <v/>
      </c>
      <c r="AU20" s="9"/>
      <c r="AV20" s="9" t="str">
        <f t="shared" si="36"/>
        <v/>
      </c>
      <c r="AW20" s="9"/>
      <c r="AX20" s="9" t="str">
        <f t="shared" si="37"/>
        <v/>
      </c>
      <c r="AY20" s="13"/>
      <c r="AZ20" s="113" t="str">
        <f t="shared" si="38"/>
        <v/>
      </c>
      <c r="BA20" s="34" t="str">
        <f t="shared" si="39"/>
        <v/>
      </c>
      <c r="BB20" s="9" t="str">
        <f t="shared" si="40"/>
        <v/>
      </c>
      <c r="BC20" s="10" t="str">
        <f t="shared" si="41"/>
        <v/>
      </c>
      <c r="BD20" s="11"/>
      <c r="BF20" s="97"/>
      <c r="BG20" s="9"/>
      <c r="BH20" s="9" t="str">
        <f>IF(BG20="","",BG20-BG18)</f>
        <v/>
      </c>
      <c r="BI20" s="9"/>
      <c r="BJ20" s="9" t="str">
        <f>IF(BI20="","",BI20-BI18)</f>
        <v/>
      </c>
      <c r="BK20" s="9"/>
      <c r="BL20" s="9" t="str">
        <f>IF(BK20="","",BK18+BM18-BK20)</f>
        <v/>
      </c>
      <c r="BM20" s="9"/>
      <c r="BN20" s="126" t="str">
        <f t="shared" si="10"/>
        <v/>
      </c>
      <c r="BO20" s="33" t="str">
        <f>IF(BG20="","",BO18)</f>
        <v/>
      </c>
      <c r="BP20" s="9" t="str">
        <f t="shared" si="49"/>
        <v/>
      </c>
      <c r="BQ20" s="10" t="str">
        <f t="shared" si="50"/>
        <v/>
      </c>
      <c r="BR20" s="11"/>
    </row>
    <row r="21" spans="1:70" ht="15" customHeight="1" x14ac:dyDescent="0.2">
      <c r="A21" s="71"/>
      <c r="B21" s="64"/>
      <c r="C21" s="38"/>
      <c r="D21" s="9" t="str">
        <f t="shared" si="42"/>
        <v/>
      </c>
      <c r="E21" s="9"/>
      <c r="F21" s="9" t="str">
        <f t="shared" si="43"/>
        <v/>
      </c>
      <c r="G21" s="9"/>
      <c r="H21" s="9" t="str">
        <f t="shared" si="44"/>
        <v/>
      </c>
      <c r="I21" s="13"/>
      <c r="J21" s="113" t="str">
        <f t="shared" si="45"/>
        <v/>
      </c>
      <c r="K21" s="34" t="str">
        <f t="shared" si="46"/>
        <v/>
      </c>
      <c r="L21" s="9" t="str">
        <f t="shared" si="47"/>
        <v/>
      </c>
      <c r="M21" s="10" t="str">
        <f t="shared" si="48"/>
        <v/>
      </c>
      <c r="N21" s="11"/>
      <c r="P21" s="71"/>
      <c r="Q21" s="38"/>
      <c r="R21" s="9" t="str">
        <f t="shared" si="21"/>
        <v/>
      </c>
      <c r="S21" s="9"/>
      <c r="T21" s="9" t="str">
        <f t="shared" si="22"/>
        <v/>
      </c>
      <c r="U21" s="9"/>
      <c r="V21" s="9" t="str">
        <f t="shared" si="23"/>
        <v/>
      </c>
      <c r="W21" s="13"/>
      <c r="X21" s="113" t="str">
        <f t="shared" si="24"/>
        <v/>
      </c>
      <c r="Y21" s="34" t="str">
        <f t="shared" si="25"/>
        <v/>
      </c>
      <c r="Z21" s="9" t="str">
        <f t="shared" si="26"/>
        <v/>
      </c>
      <c r="AA21" s="10" t="str">
        <f t="shared" si="27"/>
        <v/>
      </c>
      <c r="AB21" s="11"/>
      <c r="AD21" s="71"/>
      <c r="AE21" s="38"/>
      <c r="AF21" s="9" t="str">
        <f t="shared" si="28"/>
        <v/>
      </c>
      <c r="AG21" s="9"/>
      <c r="AH21" s="9" t="str">
        <f t="shared" si="29"/>
        <v/>
      </c>
      <c r="AI21" s="9"/>
      <c r="AJ21" s="9" t="str">
        <f t="shared" si="30"/>
        <v/>
      </c>
      <c r="AK21" s="13"/>
      <c r="AL21" s="113" t="str">
        <f t="shared" si="31"/>
        <v/>
      </c>
      <c r="AM21" s="34" t="str">
        <f t="shared" si="32"/>
        <v/>
      </c>
      <c r="AN21" s="9" t="str">
        <f t="shared" si="33"/>
        <v/>
      </c>
      <c r="AO21" s="10" t="str">
        <f t="shared" si="34"/>
        <v/>
      </c>
      <c r="AP21" s="11"/>
      <c r="AR21" s="71"/>
      <c r="AS21" s="38"/>
      <c r="AT21" s="9" t="str">
        <f t="shared" si="35"/>
        <v/>
      </c>
      <c r="AU21" s="9"/>
      <c r="AV21" s="9" t="str">
        <f t="shared" si="36"/>
        <v/>
      </c>
      <c r="AW21" s="9"/>
      <c r="AX21" s="9" t="str">
        <f t="shared" si="37"/>
        <v/>
      </c>
      <c r="AY21" s="13"/>
      <c r="AZ21" s="113" t="str">
        <f t="shared" si="38"/>
        <v/>
      </c>
      <c r="BA21" s="34" t="str">
        <f t="shared" si="39"/>
        <v/>
      </c>
      <c r="BB21" s="9" t="str">
        <f t="shared" si="40"/>
        <v/>
      </c>
      <c r="BC21" s="10" t="str">
        <f t="shared" si="41"/>
        <v/>
      </c>
      <c r="BD21" s="11"/>
      <c r="BF21" s="97" t="str">
        <f>IF($A21="","",$A21)</f>
        <v/>
      </c>
      <c r="BG21" s="9"/>
      <c r="BH21" s="9" t="str">
        <f>IF(BG21="","",BG21-#REF!)</f>
        <v/>
      </c>
      <c r="BI21" s="9"/>
      <c r="BJ21" s="9" t="str">
        <f>IF(BI21="","",BI21-#REF!)</f>
        <v/>
      </c>
      <c r="BK21" s="9"/>
      <c r="BL21" s="9" t="str">
        <f>IF(BK21="","",#REF!+#REF!-BK21)</f>
        <v/>
      </c>
      <c r="BM21" s="9"/>
      <c r="BN21" s="126" t="str">
        <f t="shared" si="10"/>
        <v/>
      </c>
      <c r="BO21" s="33" t="str">
        <f>IF(BG21="","",#REF!)</f>
        <v/>
      </c>
      <c r="BP21" s="9" t="str">
        <f t="shared" si="49"/>
        <v/>
      </c>
      <c r="BQ21" s="10" t="str">
        <f t="shared" si="50"/>
        <v/>
      </c>
      <c r="BR21" s="11"/>
    </row>
    <row r="22" spans="1:70" ht="15" customHeight="1" thickBot="1" x14ac:dyDescent="0.25">
      <c r="A22" s="75"/>
      <c r="B22" s="67"/>
      <c r="C22" s="36"/>
      <c r="D22" s="37" t="str">
        <f t="shared" si="42"/>
        <v/>
      </c>
      <c r="E22" s="17"/>
      <c r="F22" s="17" t="str">
        <f t="shared" si="43"/>
        <v/>
      </c>
      <c r="G22" s="17"/>
      <c r="H22" s="17" t="str">
        <f t="shared" si="44"/>
        <v/>
      </c>
      <c r="I22" s="29"/>
      <c r="J22" s="114" t="str">
        <f t="shared" si="45"/>
        <v/>
      </c>
      <c r="K22" s="37" t="str">
        <f t="shared" si="46"/>
        <v/>
      </c>
      <c r="L22" s="17" t="str">
        <f t="shared" si="47"/>
        <v/>
      </c>
      <c r="M22" s="18" t="str">
        <f t="shared" si="48"/>
        <v/>
      </c>
      <c r="N22" s="11"/>
      <c r="P22" s="75"/>
      <c r="Q22" s="36"/>
      <c r="R22" s="37" t="str">
        <f t="shared" si="21"/>
        <v/>
      </c>
      <c r="S22" s="17"/>
      <c r="T22" s="17" t="str">
        <f t="shared" si="22"/>
        <v/>
      </c>
      <c r="U22" s="17"/>
      <c r="V22" s="17" t="str">
        <f t="shared" si="23"/>
        <v/>
      </c>
      <c r="W22" s="29"/>
      <c r="X22" s="114" t="str">
        <f t="shared" si="24"/>
        <v/>
      </c>
      <c r="Y22" s="37" t="str">
        <f t="shared" si="25"/>
        <v/>
      </c>
      <c r="Z22" s="17" t="str">
        <f t="shared" si="26"/>
        <v/>
      </c>
      <c r="AA22" s="18" t="str">
        <f t="shared" si="27"/>
        <v/>
      </c>
      <c r="AB22" s="11"/>
      <c r="AD22" s="75"/>
      <c r="AE22" s="36"/>
      <c r="AF22" s="37" t="str">
        <f t="shared" si="28"/>
        <v/>
      </c>
      <c r="AG22" s="17"/>
      <c r="AH22" s="17" t="str">
        <f t="shared" si="29"/>
        <v/>
      </c>
      <c r="AI22" s="17"/>
      <c r="AJ22" s="17" t="str">
        <f t="shared" si="30"/>
        <v/>
      </c>
      <c r="AK22" s="29"/>
      <c r="AL22" s="114" t="str">
        <f t="shared" si="31"/>
        <v/>
      </c>
      <c r="AM22" s="37" t="str">
        <f t="shared" si="32"/>
        <v/>
      </c>
      <c r="AN22" s="17" t="str">
        <f t="shared" si="33"/>
        <v/>
      </c>
      <c r="AO22" s="18" t="str">
        <f t="shared" si="34"/>
        <v/>
      </c>
      <c r="AP22" s="11"/>
      <c r="AR22" s="75"/>
      <c r="AS22" s="36"/>
      <c r="AT22" s="37" t="str">
        <f t="shared" si="35"/>
        <v/>
      </c>
      <c r="AU22" s="17"/>
      <c r="AV22" s="17" t="str">
        <f t="shared" si="36"/>
        <v/>
      </c>
      <c r="AW22" s="17"/>
      <c r="AX22" s="17" t="str">
        <f t="shared" si="37"/>
        <v/>
      </c>
      <c r="AY22" s="29"/>
      <c r="AZ22" s="114" t="str">
        <f t="shared" si="38"/>
        <v/>
      </c>
      <c r="BA22" s="37" t="str">
        <f t="shared" si="39"/>
        <v/>
      </c>
      <c r="BB22" s="17" t="str">
        <f t="shared" si="40"/>
        <v/>
      </c>
      <c r="BC22" s="18" t="str">
        <f t="shared" si="41"/>
        <v/>
      </c>
      <c r="BD22" s="11"/>
      <c r="BF22" s="97" t="str">
        <f>IF($A22="","",$A22)</f>
        <v/>
      </c>
      <c r="BG22" s="9"/>
      <c r="BH22" s="9" t="str">
        <f>IF(BG22="","",BG22-BG21)</f>
        <v/>
      </c>
      <c r="BI22" s="9"/>
      <c r="BJ22" s="9" t="str">
        <f>IF(BI22="","",BI22-BI21)</f>
        <v/>
      </c>
      <c r="BK22" s="9"/>
      <c r="BL22" s="9" t="str">
        <f>IF(BK22="","",BK21+BM21-BK22)</f>
        <v/>
      </c>
      <c r="BM22" s="9"/>
      <c r="BN22" s="126" t="str">
        <f t="shared" si="10"/>
        <v/>
      </c>
      <c r="BO22" s="33" t="str">
        <f>IF(BG22="","",BO21)</f>
        <v/>
      </c>
      <c r="BP22" s="9" t="str">
        <f t="shared" si="49"/>
        <v/>
      </c>
      <c r="BQ22" s="10" t="str">
        <f t="shared" si="50"/>
        <v/>
      </c>
      <c r="BR22" s="11"/>
    </row>
    <row r="23" spans="1:70" ht="15" customHeight="1" thickTop="1" x14ac:dyDescent="0.2">
      <c r="A23" s="71"/>
      <c r="B23" s="61">
        <f>SUM(D23:D26)+SUM(R23:R26)+SUM(AF23:AF26)+SUM(AT23:AT26)+SUM(BH8)</f>
        <v>0</v>
      </c>
      <c r="C23" s="33"/>
      <c r="D23" s="33" t="str">
        <f t="shared" si="42"/>
        <v/>
      </c>
      <c r="E23" s="33"/>
      <c r="F23" s="20" t="str">
        <f t="shared" si="43"/>
        <v/>
      </c>
      <c r="G23" s="33"/>
      <c r="H23" s="33" t="str">
        <f t="shared" si="44"/>
        <v/>
      </c>
      <c r="I23" s="43"/>
      <c r="J23" s="112" t="str">
        <f t="shared" si="45"/>
        <v/>
      </c>
      <c r="K23" s="40" t="str">
        <f t="shared" si="46"/>
        <v/>
      </c>
      <c r="L23" s="20" t="str">
        <f t="shared" si="47"/>
        <v/>
      </c>
      <c r="M23" s="21" t="str">
        <f t="shared" si="48"/>
        <v/>
      </c>
      <c r="N23" s="11"/>
      <c r="P23" s="76" t="str">
        <f>IF($A23="","",$A23)</f>
        <v/>
      </c>
      <c r="Q23" s="33"/>
      <c r="R23" s="33" t="str">
        <f t="shared" si="21"/>
        <v/>
      </c>
      <c r="S23" s="33"/>
      <c r="T23" s="20" t="str">
        <f t="shared" si="22"/>
        <v/>
      </c>
      <c r="U23" s="33"/>
      <c r="V23" s="33" t="str">
        <f t="shared" si="23"/>
        <v/>
      </c>
      <c r="W23" s="43"/>
      <c r="X23" s="112" t="str">
        <f t="shared" si="24"/>
        <v/>
      </c>
      <c r="Y23" s="40" t="str">
        <f t="shared" si="25"/>
        <v/>
      </c>
      <c r="Z23" s="20" t="str">
        <f t="shared" si="26"/>
        <v/>
      </c>
      <c r="AA23" s="21" t="str">
        <f t="shared" si="27"/>
        <v/>
      </c>
      <c r="AB23" s="11"/>
      <c r="AD23" s="76" t="str">
        <f>IF($A23="","",$A23)</f>
        <v/>
      </c>
      <c r="AE23" s="33"/>
      <c r="AF23" s="33" t="str">
        <f t="shared" si="28"/>
        <v/>
      </c>
      <c r="AG23" s="33"/>
      <c r="AH23" s="20" t="str">
        <f t="shared" si="29"/>
        <v/>
      </c>
      <c r="AI23" s="33"/>
      <c r="AJ23" s="33" t="str">
        <f t="shared" si="30"/>
        <v/>
      </c>
      <c r="AK23" s="43"/>
      <c r="AL23" s="112" t="str">
        <f t="shared" si="31"/>
        <v/>
      </c>
      <c r="AM23" s="40" t="str">
        <f t="shared" si="32"/>
        <v/>
      </c>
      <c r="AN23" s="20" t="str">
        <f t="shared" si="33"/>
        <v/>
      </c>
      <c r="AO23" s="21" t="str">
        <f t="shared" si="34"/>
        <v/>
      </c>
      <c r="AP23" s="11"/>
      <c r="AR23" s="76" t="str">
        <f>IF($A23="","",$A23)</f>
        <v/>
      </c>
      <c r="AS23" s="33"/>
      <c r="AT23" s="33" t="str">
        <f t="shared" si="35"/>
        <v/>
      </c>
      <c r="AU23" s="33"/>
      <c r="AV23" s="20" t="str">
        <f t="shared" si="36"/>
        <v/>
      </c>
      <c r="AW23" s="33"/>
      <c r="AX23" s="33" t="str">
        <f t="shared" si="37"/>
        <v/>
      </c>
      <c r="AY23" s="43"/>
      <c r="AZ23" s="112" t="str">
        <f t="shared" si="38"/>
        <v/>
      </c>
      <c r="BA23" s="40" t="str">
        <f t="shared" si="39"/>
        <v/>
      </c>
      <c r="BB23" s="20" t="str">
        <f t="shared" si="40"/>
        <v/>
      </c>
      <c r="BC23" s="21" t="str">
        <f t="shared" si="41"/>
        <v/>
      </c>
      <c r="BD23" s="11"/>
      <c r="BF23" s="97"/>
      <c r="BG23" s="9"/>
      <c r="BH23" s="9" t="str">
        <f>IF(BG23="","",BG23-BG22)</f>
        <v/>
      </c>
      <c r="BI23" s="9"/>
      <c r="BJ23" s="9" t="str">
        <f>IF(BI23="","",BI23-BI22)</f>
        <v/>
      </c>
      <c r="BK23" s="9"/>
      <c r="BL23" s="9" t="str">
        <f>IF(BK23="","",BK22+BM22-BK23)</f>
        <v/>
      </c>
      <c r="BM23" s="9"/>
      <c r="BN23" s="126" t="str">
        <f t="shared" si="10"/>
        <v/>
      </c>
      <c r="BO23" s="33" t="str">
        <f>IF(BG23="","",BO22)</f>
        <v/>
      </c>
      <c r="BP23" s="9" t="str">
        <f t="shared" si="49"/>
        <v/>
      </c>
      <c r="BQ23" s="10" t="str">
        <f t="shared" si="50"/>
        <v/>
      </c>
      <c r="BR23" s="11"/>
    </row>
    <row r="24" spans="1:70" ht="15" customHeight="1" x14ac:dyDescent="0.2">
      <c r="A24" s="72"/>
      <c r="B24" s="8"/>
      <c r="C24" s="9"/>
      <c r="D24" s="9" t="str">
        <f t="shared" si="42"/>
        <v/>
      </c>
      <c r="E24" s="9"/>
      <c r="F24" s="9" t="str">
        <f t="shared" si="43"/>
        <v/>
      </c>
      <c r="G24" s="9"/>
      <c r="H24" s="9" t="str">
        <f t="shared" si="44"/>
        <v/>
      </c>
      <c r="I24" s="13"/>
      <c r="J24" s="113" t="str">
        <f t="shared" si="45"/>
        <v/>
      </c>
      <c r="K24" s="34" t="str">
        <f t="shared" si="46"/>
        <v/>
      </c>
      <c r="L24" s="9" t="str">
        <f t="shared" si="47"/>
        <v/>
      </c>
      <c r="M24" s="10" t="str">
        <f t="shared" si="48"/>
        <v/>
      </c>
      <c r="N24" s="11"/>
      <c r="P24" s="72"/>
      <c r="Q24" s="9"/>
      <c r="R24" s="9" t="str">
        <f t="shared" si="21"/>
        <v/>
      </c>
      <c r="S24" s="9"/>
      <c r="T24" s="9" t="str">
        <f t="shared" si="22"/>
        <v/>
      </c>
      <c r="U24" s="9"/>
      <c r="V24" s="9" t="str">
        <f t="shared" si="23"/>
        <v/>
      </c>
      <c r="W24" s="13"/>
      <c r="X24" s="113" t="str">
        <f t="shared" si="24"/>
        <v/>
      </c>
      <c r="Y24" s="34" t="str">
        <f t="shared" si="25"/>
        <v/>
      </c>
      <c r="Z24" s="9" t="str">
        <f t="shared" si="26"/>
        <v/>
      </c>
      <c r="AA24" s="10" t="str">
        <f t="shared" si="27"/>
        <v/>
      </c>
      <c r="AB24" s="11"/>
      <c r="AD24" s="72"/>
      <c r="AE24" s="9"/>
      <c r="AF24" s="9" t="str">
        <f t="shared" si="28"/>
        <v/>
      </c>
      <c r="AG24" s="9"/>
      <c r="AH24" s="9" t="str">
        <f t="shared" si="29"/>
        <v/>
      </c>
      <c r="AI24" s="9"/>
      <c r="AJ24" s="9" t="str">
        <f t="shared" si="30"/>
        <v/>
      </c>
      <c r="AK24" s="13"/>
      <c r="AL24" s="113" t="str">
        <f t="shared" si="31"/>
        <v/>
      </c>
      <c r="AM24" s="34" t="str">
        <f t="shared" si="32"/>
        <v/>
      </c>
      <c r="AN24" s="9" t="str">
        <f t="shared" si="33"/>
        <v/>
      </c>
      <c r="AO24" s="10" t="str">
        <f t="shared" si="34"/>
        <v/>
      </c>
      <c r="AP24" s="11"/>
      <c r="AR24" s="72"/>
      <c r="AS24" s="9"/>
      <c r="AT24" s="9" t="str">
        <f t="shared" si="35"/>
        <v/>
      </c>
      <c r="AU24" s="9"/>
      <c r="AV24" s="9" t="str">
        <f t="shared" si="36"/>
        <v/>
      </c>
      <c r="AW24" s="9"/>
      <c r="AX24" s="9" t="str">
        <f t="shared" si="37"/>
        <v/>
      </c>
      <c r="AY24" s="13"/>
      <c r="AZ24" s="113" t="str">
        <f t="shared" si="38"/>
        <v/>
      </c>
      <c r="BA24" s="34" t="str">
        <f t="shared" si="39"/>
        <v/>
      </c>
      <c r="BB24" s="9" t="str">
        <f t="shared" si="40"/>
        <v/>
      </c>
      <c r="BC24" s="10" t="str">
        <f t="shared" si="41"/>
        <v/>
      </c>
      <c r="BD24" s="11"/>
      <c r="BF24" s="7"/>
      <c r="BG24" s="34"/>
      <c r="BH24" s="9" t="str">
        <f>IF(BG24="","",BG24-BG23)</f>
        <v/>
      </c>
      <c r="BI24" s="9"/>
      <c r="BJ24" s="9" t="str">
        <f>IF(BI24="","",BI24-BI23)</f>
        <v/>
      </c>
      <c r="BK24" s="9"/>
      <c r="BL24" s="9" t="str">
        <f>IF(BK24="","",BK23+BM23-BK24)</f>
        <v/>
      </c>
      <c r="BM24" s="9"/>
      <c r="BN24" s="126" t="str">
        <f t="shared" si="10"/>
        <v/>
      </c>
      <c r="BO24" s="9"/>
      <c r="BP24" s="9" t="str">
        <f t="shared" si="49"/>
        <v/>
      </c>
      <c r="BQ24" s="10" t="str">
        <f t="shared" si="50"/>
        <v/>
      </c>
      <c r="BR24" s="11"/>
    </row>
    <row r="25" spans="1:70" ht="15" customHeight="1" x14ac:dyDescent="0.2">
      <c r="A25" s="72"/>
      <c r="B25" s="66"/>
      <c r="C25" s="23"/>
      <c r="D25" s="9" t="str">
        <f t="shared" si="42"/>
        <v/>
      </c>
      <c r="E25" s="9"/>
      <c r="F25" s="9" t="str">
        <f t="shared" si="43"/>
        <v/>
      </c>
      <c r="G25" s="23"/>
      <c r="H25" s="9" t="str">
        <f t="shared" si="44"/>
        <v/>
      </c>
      <c r="I25" s="30"/>
      <c r="J25" s="113" t="str">
        <f t="shared" si="45"/>
        <v/>
      </c>
      <c r="K25" s="9" t="str">
        <f t="shared" si="46"/>
        <v/>
      </c>
      <c r="L25" s="9" t="str">
        <f t="shared" si="47"/>
        <v/>
      </c>
      <c r="M25" s="10" t="str">
        <f t="shared" si="48"/>
        <v/>
      </c>
      <c r="N25" s="11"/>
      <c r="P25" s="72"/>
      <c r="Q25" s="23"/>
      <c r="R25" s="9" t="str">
        <f t="shared" si="21"/>
        <v/>
      </c>
      <c r="S25" s="9"/>
      <c r="T25" s="9" t="str">
        <f t="shared" si="22"/>
        <v/>
      </c>
      <c r="U25" s="23"/>
      <c r="V25" s="9" t="str">
        <f t="shared" si="23"/>
        <v/>
      </c>
      <c r="W25" s="30"/>
      <c r="X25" s="113" t="str">
        <f t="shared" si="24"/>
        <v/>
      </c>
      <c r="Y25" s="9" t="str">
        <f t="shared" si="25"/>
        <v/>
      </c>
      <c r="Z25" s="9" t="str">
        <f t="shared" si="26"/>
        <v/>
      </c>
      <c r="AA25" s="10" t="str">
        <f t="shared" si="27"/>
        <v/>
      </c>
      <c r="AB25" s="11"/>
      <c r="AD25" s="72"/>
      <c r="AE25" s="23"/>
      <c r="AF25" s="9" t="str">
        <f t="shared" si="28"/>
        <v/>
      </c>
      <c r="AG25" s="9"/>
      <c r="AH25" s="9" t="str">
        <f t="shared" si="29"/>
        <v/>
      </c>
      <c r="AI25" s="23"/>
      <c r="AJ25" s="9" t="str">
        <f t="shared" si="30"/>
        <v/>
      </c>
      <c r="AK25" s="30"/>
      <c r="AL25" s="113" t="str">
        <f t="shared" si="31"/>
        <v/>
      </c>
      <c r="AM25" s="9" t="str">
        <f t="shared" si="32"/>
        <v/>
      </c>
      <c r="AN25" s="9" t="str">
        <f t="shared" si="33"/>
        <v/>
      </c>
      <c r="AO25" s="10" t="str">
        <f t="shared" si="34"/>
        <v/>
      </c>
      <c r="AP25" s="11"/>
      <c r="AR25" s="72"/>
      <c r="AS25" s="23"/>
      <c r="AT25" s="9" t="str">
        <f t="shared" si="35"/>
        <v/>
      </c>
      <c r="AU25" s="9"/>
      <c r="AV25" s="9" t="str">
        <f t="shared" si="36"/>
        <v/>
      </c>
      <c r="AW25" s="23"/>
      <c r="AX25" s="9" t="str">
        <f t="shared" si="37"/>
        <v/>
      </c>
      <c r="AY25" s="30"/>
      <c r="AZ25" s="113" t="str">
        <f t="shared" si="38"/>
        <v/>
      </c>
      <c r="BA25" s="9" t="str">
        <f t="shared" si="39"/>
        <v/>
      </c>
      <c r="BB25" s="9" t="str">
        <f t="shared" si="40"/>
        <v/>
      </c>
      <c r="BC25" s="10" t="str">
        <f t="shared" si="41"/>
        <v/>
      </c>
      <c r="BD25" s="11"/>
      <c r="BF25" s="7"/>
      <c r="BG25" s="34"/>
      <c r="BH25" s="9" t="str">
        <f>IF(BG25="","",BG25-BG24)</f>
        <v/>
      </c>
      <c r="BI25" s="9"/>
      <c r="BJ25" s="9" t="str">
        <f>IF(BI25="","",BI25-BI24)</f>
        <v/>
      </c>
      <c r="BK25" s="9"/>
      <c r="BL25" s="9" t="str">
        <f>IF(BK25="","",BK24+BM24-BK25)</f>
        <v/>
      </c>
      <c r="BM25" s="9"/>
      <c r="BN25" s="126" t="str">
        <f t="shared" si="10"/>
        <v/>
      </c>
      <c r="BO25" s="9"/>
      <c r="BP25" s="9" t="str">
        <f t="shared" si="49"/>
        <v/>
      </c>
      <c r="BQ25" s="10" t="str">
        <f t="shared" si="50"/>
        <v/>
      </c>
      <c r="BR25" s="11"/>
    </row>
    <row r="26" spans="1:70" ht="15" customHeight="1" thickBot="1" x14ac:dyDescent="0.25">
      <c r="A26" s="75"/>
      <c r="B26" s="67"/>
      <c r="C26" s="17"/>
      <c r="D26" s="37" t="str">
        <f t="shared" si="42"/>
        <v/>
      </c>
      <c r="E26" s="17"/>
      <c r="F26" s="17" t="str">
        <f t="shared" si="43"/>
        <v/>
      </c>
      <c r="G26" s="17"/>
      <c r="H26" s="17" t="str">
        <f t="shared" si="44"/>
        <v/>
      </c>
      <c r="I26" s="29"/>
      <c r="J26" s="114" t="str">
        <f t="shared" si="45"/>
        <v/>
      </c>
      <c r="K26" s="37" t="str">
        <f t="shared" si="46"/>
        <v/>
      </c>
      <c r="L26" s="17" t="str">
        <f t="shared" si="47"/>
        <v/>
      </c>
      <c r="M26" s="18" t="str">
        <f t="shared" si="48"/>
        <v/>
      </c>
      <c r="N26" s="11"/>
      <c r="P26" s="75"/>
      <c r="Q26" s="17"/>
      <c r="R26" s="37" t="str">
        <f t="shared" si="21"/>
        <v/>
      </c>
      <c r="S26" s="17"/>
      <c r="T26" s="17" t="str">
        <f t="shared" si="22"/>
        <v/>
      </c>
      <c r="U26" s="17"/>
      <c r="V26" s="17" t="str">
        <f t="shared" si="23"/>
        <v/>
      </c>
      <c r="W26" s="29"/>
      <c r="X26" s="114" t="str">
        <f t="shared" si="24"/>
        <v/>
      </c>
      <c r="Y26" s="37" t="str">
        <f t="shared" si="25"/>
        <v/>
      </c>
      <c r="Z26" s="17" t="str">
        <f t="shared" si="26"/>
        <v/>
      </c>
      <c r="AA26" s="18" t="str">
        <f t="shared" si="27"/>
        <v/>
      </c>
      <c r="AB26" s="11"/>
      <c r="AD26" s="75"/>
      <c r="AE26" s="17"/>
      <c r="AF26" s="37" t="str">
        <f t="shared" si="28"/>
        <v/>
      </c>
      <c r="AG26" s="17"/>
      <c r="AH26" s="17" t="str">
        <f t="shared" si="29"/>
        <v/>
      </c>
      <c r="AI26" s="17"/>
      <c r="AJ26" s="17" t="str">
        <f t="shared" si="30"/>
        <v/>
      </c>
      <c r="AK26" s="29"/>
      <c r="AL26" s="114" t="str">
        <f t="shared" si="31"/>
        <v/>
      </c>
      <c r="AM26" s="37" t="str">
        <f t="shared" si="32"/>
        <v/>
      </c>
      <c r="AN26" s="17" t="str">
        <f t="shared" si="33"/>
        <v/>
      </c>
      <c r="AO26" s="18" t="str">
        <f t="shared" si="34"/>
        <v/>
      </c>
      <c r="AP26" s="11"/>
      <c r="AR26" s="75"/>
      <c r="AS26" s="17"/>
      <c r="AT26" s="37" t="str">
        <f t="shared" si="35"/>
        <v/>
      </c>
      <c r="AU26" s="17"/>
      <c r="AV26" s="17" t="str">
        <f t="shared" si="36"/>
        <v/>
      </c>
      <c r="AW26" s="17"/>
      <c r="AX26" s="17" t="str">
        <f t="shared" si="37"/>
        <v/>
      </c>
      <c r="AY26" s="29"/>
      <c r="AZ26" s="114" t="str">
        <f t="shared" si="38"/>
        <v/>
      </c>
      <c r="BA26" s="37" t="str">
        <f t="shared" si="39"/>
        <v/>
      </c>
      <c r="BB26" s="17" t="str">
        <f t="shared" si="40"/>
        <v/>
      </c>
      <c r="BC26" s="18" t="str">
        <f t="shared" si="41"/>
        <v/>
      </c>
      <c r="BD26" s="11"/>
      <c r="BF26" s="7"/>
      <c r="BG26" s="34"/>
      <c r="BH26" s="9" t="str">
        <f>IF(BG26="","",BG26-BG25)</f>
        <v/>
      </c>
      <c r="BI26" s="9"/>
      <c r="BJ26" s="9"/>
      <c r="BK26" s="9"/>
      <c r="BL26" s="9" t="str">
        <f>IF(BK26="","",BK25+BM25-BK26)</f>
        <v/>
      </c>
      <c r="BM26" s="9"/>
      <c r="BN26" s="126" t="str">
        <f t="shared" si="10"/>
        <v/>
      </c>
      <c r="BO26" s="9"/>
      <c r="BP26" s="9" t="str">
        <f t="shared" si="49"/>
        <v/>
      </c>
      <c r="BQ26" s="10" t="str">
        <f t="shared" si="50"/>
        <v/>
      </c>
      <c r="BR26" s="11"/>
    </row>
    <row r="27" spans="1:70" ht="15" customHeight="1" thickTop="1" x14ac:dyDescent="0.2">
      <c r="A27" s="71"/>
      <c r="B27" s="61">
        <f>SUM(D27:D30)+SUM(R27:R30)+SUM(AF27:AF30)+SUM(AT27:AT30)+SUM(BH9)</f>
        <v>0</v>
      </c>
      <c r="C27" s="33"/>
      <c r="D27" s="33" t="str">
        <f t="shared" si="42"/>
        <v/>
      </c>
      <c r="E27" s="33"/>
      <c r="F27" s="20" t="str">
        <f t="shared" si="43"/>
        <v/>
      </c>
      <c r="G27" s="33"/>
      <c r="H27" s="33" t="str">
        <f t="shared" si="44"/>
        <v/>
      </c>
      <c r="I27" s="43"/>
      <c r="J27" s="112" t="str">
        <f t="shared" si="45"/>
        <v/>
      </c>
      <c r="K27" s="40" t="str">
        <f t="shared" si="46"/>
        <v/>
      </c>
      <c r="L27" s="20" t="str">
        <f t="shared" si="47"/>
        <v/>
      </c>
      <c r="M27" s="21" t="str">
        <f t="shared" si="48"/>
        <v/>
      </c>
      <c r="N27" s="11"/>
      <c r="P27" s="76" t="str">
        <f>IF($A27="","",$A27)</f>
        <v/>
      </c>
      <c r="Q27" s="33"/>
      <c r="R27" s="33" t="str">
        <f t="shared" si="21"/>
        <v/>
      </c>
      <c r="S27" s="33"/>
      <c r="T27" s="20" t="str">
        <f t="shared" si="22"/>
        <v/>
      </c>
      <c r="U27" s="33"/>
      <c r="V27" s="33" t="str">
        <f t="shared" si="23"/>
        <v/>
      </c>
      <c r="W27" s="43"/>
      <c r="X27" s="112" t="str">
        <f t="shared" si="24"/>
        <v/>
      </c>
      <c r="Y27" s="40" t="str">
        <f t="shared" si="25"/>
        <v/>
      </c>
      <c r="Z27" s="20" t="str">
        <f t="shared" si="26"/>
        <v/>
      </c>
      <c r="AA27" s="21" t="str">
        <f t="shared" si="27"/>
        <v/>
      </c>
      <c r="AB27" s="11"/>
      <c r="AD27" s="76" t="str">
        <f>IF($A27="","",$A27)</f>
        <v/>
      </c>
      <c r="AE27" s="33"/>
      <c r="AF27" s="33" t="str">
        <f t="shared" si="28"/>
        <v/>
      </c>
      <c r="AG27" s="33"/>
      <c r="AH27" s="20" t="str">
        <f t="shared" si="29"/>
        <v/>
      </c>
      <c r="AI27" s="33"/>
      <c r="AJ27" s="33" t="str">
        <f t="shared" si="30"/>
        <v/>
      </c>
      <c r="AK27" s="43"/>
      <c r="AL27" s="112" t="str">
        <f t="shared" si="31"/>
        <v/>
      </c>
      <c r="AM27" s="40" t="str">
        <f t="shared" si="32"/>
        <v/>
      </c>
      <c r="AN27" s="20" t="str">
        <f t="shared" si="33"/>
        <v/>
      </c>
      <c r="AO27" s="21" t="str">
        <f t="shared" si="34"/>
        <v/>
      </c>
      <c r="AP27" s="11"/>
      <c r="AR27" s="76" t="str">
        <f>IF($A27="","",$A27)</f>
        <v/>
      </c>
      <c r="AS27" s="33"/>
      <c r="AT27" s="33" t="str">
        <f t="shared" si="35"/>
        <v/>
      </c>
      <c r="AU27" s="33"/>
      <c r="AV27" s="20" t="str">
        <f t="shared" si="36"/>
        <v/>
      </c>
      <c r="AW27" s="33"/>
      <c r="AX27" s="33" t="str">
        <f t="shared" si="37"/>
        <v/>
      </c>
      <c r="AY27" s="43"/>
      <c r="AZ27" s="112" t="str">
        <f t="shared" si="38"/>
        <v/>
      </c>
      <c r="BA27" s="40" t="str">
        <f t="shared" si="39"/>
        <v/>
      </c>
      <c r="BB27" s="20" t="str">
        <f t="shared" si="40"/>
        <v/>
      </c>
      <c r="BC27" s="21" t="str">
        <f t="shared" si="41"/>
        <v/>
      </c>
      <c r="BD27" s="11"/>
      <c r="BF27" s="7"/>
      <c r="BG27" s="9"/>
      <c r="BH27" s="9" t="str">
        <f>IF(BG27="","",BG27-BG28)</f>
        <v/>
      </c>
      <c r="BI27" s="9"/>
      <c r="BJ27" s="9" t="str">
        <f>IF(BI27="","",BI27-BI28)</f>
        <v/>
      </c>
      <c r="BK27" s="9"/>
      <c r="BL27" s="9" t="str">
        <f>IF(BK27="","",BK28+BM28-BK27)</f>
        <v/>
      </c>
      <c r="BM27" s="9"/>
      <c r="BN27" s="126" t="str">
        <f t="shared" si="10"/>
        <v/>
      </c>
      <c r="BO27" s="9"/>
      <c r="BP27" s="9" t="str">
        <f t="shared" si="49"/>
        <v/>
      </c>
      <c r="BQ27" s="10" t="str">
        <f t="shared" si="50"/>
        <v/>
      </c>
      <c r="BR27" s="11"/>
    </row>
    <row r="28" spans="1:70" ht="15" customHeight="1" x14ac:dyDescent="0.2">
      <c r="A28" s="71"/>
      <c r="B28" s="61"/>
      <c r="C28" s="33"/>
      <c r="D28" s="9" t="str">
        <f t="shared" si="42"/>
        <v/>
      </c>
      <c r="E28" s="9"/>
      <c r="F28" s="9" t="str">
        <f t="shared" si="43"/>
        <v/>
      </c>
      <c r="G28" s="9"/>
      <c r="H28" s="9" t="str">
        <f t="shared" si="44"/>
        <v/>
      </c>
      <c r="I28" s="13"/>
      <c r="J28" s="113" t="str">
        <f t="shared" si="45"/>
        <v/>
      </c>
      <c r="K28" s="34" t="str">
        <f t="shared" si="46"/>
        <v/>
      </c>
      <c r="L28" s="9" t="str">
        <f t="shared" si="47"/>
        <v/>
      </c>
      <c r="M28" s="10" t="str">
        <f t="shared" si="48"/>
        <v/>
      </c>
      <c r="N28" s="11"/>
      <c r="P28" s="71"/>
      <c r="Q28" s="33"/>
      <c r="R28" s="9" t="str">
        <f t="shared" si="21"/>
        <v/>
      </c>
      <c r="S28" s="9"/>
      <c r="T28" s="9" t="str">
        <f t="shared" si="22"/>
        <v/>
      </c>
      <c r="U28" s="9"/>
      <c r="V28" s="9" t="str">
        <f t="shared" si="23"/>
        <v/>
      </c>
      <c r="W28" s="13"/>
      <c r="X28" s="113" t="str">
        <f t="shared" si="24"/>
        <v/>
      </c>
      <c r="Y28" s="34" t="str">
        <f t="shared" si="25"/>
        <v/>
      </c>
      <c r="Z28" s="9" t="str">
        <f t="shared" si="26"/>
        <v/>
      </c>
      <c r="AA28" s="10" t="str">
        <f t="shared" si="27"/>
        <v/>
      </c>
      <c r="AB28" s="11"/>
      <c r="AD28" s="71"/>
      <c r="AE28" s="33"/>
      <c r="AF28" s="9" t="str">
        <f t="shared" si="28"/>
        <v/>
      </c>
      <c r="AG28" s="9"/>
      <c r="AH28" s="9" t="str">
        <f t="shared" si="29"/>
        <v/>
      </c>
      <c r="AI28" s="9"/>
      <c r="AJ28" s="9" t="str">
        <f t="shared" si="30"/>
        <v/>
      </c>
      <c r="AK28" s="13"/>
      <c r="AL28" s="113" t="str">
        <f t="shared" si="31"/>
        <v/>
      </c>
      <c r="AM28" s="34" t="str">
        <f t="shared" si="32"/>
        <v/>
      </c>
      <c r="AN28" s="9" t="str">
        <f t="shared" si="33"/>
        <v/>
      </c>
      <c r="AO28" s="10" t="str">
        <f t="shared" si="34"/>
        <v/>
      </c>
      <c r="AP28" s="11"/>
      <c r="AR28" s="71"/>
      <c r="AS28" s="33"/>
      <c r="AT28" s="9" t="str">
        <f t="shared" si="35"/>
        <v/>
      </c>
      <c r="AU28" s="9"/>
      <c r="AV28" s="9" t="str">
        <f t="shared" si="36"/>
        <v/>
      </c>
      <c r="AW28" s="9"/>
      <c r="AX28" s="9" t="str">
        <f t="shared" si="37"/>
        <v/>
      </c>
      <c r="AY28" s="13"/>
      <c r="AZ28" s="113" t="str">
        <f t="shared" si="38"/>
        <v/>
      </c>
      <c r="BA28" s="34" t="str">
        <f t="shared" si="39"/>
        <v/>
      </c>
      <c r="BB28" s="9" t="str">
        <f t="shared" si="40"/>
        <v/>
      </c>
      <c r="BC28" s="10" t="str">
        <f t="shared" si="41"/>
        <v/>
      </c>
      <c r="BD28" s="11"/>
      <c r="BF28" s="7"/>
      <c r="BG28" s="9"/>
      <c r="BH28" s="9" t="str">
        <f>IF(BG28="","",BG28-BG26)</f>
        <v/>
      </c>
      <c r="BI28" s="9"/>
      <c r="BJ28" s="9" t="str">
        <f>IF(BI28="","",BI28-BI26)</f>
        <v/>
      </c>
      <c r="BK28" s="9"/>
      <c r="BL28" s="9" t="str">
        <f>IF(BK28="","",BK26+BM26-BK28)</f>
        <v/>
      </c>
      <c r="BM28" s="9"/>
      <c r="BN28" s="126" t="str">
        <f t="shared" si="10"/>
        <v/>
      </c>
      <c r="BO28" s="9"/>
      <c r="BP28" s="9" t="str">
        <f t="shared" si="49"/>
        <v/>
      </c>
      <c r="BQ28" s="10" t="str">
        <f t="shared" si="50"/>
        <v/>
      </c>
      <c r="BR28" s="11"/>
    </row>
    <row r="29" spans="1:70" ht="15" customHeight="1" x14ac:dyDescent="0.2">
      <c r="A29" s="72"/>
      <c r="B29" s="8"/>
      <c r="C29" s="38"/>
      <c r="D29" s="9" t="str">
        <f t="shared" si="42"/>
        <v/>
      </c>
      <c r="E29" s="9"/>
      <c r="F29" s="9" t="str">
        <f t="shared" si="43"/>
        <v/>
      </c>
      <c r="G29" s="9"/>
      <c r="H29" s="9" t="str">
        <f t="shared" si="44"/>
        <v/>
      </c>
      <c r="I29" s="13"/>
      <c r="J29" s="113" t="str">
        <f t="shared" si="45"/>
        <v/>
      </c>
      <c r="K29" s="9" t="str">
        <f t="shared" si="46"/>
        <v/>
      </c>
      <c r="L29" s="9" t="str">
        <f t="shared" si="47"/>
        <v/>
      </c>
      <c r="M29" s="10" t="str">
        <f t="shared" si="48"/>
        <v/>
      </c>
      <c r="N29" s="11"/>
      <c r="P29" s="72"/>
      <c r="Q29" s="38"/>
      <c r="R29" s="9" t="str">
        <f t="shared" si="21"/>
        <v/>
      </c>
      <c r="S29" s="9"/>
      <c r="T29" s="9" t="str">
        <f t="shared" si="22"/>
        <v/>
      </c>
      <c r="U29" s="9"/>
      <c r="V29" s="9" t="str">
        <f t="shared" si="23"/>
        <v/>
      </c>
      <c r="W29" s="13"/>
      <c r="X29" s="113" t="str">
        <f t="shared" si="24"/>
        <v/>
      </c>
      <c r="Y29" s="9" t="str">
        <f t="shared" si="25"/>
        <v/>
      </c>
      <c r="Z29" s="9" t="str">
        <f t="shared" si="26"/>
        <v/>
      </c>
      <c r="AA29" s="10" t="str">
        <f t="shared" si="27"/>
        <v/>
      </c>
      <c r="AB29" s="11"/>
      <c r="AD29" s="72"/>
      <c r="AE29" s="38"/>
      <c r="AF29" s="9" t="str">
        <f t="shared" si="28"/>
        <v/>
      </c>
      <c r="AG29" s="9"/>
      <c r="AH29" s="9" t="str">
        <f t="shared" si="29"/>
        <v/>
      </c>
      <c r="AI29" s="9"/>
      <c r="AJ29" s="9" t="str">
        <f t="shared" si="30"/>
        <v/>
      </c>
      <c r="AK29" s="13"/>
      <c r="AL29" s="113" t="str">
        <f t="shared" si="31"/>
        <v/>
      </c>
      <c r="AM29" s="9" t="str">
        <f t="shared" si="32"/>
        <v/>
      </c>
      <c r="AN29" s="9" t="str">
        <f t="shared" si="33"/>
        <v/>
      </c>
      <c r="AO29" s="10" t="str">
        <f t="shared" si="34"/>
        <v/>
      </c>
      <c r="AP29" s="11"/>
      <c r="AR29" s="72"/>
      <c r="AS29" s="38"/>
      <c r="AT29" s="9" t="str">
        <f t="shared" si="35"/>
        <v/>
      </c>
      <c r="AU29" s="9"/>
      <c r="AV29" s="9" t="str">
        <f t="shared" si="36"/>
        <v/>
      </c>
      <c r="AW29" s="9"/>
      <c r="AX29" s="9" t="str">
        <f t="shared" si="37"/>
        <v/>
      </c>
      <c r="AY29" s="13"/>
      <c r="AZ29" s="113" t="str">
        <f t="shared" si="38"/>
        <v/>
      </c>
      <c r="BA29" s="9" t="str">
        <f t="shared" si="39"/>
        <v/>
      </c>
      <c r="BB29" s="9" t="str">
        <f t="shared" si="40"/>
        <v/>
      </c>
      <c r="BC29" s="10" t="str">
        <f t="shared" si="41"/>
        <v/>
      </c>
      <c r="BD29" s="11"/>
      <c r="BF29" s="7"/>
      <c r="BG29" s="34"/>
      <c r="BH29" s="9" t="str">
        <f>IF(BG29="","",BG29-BG27)</f>
        <v/>
      </c>
      <c r="BI29" s="9"/>
      <c r="BJ29" s="9"/>
      <c r="BK29" s="9"/>
      <c r="BL29" s="9" t="str">
        <f>IF(BK29="","",BK27+BM27-BK29)</f>
        <v/>
      </c>
      <c r="BM29" s="9"/>
      <c r="BN29" s="126" t="str">
        <f t="shared" si="10"/>
        <v/>
      </c>
      <c r="BO29" s="9"/>
      <c r="BP29" s="9" t="str">
        <f t="shared" si="49"/>
        <v/>
      </c>
      <c r="BQ29" s="10" t="str">
        <f t="shared" si="50"/>
        <v/>
      </c>
      <c r="BR29" s="11"/>
    </row>
    <row r="30" spans="1:70" ht="15" customHeight="1" thickBot="1" x14ac:dyDescent="0.25">
      <c r="A30" s="75"/>
      <c r="B30" s="67"/>
      <c r="C30" s="36"/>
      <c r="D30" s="37" t="str">
        <f t="shared" si="42"/>
        <v/>
      </c>
      <c r="E30" s="17"/>
      <c r="F30" s="17" t="str">
        <f t="shared" si="43"/>
        <v/>
      </c>
      <c r="G30" s="17"/>
      <c r="H30" s="17" t="str">
        <f t="shared" si="44"/>
        <v/>
      </c>
      <c r="I30" s="29"/>
      <c r="J30" s="114" t="str">
        <f t="shared" si="45"/>
        <v/>
      </c>
      <c r="K30" s="37" t="str">
        <f t="shared" si="46"/>
        <v/>
      </c>
      <c r="L30" s="17" t="str">
        <f t="shared" si="47"/>
        <v/>
      </c>
      <c r="M30" s="18" t="str">
        <f t="shared" si="48"/>
        <v/>
      </c>
      <c r="N30" s="11"/>
      <c r="P30" s="75"/>
      <c r="Q30" s="36"/>
      <c r="R30" s="37" t="str">
        <f t="shared" si="21"/>
        <v/>
      </c>
      <c r="S30" s="17"/>
      <c r="T30" s="17" t="str">
        <f t="shared" si="22"/>
        <v/>
      </c>
      <c r="U30" s="17"/>
      <c r="V30" s="17" t="str">
        <f t="shared" si="23"/>
        <v/>
      </c>
      <c r="W30" s="29"/>
      <c r="X30" s="114" t="str">
        <f t="shared" si="24"/>
        <v/>
      </c>
      <c r="Y30" s="37" t="str">
        <f t="shared" si="25"/>
        <v/>
      </c>
      <c r="Z30" s="17" t="str">
        <f t="shared" si="26"/>
        <v/>
      </c>
      <c r="AA30" s="18" t="str">
        <f t="shared" si="27"/>
        <v/>
      </c>
      <c r="AB30" s="11"/>
      <c r="AD30" s="75"/>
      <c r="AE30" s="36"/>
      <c r="AF30" s="37" t="str">
        <f t="shared" si="28"/>
        <v/>
      </c>
      <c r="AG30" s="17"/>
      <c r="AH30" s="17" t="str">
        <f t="shared" si="29"/>
        <v/>
      </c>
      <c r="AI30" s="17"/>
      <c r="AJ30" s="17" t="str">
        <f t="shared" si="30"/>
        <v/>
      </c>
      <c r="AK30" s="29"/>
      <c r="AL30" s="114" t="str">
        <f t="shared" si="31"/>
        <v/>
      </c>
      <c r="AM30" s="37" t="str">
        <f t="shared" si="32"/>
        <v/>
      </c>
      <c r="AN30" s="17" t="str">
        <f t="shared" si="33"/>
        <v/>
      </c>
      <c r="AO30" s="18" t="str">
        <f t="shared" si="34"/>
        <v/>
      </c>
      <c r="AP30" s="11"/>
      <c r="AR30" s="75"/>
      <c r="AS30" s="36"/>
      <c r="AT30" s="37" t="str">
        <f t="shared" si="35"/>
        <v/>
      </c>
      <c r="AU30" s="17"/>
      <c r="AV30" s="17" t="str">
        <f t="shared" si="36"/>
        <v/>
      </c>
      <c r="AW30" s="17"/>
      <c r="AX30" s="17" t="str">
        <f t="shared" si="37"/>
        <v/>
      </c>
      <c r="AY30" s="29"/>
      <c r="AZ30" s="114" t="str">
        <f t="shared" si="38"/>
        <v/>
      </c>
      <c r="BA30" s="37" t="str">
        <f t="shared" si="39"/>
        <v/>
      </c>
      <c r="BB30" s="17" t="str">
        <f t="shared" si="40"/>
        <v/>
      </c>
      <c r="BC30" s="18" t="str">
        <f t="shared" si="41"/>
        <v/>
      </c>
      <c r="BD30" s="11"/>
      <c r="BF30" s="7"/>
      <c r="BG30" s="34"/>
      <c r="BH30" s="9" t="str">
        <f t="shared" ref="BH30:BH50" si="51">IF(BG30="","",BG30-BG29)</f>
        <v/>
      </c>
      <c r="BI30" s="9"/>
      <c r="BJ30" s="9"/>
      <c r="BK30" s="9"/>
      <c r="BL30" s="9" t="str">
        <f t="shared" ref="BL30:BL50" si="52">IF(BK30="","",BK29+BM29-BK30)</f>
        <v/>
      </c>
      <c r="BM30" s="9"/>
      <c r="BN30" s="126" t="str">
        <f t="shared" si="10"/>
        <v/>
      </c>
      <c r="BO30" s="9"/>
      <c r="BP30" s="9" t="str">
        <f t="shared" si="49"/>
        <v/>
      </c>
      <c r="BQ30" s="10" t="str">
        <f t="shared" si="50"/>
        <v/>
      </c>
      <c r="BR30" s="11"/>
    </row>
    <row r="31" spans="1:70" ht="15" customHeight="1" thickTop="1" x14ac:dyDescent="0.2">
      <c r="A31" s="71"/>
      <c r="B31" s="61">
        <f>SUM(D31:D34)+SUM(R31:R34)+SUM(AF31:AF34)+SUM(AT31:AT34)+SUM(BH10)</f>
        <v>0</v>
      </c>
      <c r="C31" s="33"/>
      <c r="D31" s="33" t="str">
        <f t="shared" ref="D31:D34" si="53">IF(C31="","",C31-C27)</f>
        <v/>
      </c>
      <c r="E31" s="33"/>
      <c r="F31" s="20" t="str">
        <f t="shared" ref="F31:F34" si="54">IF(E31="","",E31-E27)</f>
        <v/>
      </c>
      <c r="G31" s="33"/>
      <c r="H31" s="33" t="str">
        <f t="shared" si="44"/>
        <v/>
      </c>
      <c r="I31" s="43"/>
      <c r="J31" s="112" t="str">
        <f t="shared" si="45"/>
        <v/>
      </c>
      <c r="K31" s="34" t="str">
        <f t="shared" si="46"/>
        <v/>
      </c>
      <c r="L31" s="20" t="str">
        <f t="shared" si="47"/>
        <v/>
      </c>
      <c r="M31" s="21" t="str">
        <f t="shared" si="48"/>
        <v/>
      </c>
      <c r="N31" s="11"/>
      <c r="P31" s="76" t="str">
        <f>IF($A31="","",$A31)</f>
        <v/>
      </c>
      <c r="Q31" s="33"/>
      <c r="R31" s="33" t="str">
        <f t="shared" si="21"/>
        <v/>
      </c>
      <c r="S31" s="33"/>
      <c r="T31" s="20" t="str">
        <f t="shared" si="22"/>
        <v/>
      </c>
      <c r="U31" s="33"/>
      <c r="V31" s="33" t="str">
        <f t="shared" si="23"/>
        <v/>
      </c>
      <c r="W31" s="43"/>
      <c r="X31" s="112" t="str">
        <f t="shared" si="24"/>
        <v/>
      </c>
      <c r="Y31" s="34" t="str">
        <f t="shared" si="25"/>
        <v/>
      </c>
      <c r="Z31" s="20" t="str">
        <f t="shared" si="26"/>
        <v/>
      </c>
      <c r="AA31" s="21" t="str">
        <f t="shared" si="27"/>
        <v/>
      </c>
      <c r="AB31" s="11"/>
      <c r="AD31" s="76" t="str">
        <f>IF($A31="","",$A31)</f>
        <v/>
      </c>
      <c r="AE31" s="33"/>
      <c r="AF31" s="33" t="str">
        <f t="shared" si="28"/>
        <v/>
      </c>
      <c r="AG31" s="33"/>
      <c r="AH31" s="20" t="str">
        <f t="shared" si="29"/>
        <v/>
      </c>
      <c r="AI31" s="33"/>
      <c r="AJ31" s="33" t="str">
        <f t="shared" si="30"/>
        <v/>
      </c>
      <c r="AK31" s="43"/>
      <c r="AL31" s="112" t="str">
        <f t="shared" si="31"/>
        <v/>
      </c>
      <c r="AM31" s="34" t="str">
        <f t="shared" si="32"/>
        <v/>
      </c>
      <c r="AN31" s="20" t="str">
        <f t="shared" si="33"/>
        <v/>
      </c>
      <c r="AO31" s="21" t="str">
        <f t="shared" si="34"/>
        <v/>
      </c>
      <c r="AP31" s="11"/>
      <c r="AR31" s="76" t="str">
        <f>IF($A31="","",$A31)</f>
        <v/>
      </c>
      <c r="AS31" s="33"/>
      <c r="AT31" s="33" t="str">
        <f t="shared" si="35"/>
        <v/>
      </c>
      <c r="AU31" s="33"/>
      <c r="AV31" s="20" t="str">
        <f t="shared" si="36"/>
        <v/>
      </c>
      <c r="AW31" s="33"/>
      <c r="AX31" s="33" t="str">
        <f t="shared" si="37"/>
        <v/>
      </c>
      <c r="AY31" s="43"/>
      <c r="AZ31" s="112" t="str">
        <f t="shared" si="38"/>
        <v/>
      </c>
      <c r="BA31" s="34" t="str">
        <f t="shared" si="39"/>
        <v/>
      </c>
      <c r="BB31" s="20" t="str">
        <f t="shared" si="40"/>
        <v/>
      </c>
      <c r="BC31" s="21" t="str">
        <f t="shared" si="41"/>
        <v/>
      </c>
      <c r="BD31" s="11"/>
      <c r="BF31" s="7"/>
      <c r="BG31" s="34"/>
      <c r="BH31" s="9" t="str">
        <f t="shared" si="51"/>
        <v/>
      </c>
      <c r="BI31" s="9"/>
      <c r="BJ31" s="9"/>
      <c r="BK31" s="9"/>
      <c r="BL31" s="9" t="str">
        <f t="shared" si="52"/>
        <v/>
      </c>
      <c r="BM31" s="9"/>
      <c r="BN31" s="126" t="str">
        <f t="shared" si="10"/>
        <v/>
      </c>
      <c r="BO31" s="9"/>
      <c r="BP31" s="9" t="str">
        <f t="shared" si="49"/>
        <v/>
      </c>
      <c r="BQ31" s="10" t="str">
        <f t="shared" si="50"/>
        <v/>
      </c>
      <c r="BR31" s="11"/>
    </row>
    <row r="32" spans="1:70" ht="15" customHeight="1" x14ac:dyDescent="0.2">
      <c r="A32" s="72"/>
      <c r="B32" s="61"/>
      <c r="C32" s="9"/>
      <c r="D32" s="9" t="str">
        <f t="shared" si="53"/>
        <v/>
      </c>
      <c r="E32" s="9"/>
      <c r="F32" s="9" t="str">
        <f t="shared" si="54"/>
        <v/>
      </c>
      <c r="G32" s="9"/>
      <c r="H32" s="9" t="str">
        <f t="shared" si="44"/>
        <v/>
      </c>
      <c r="I32" s="13"/>
      <c r="J32" s="113" t="str">
        <f t="shared" si="45"/>
        <v/>
      </c>
      <c r="K32" s="34" t="str">
        <f t="shared" si="46"/>
        <v/>
      </c>
      <c r="L32" s="9" t="str">
        <f t="shared" si="47"/>
        <v/>
      </c>
      <c r="M32" s="10" t="str">
        <f t="shared" si="48"/>
        <v/>
      </c>
      <c r="N32" s="11"/>
      <c r="P32" s="72"/>
      <c r="Q32" s="9"/>
      <c r="R32" s="9" t="str">
        <f t="shared" si="21"/>
        <v/>
      </c>
      <c r="S32" s="9"/>
      <c r="T32" s="9" t="str">
        <f t="shared" si="22"/>
        <v/>
      </c>
      <c r="U32" s="9"/>
      <c r="V32" s="9" t="str">
        <f t="shared" si="23"/>
        <v/>
      </c>
      <c r="W32" s="13"/>
      <c r="X32" s="113" t="str">
        <f t="shared" si="24"/>
        <v/>
      </c>
      <c r="Y32" s="34" t="str">
        <f t="shared" si="25"/>
        <v/>
      </c>
      <c r="Z32" s="9" t="str">
        <f t="shared" si="26"/>
        <v/>
      </c>
      <c r="AA32" s="10" t="str">
        <f t="shared" si="27"/>
        <v/>
      </c>
      <c r="AB32" s="11"/>
      <c r="AD32" s="72"/>
      <c r="AE32" s="9"/>
      <c r="AF32" s="9" t="str">
        <f t="shared" si="28"/>
        <v/>
      </c>
      <c r="AG32" s="9"/>
      <c r="AH32" s="9" t="str">
        <f t="shared" si="29"/>
        <v/>
      </c>
      <c r="AI32" s="9"/>
      <c r="AJ32" s="9" t="str">
        <f t="shared" si="30"/>
        <v/>
      </c>
      <c r="AK32" s="13"/>
      <c r="AL32" s="113" t="str">
        <f t="shared" si="31"/>
        <v/>
      </c>
      <c r="AM32" s="34" t="str">
        <f t="shared" si="32"/>
        <v/>
      </c>
      <c r="AN32" s="9" t="str">
        <f t="shared" si="33"/>
        <v/>
      </c>
      <c r="AO32" s="10" t="str">
        <f t="shared" si="34"/>
        <v/>
      </c>
      <c r="AP32" s="11"/>
      <c r="AR32" s="72"/>
      <c r="AS32" s="9"/>
      <c r="AT32" s="9" t="str">
        <f t="shared" si="35"/>
        <v/>
      </c>
      <c r="AU32" s="9"/>
      <c r="AV32" s="9" t="str">
        <f t="shared" si="36"/>
        <v/>
      </c>
      <c r="AW32" s="9"/>
      <c r="AX32" s="9" t="str">
        <f t="shared" si="37"/>
        <v/>
      </c>
      <c r="AY32" s="13"/>
      <c r="AZ32" s="113" t="str">
        <f t="shared" si="38"/>
        <v/>
      </c>
      <c r="BA32" s="34" t="str">
        <f t="shared" si="39"/>
        <v/>
      </c>
      <c r="BB32" s="9" t="str">
        <f t="shared" si="40"/>
        <v/>
      </c>
      <c r="BC32" s="10" t="str">
        <f t="shared" si="41"/>
        <v/>
      </c>
      <c r="BD32" s="11"/>
      <c r="BF32" s="7"/>
      <c r="BG32" s="34"/>
      <c r="BH32" s="9" t="str">
        <f t="shared" si="51"/>
        <v/>
      </c>
      <c r="BI32" s="9"/>
      <c r="BJ32" s="9"/>
      <c r="BK32" s="9"/>
      <c r="BL32" s="9" t="str">
        <f t="shared" si="52"/>
        <v/>
      </c>
      <c r="BM32" s="9"/>
      <c r="BN32" s="126" t="str">
        <f t="shared" si="10"/>
        <v/>
      </c>
      <c r="BO32" s="9"/>
      <c r="BP32" s="9" t="str">
        <f t="shared" si="49"/>
        <v/>
      </c>
      <c r="BQ32" s="10" t="str">
        <f t="shared" si="50"/>
        <v/>
      </c>
      <c r="BR32" s="11"/>
    </row>
    <row r="33" spans="1:70" ht="15" customHeight="1" x14ac:dyDescent="0.2">
      <c r="A33" s="72"/>
      <c r="B33" s="8"/>
      <c r="C33" s="23"/>
      <c r="D33" s="9" t="str">
        <f t="shared" si="53"/>
        <v/>
      </c>
      <c r="E33" s="9"/>
      <c r="F33" s="9" t="str">
        <f t="shared" si="54"/>
        <v/>
      </c>
      <c r="G33" s="23"/>
      <c r="H33" s="9" t="str">
        <f t="shared" si="44"/>
        <v/>
      </c>
      <c r="I33" s="30"/>
      <c r="J33" s="113" t="str">
        <f t="shared" si="45"/>
        <v/>
      </c>
      <c r="K33" s="34" t="str">
        <f t="shared" si="46"/>
        <v/>
      </c>
      <c r="L33" s="9" t="str">
        <f t="shared" si="47"/>
        <v/>
      </c>
      <c r="M33" s="10" t="str">
        <f t="shared" si="48"/>
        <v/>
      </c>
      <c r="N33" s="11"/>
      <c r="P33" s="72"/>
      <c r="Q33" s="23"/>
      <c r="R33" s="9" t="str">
        <f t="shared" si="21"/>
        <v/>
      </c>
      <c r="S33" s="9"/>
      <c r="T33" s="9" t="str">
        <f t="shared" si="22"/>
        <v/>
      </c>
      <c r="U33" s="23"/>
      <c r="V33" s="9" t="str">
        <f t="shared" si="23"/>
        <v/>
      </c>
      <c r="W33" s="30"/>
      <c r="X33" s="113" t="str">
        <f t="shared" si="24"/>
        <v/>
      </c>
      <c r="Y33" s="34" t="str">
        <f t="shared" si="25"/>
        <v/>
      </c>
      <c r="Z33" s="9" t="str">
        <f t="shared" si="26"/>
        <v/>
      </c>
      <c r="AA33" s="10" t="str">
        <f t="shared" si="27"/>
        <v/>
      </c>
      <c r="AB33" s="11"/>
      <c r="AD33" s="72"/>
      <c r="AE33" s="23"/>
      <c r="AF33" s="9" t="str">
        <f t="shared" si="28"/>
        <v/>
      </c>
      <c r="AG33" s="9"/>
      <c r="AH33" s="9" t="str">
        <f t="shared" si="29"/>
        <v/>
      </c>
      <c r="AI33" s="23"/>
      <c r="AJ33" s="9" t="str">
        <f t="shared" si="30"/>
        <v/>
      </c>
      <c r="AK33" s="30"/>
      <c r="AL33" s="113" t="str">
        <f t="shared" si="31"/>
        <v/>
      </c>
      <c r="AM33" s="34" t="str">
        <f t="shared" si="32"/>
        <v/>
      </c>
      <c r="AN33" s="9" t="str">
        <f t="shared" si="33"/>
        <v/>
      </c>
      <c r="AO33" s="10" t="str">
        <f t="shared" si="34"/>
        <v/>
      </c>
      <c r="AP33" s="11"/>
      <c r="AR33" s="72"/>
      <c r="AS33" s="23"/>
      <c r="AT33" s="9" t="str">
        <f t="shared" si="35"/>
        <v/>
      </c>
      <c r="AU33" s="9"/>
      <c r="AV33" s="9" t="str">
        <f t="shared" si="36"/>
        <v/>
      </c>
      <c r="AW33" s="23"/>
      <c r="AX33" s="9" t="str">
        <f t="shared" si="37"/>
        <v/>
      </c>
      <c r="AY33" s="30"/>
      <c r="AZ33" s="113" t="str">
        <f t="shared" si="38"/>
        <v/>
      </c>
      <c r="BA33" s="34" t="str">
        <f t="shared" si="39"/>
        <v/>
      </c>
      <c r="BB33" s="9" t="str">
        <f t="shared" si="40"/>
        <v/>
      </c>
      <c r="BC33" s="10" t="str">
        <f t="shared" si="41"/>
        <v/>
      </c>
      <c r="BD33" s="11"/>
      <c r="BF33" s="7"/>
      <c r="BG33" s="34"/>
      <c r="BH33" s="9" t="str">
        <f t="shared" si="51"/>
        <v/>
      </c>
      <c r="BI33" s="9"/>
      <c r="BJ33" s="9"/>
      <c r="BK33" s="9"/>
      <c r="BL33" s="9" t="str">
        <f t="shared" si="52"/>
        <v/>
      </c>
      <c r="BM33" s="9"/>
      <c r="BN33" s="126" t="str">
        <f t="shared" si="10"/>
        <v/>
      </c>
      <c r="BO33" s="9"/>
      <c r="BP33" s="9" t="str">
        <f t="shared" si="49"/>
        <v/>
      </c>
      <c r="BQ33" s="10" t="str">
        <f t="shared" si="50"/>
        <v/>
      </c>
      <c r="BR33" s="11"/>
    </row>
    <row r="34" spans="1:70" ht="15" customHeight="1" thickBot="1" x14ac:dyDescent="0.25">
      <c r="A34" s="75"/>
      <c r="B34" s="67"/>
      <c r="C34" s="17"/>
      <c r="D34" s="37" t="str">
        <f t="shared" si="53"/>
        <v/>
      </c>
      <c r="E34" s="17"/>
      <c r="F34" s="17" t="str">
        <f t="shared" si="54"/>
        <v/>
      </c>
      <c r="G34" s="17"/>
      <c r="H34" s="17" t="str">
        <f t="shared" si="44"/>
        <v/>
      </c>
      <c r="I34" s="29"/>
      <c r="J34" s="114" t="str">
        <f t="shared" si="45"/>
        <v/>
      </c>
      <c r="K34" s="37" t="str">
        <f t="shared" si="46"/>
        <v/>
      </c>
      <c r="L34" s="17" t="str">
        <f t="shared" si="47"/>
        <v/>
      </c>
      <c r="M34" s="18" t="str">
        <f t="shared" si="48"/>
        <v/>
      </c>
      <c r="N34" s="11"/>
      <c r="P34" s="75"/>
      <c r="Q34" s="17"/>
      <c r="R34" s="37" t="str">
        <f t="shared" si="21"/>
        <v/>
      </c>
      <c r="S34" s="17"/>
      <c r="T34" s="17" t="str">
        <f t="shared" si="22"/>
        <v/>
      </c>
      <c r="U34" s="17"/>
      <c r="V34" s="17" t="str">
        <f t="shared" si="23"/>
        <v/>
      </c>
      <c r="W34" s="29"/>
      <c r="X34" s="114" t="str">
        <f t="shared" si="24"/>
        <v/>
      </c>
      <c r="Y34" s="37" t="str">
        <f t="shared" si="25"/>
        <v/>
      </c>
      <c r="Z34" s="17" t="str">
        <f t="shared" si="26"/>
        <v/>
      </c>
      <c r="AA34" s="18" t="str">
        <f t="shared" si="27"/>
        <v/>
      </c>
      <c r="AB34" s="11"/>
      <c r="AD34" s="75"/>
      <c r="AE34" s="17"/>
      <c r="AF34" s="37" t="str">
        <f t="shared" si="28"/>
        <v/>
      </c>
      <c r="AG34" s="17"/>
      <c r="AH34" s="17" t="str">
        <f t="shared" si="29"/>
        <v/>
      </c>
      <c r="AI34" s="17"/>
      <c r="AJ34" s="17" t="str">
        <f t="shared" si="30"/>
        <v/>
      </c>
      <c r="AK34" s="29"/>
      <c r="AL34" s="114" t="str">
        <f t="shared" si="31"/>
        <v/>
      </c>
      <c r="AM34" s="37" t="str">
        <f t="shared" si="32"/>
        <v/>
      </c>
      <c r="AN34" s="17" t="str">
        <f t="shared" si="33"/>
        <v/>
      </c>
      <c r="AO34" s="18" t="str">
        <f t="shared" si="34"/>
        <v/>
      </c>
      <c r="AP34" s="11"/>
      <c r="AR34" s="75"/>
      <c r="AS34" s="17"/>
      <c r="AT34" s="37" t="str">
        <f t="shared" si="35"/>
        <v/>
      </c>
      <c r="AU34" s="17"/>
      <c r="AV34" s="17" t="str">
        <f t="shared" si="36"/>
        <v/>
      </c>
      <c r="AW34" s="17"/>
      <c r="AX34" s="17" t="str">
        <f t="shared" si="37"/>
        <v/>
      </c>
      <c r="AY34" s="29"/>
      <c r="AZ34" s="114" t="str">
        <f t="shared" si="38"/>
        <v/>
      </c>
      <c r="BA34" s="37" t="str">
        <f t="shared" si="39"/>
        <v/>
      </c>
      <c r="BB34" s="17" t="str">
        <f t="shared" si="40"/>
        <v/>
      </c>
      <c r="BC34" s="18" t="str">
        <f t="shared" si="41"/>
        <v/>
      </c>
      <c r="BD34" s="11"/>
      <c r="BF34" s="7"/>
      <c r="BG34" s="34"/>
      <c r="BH34" s="9" t="str">
        <f t="shared" si="51"/>
        <v/>
      </c>
      <c r="BI34" s="9"/>
      <c r="BJ34" s="9"/>
      <c r="BK34" s="9"/>
      <c r="BL34" s="9" t="str">
        <f t="shared" si="52"/>
        <v/>
      </c>
      <c r="BM34" s="9"/>
      <c r="BN34" s="126" t="str">
        <f t="shared" si="10"/>
        <v/>
      </c>
      <c r="BO34" s="9"/>
      <c r="BP34" s="9" t="str">
        <f t="shared" si="49"/>
        <v/>
      </c>
      <c r="BQ34" s="10" t="str">
        <f t="shared" si="50"/>
        <v/>
      </c>
      <c r="BR34" s="11"/>
    </row>
    <row r="35" spans="1:70" ht="15" customHeight="1" thickTop="1" x14ac:dyDescent="0.2">
      <c r="A35" s="71"/>
      <c r="B35" s="61">
        <f>SUM(D35:D38)+SUM(R35:R38)+SUM(AF35:AF38)+SUM(AT35:AT38)+SUM(BH11)</f>
        <v>0</v>
      </c>
      <c r="C35" s="33"/>
      <c r="D35" s="33" t="str">
        <f t="shared" ref="D35:D66" si="55">IF(C35="","",C35-C31)</f>
        <v/>
      </c>
      <c r="E35" s="33"/>
      <c r="F35" s="20" t="str">
        <f t="shared" ref="F35:F66" si="56">IF(E35="","",E35-E31)</f>
        <v/>
      </c>
      <c r="G35" s="33"/>
      <c r="H35" s="33" t="str">
        <f t="shared" si="44"/>
        <v/>
      </c>
      <c r="I35" s="43"/>
      <c r="J35" s="112" t="str">
        <f t="shared" ref="J34:J58" si="57">IF(C35="","",J31)</f>
        <v/>
      </c>
      <c r="K35" s="34" t="str">
        <f t="shared" si="46"/>
        <v/>
      </c>
      <c r="L35" s="20" t="str">
        <f t="shared" si="47"/>
        <v/>
      </c>
      <c r="M35" s="21" t="str">
        <f t="shared" si="48"/>
        <v/>
      </c>
      <c r="N35" s="11"/>
      <c r="P35" s="76" t="str">
        <f>IF($A35="","",$A35)</f>
        <v/>
      </c>
      <c r="Q35" s="33"/>
      <c r="R35" s="33" t="str">
        <f t="shared" si="21"/>
        <v/>
      </c>
      <c r="S35" s="33"/>
      <c r="T35" s="20" t="str">
        <f t="shared" si="22"/>
        <v/>
      </c>
      <c r="U35" s="33"/>
      <c r="V35" s="33" t="str">
        <f t="shared" si="23"/>
        <v/>
      </c>
      <c r="W35" s="43"/>
      <c r="X35" s="112" t="str">
        <f t="shared" si="24"/>
        <v/>
      </c>
      <c r="Y35" s="34" t="str">
        <f t="shared" si="25"/>
        <v/>
      </c>
      <c r="Z35" s="20" t="str">
        <f t="shared" si="26"/>
        <v/>
      </c>
      <c r="AA35" s="21" t="str">
        <f t="shared" si="27"/>
        <v/>
      </c>
      <c r="AB35" s="11"/>
      <c r="AD35" s="76" t="str">
        <f>IF($A35="","",$A35)</f>
        <v/>
      </c>
      <c r="AE35" s="33"/>
      <c r="AF35" s="33" t="str">
        <f t="shared" si="28"/>
        <v/>
      </c>
      <c r="AG35" s="33"/>
      <c r="AH35" s="20" t="str">
        <f t="shared" si="29"/>
        <v/>
      </c>
      <c r="AI35" s="33"/>
      <c r="AJ35" s="33" t="str">
        <f t="shared" si="30"/>
        <v/>
      </c>
      <c r="AK35" s="43"/>
      <c r="AL35" s="112" t="str">
        <f t="shared" si="31"/>
        <v/>
      </c>
      <c r="AM35" s="34" t="str">
        <f t="shared" si="32"/>
        <v/>
      </c>
      <c r="AN35" s="20" t="str">
        <f t="shared" si="33"/>
        <v/>
      </c>
      <c r="AO35" s="21" t="str">
        <f t="shared" si="34"/>
        <v/>
      </c>
      <c r="AP35" s="11"/>
      <c r="AR35" s="76" t="str">
        <f>IF($A35="","",$A35)</f>
        <v/>
      </c>
      <c r="AS35" s="33"/>
      <c r="AT35" s="33" t="str">
        <f t="shared" si="35"/>
        <v/>
      </c>
      <c r="AU35" s="33"/>
      <c r="AV35" s="20" t="str">
        <f t="shared" si="36"/>
        <v/>
      </c>
      <c r="AW35" s="33"/>
      <c r="AX35" s="33" t="str">
        <f t="shared" si="37"/>
        <v/>
      </c>
      <c r="AY35" s="43"/>
      <c r="AZ35" s="112" t="str">
        <f t="shared" si="38"/>
        <v/>
      </c>
      <c r="BA35" s="34" t="str">
        <f t="shared" si="39"/>
        <v/>
      </c>
      <c r="BB35" s="20" t="str">
        <f t="shared" si="40"/>
        <v/>
      </c>
      <c r="BC35" s="21" t="str">
        <f t="shared" si="41"/>
        <v/>
      </c>
      <c r="BD35" s="11"/>
      <c r="BF35" s="7"/>
      <c r="BG35" s="34"/>
      <c r="BH35" s="9" t="str">
        <f t="shared" si="51"/>
        <v/>
      </c>
      <c r="BI35" s="9"/>
      <c r="BJ35" s="9"/>
      <c r="BK35" s="9"/>
      <c r="BL35" s="9" t="str">
        <f t="shared" si="52"/>
        <v/>
      </c>
      <c r="BM35" s="9"/>
      <c r="BN35" s="126" t="str">
        <f t="shared" si="10"/>
        <v/>
      </c>
      <c r="BO35" s="9"/>
      <c r="BP35" s="9" t="str">
        <f t="shared" si="49"/>
        <v/>
      </c>
      <c r="BQ35" s="10" t="str">
        <f t="shared" si="50"/>
        <v/>
      </c>
      <c r="BR35" s="11"/>
    </row>
    <row r="36" spans="1:70" ht="15" customHeight="1" x14ac:dyDescent="0.2">
      <c r="A36" s="72"/>
      <c r="B36" s="61"/>
      <c r="C36" s="33"/>
      <c r="D36" s="9" t="str">
        <f t="shared" si="55"/>
        <v/>
      </c>
      <c r="E36" s="9"/>
      <c r="F36" s="9" t="str">
        <f t="shared" si="56"/>
        <v/>
      </c>
      <c r="G36" s="9"/>
      <c r="H36" s="9" t="str">
        <f t="shared" si="44"/>
        <v/>
      </c>
      <c r="I36" s="13"/>
      <c r="J36" s="113" t="str">
        <f t="shared" si="57"/>
        <v/>
      </c>
      <c r="K36" s="34" t="str">
        <f t="shared" si="46"/>
        <v/>
      </c>
      <c r="L36" s="9" t="str">
        <f t="shared" si="47"/>
        <v/>
      </c>
      <c r="M36" s="10" t="str">
        <f t="shared" si="48"/>
        <v/>
      </c>
      <c r="N36" s="11"/>
      <c r="P36" s="72"/>
      <c r="Q36" s="33"/>
      <c r="R36" s="9" t="str">
        <f t="shared" si="21"/>
        <v/>
      </c>
      <c r="S36" s="9"/>
      <c r="T36" s="9" t="str">
        <f t="shared" si="22"/>
        <v/>
      </c>
      <c r="U36" s="9"/>
      <c r="V36" s="9" t="str">
        <f t="shared" si="23"/>
        <v/>
      </c>
      <c r="W36" s="13"/>
      <c r="X36" s="113" t="str">
        <f t="shared" si="24"/>
        <v/>
      </c>
      <c r="Y36" s="34" t="str">
        <f t="shared" si="25"/>
        <v/>
      </c>
      <c r="Z36" s="9" t="str">
        <f t="shared" si="26"/>
        <v/>
      </c>
      <c r="AA36" s="10" t="str">
        <f t="shared" si="27"/>
        <v/>
      </c>
      <c r="AB36" s="11"/>
      <c r="AD36" s="72"/>
      <c r="AE36" s="33"/>
      <c r="AF36" s="9" t="str">
        <f t="shared" si="28"/>
        <v/>
      </c>
      <c r="AG36" s="9"/>
      <c r="AH36" s="9" t="str">
        <f t="shared" si="29"/>
        <v/>
      </c>
      <c r="AI36" s="9"/>
      <c r="AJ36" s="9" t="str">
        <f t="shared" si="30"/>
        <v/>
      </c>
      <c r="AK36" s="13"/>
      <c r="AL36" s="113" t="str">
        <f t="shared" si="31"/>
        <v/>
      </c>
      <c r="AM36" s="34" t="str">
        <f t="shared" si="32"/>
        <v/>
      </c>
      <c r="AN36" s="9" t="str">
        <f t="shared" si="33"/>
        <v/>
      </c>
      <c r="AO36" s="10" t="str">
        <f t="shared" si="34"/>
        <v/>
      </c>
      <c r="AP36" s="11"/>
      <c r="AR36" s="72"/>
      <c r="AS36" s="33"/>
      <c r="AT36" s="9" t="str">
        <f t="shared" si="35"/>
        <v/>
      </c>
      <c r="AU36" s="9"/>
      <c r="AV36" s="9" t="str">
        <f t="shared" si="36"/>
        <v/>
      </c>
      <c r="AW36" s="9"/>
      <c r="AX36" s="9" t="str">
        <f t="shared" si="37"/>
        <v/>
      </c>
      <c r="AY36" s="13"/>
      <c r="AZ36" s="113" t="str">
        <f t="shared" si="38"/>
        <v/>
      </c>
      <c r="BA36" s="34" t="str">
        <f t="shared" si="39"/>
        <v/>
      </c>
      <c r="BB36" s="9" t="str">
        <f t="shared" si="40"/>
        <v/>
      </c>
      <c r="BC36" s="10" t="str">
        <f t="shared" si="41"/>
        <v/>
      </c>
      <c r="BD36" s="11"/>
      <c r="BF36" s="7"/>
      <c r="BG36" s="34"/>
      <c r="BH36" s="9" t="str">
        <f t="shared" si="51"/>
        <v/>
      </c>
      <c r="BI36" s="9"/>
      <c r="BJ36" s="9"/>
      <c r="BK36" s="9"/>
      <c r="BL36" s="9" t="str">
        <f t="shared" si="52"/>
        <v/>
      </c>
      <c r="BM36" s="9"/>
      <c r="BN36" s="126" t="str">
        <f t="shared" si="10"/>
        <v/>
      </c>
      <c r="BO36" s="9"/>
      <c r="BP36" s="9" t="str">
        <f t="shared" si="49"/>
        <v/>
      </c>
      <c r="BQ36" s="10" t="str">
        <f t="shared" si="50"/>
        <v/>
      </c>
      <c r="BR36" s="11"/>
    </row>
    <row r="37" spans="1:70" ht="15" customHeight="1" x14ac:dyDescent="0.2">
      <c r="A37" s="72"/>
      <c r="B37" s="8"/>
      <c r="C37" s="38"/>
      <c r="D37" s="9" t="str">
        <f t="shared" si="55"/>
        <v/>
      </c>
      <c r="E37" s="9"/>
      <c r="F37" s="9" t="str">
        <f t="shared" si="56"/>
        <v/>
      </c>
      <c r="G37" s="9"/>
      <c r="H37" s="9" t="str">
        <f t="shared" si="44"/>
        <v/>
      </c>
      <c r="I37" s="13"/>
      <c r="J37" s="113" t="str">
        <f t="shared" si="57"/>
        <v/>
      </c>
      <c r="K37" s="34" t="str">
        <f t="shared" si="46"/>
        <v/>
      </c>
      <c r="L37" s="9" t="str">
        <f t="shared" si="47"/>
        <v/>
      </c>
      <c r="M37" s="10" t="str">
        <f t="shared" si="48"/>
        <v/>
      </c>
      <c r="N37" s="11"/>
      <c r="P37" s="72"/>
      <c r="Q37" s="38"/>
      <c r="R37" s="9" t="str">
        <f t="shared" si="21"/>
        <v/>
      </c>
      <c r="S37" s="9"/>
      <c r="T37" s="9" t="str">
        <f t="shared" si="22"/>
        <v/>
      </c>
      <c r="U37" s="9"/>
      <c r="V37" s="9" t="str">
        <f t="shared" si="23"/>
        <v/>
      </c>
      <c r="W37" s="13"/>
      <c r="X37" s="113" t="str">
        <f t="shared" si="24"/>
        <v/>
      </c>
      <c r="Y37" s="34" t="str">
        <f t="shared" si="25"/>
        <v/>
      </c>
      <c r="Z37" s="9" t="str">
        <f t="shared" si="26"/>
        <v/>
      </c>
      <c r="AA37" s="10" t="str">
        <f t="shared" si="27"/>
        <v/>
      </c>
      <c r="AB37" s="11"/>
      <c r="AD37" s="72"/>
      <c r="AE37" s="38"/>
      <c r="AF37" s="9" t="str">
        <f t="shared" si="28"/>
        <v/>
      </c>
      <c r="AG37" s="9"/>
      <c r="AH37" s="9" t="str">
        <f t="shared" si="29"/>
        <v/>
      </c>
      <c r="AI37" s="9"/>
      <c r="AJ37" s="9" t="str">
        <f t="shared" si="30"/>
        <v/>
      </c>
      <c r="AK37" s="13"/>
      <c r="AL37" s="113" t="str">
        <f t="shared" si="31"/>
        <v/>
      </c>
      <c r="AM37" s="34" t="str">
        <f t="shared" si="32"/>
        <v/>
      </c>
      <c r="AN37" s="9" t="str">
        <f t="shared" si="33"/>
        <v/>
      </c>
      <c r="AO37" s="10" t="str">
        <f t="shared" si="34"/>
        <v/>
      </c>
      <c r="AP37" s="11"/>
      <c r="AR37" s="72"/>
      <c r="AS37" s="38"/>
      <c r="AT37" s="9" t="str">
        <f t="shared" si="35"/>
        <v/>
      </c>
      <c r="AU37" s="9"/>
      <c r="AV37" s="9" t="str">
        <f t="shared" si="36"/>
        <v/>
      </c>
      <c r="AW37" s="9"/>
      <c r="AX37" s="9" t="str">
        <f t="shared" si="37"/>
        <v/>
      </c>
      <c r="AY37" s="13"/>
      <c r="AZ37" s="113" t="str">
        <f t="shared" si="38"/>
        <v/>
      </c>
      <c r="BA37" s="34" t="str">
        <f t="shared" si="39"/>
        <v/>
      </c>
      <c r="BB37" s="9" t="str">
        <f t="shared" si="40"/>
        <v/>
      </c>
      <c r="BC37" s="10" t="str">
        <f t="shared" si="41"/>
        <v/>
      </c>
      <c r="BD37" s="11"/>
      <c r="BF37" s="7"/>
      <c r="BG37" s="34"/>
      <c r="BH37" s="9" t="str">
        <f t="shared" si="51"/>
        <v/>
      </c>
      <c r="BI37" s="9"/>
      <c r="BJ37" s="9"/>
      <c r="BK37" s="9"/>
      <c r="BL37" s="9" t="str">
        <f t="shared" si="52"/>
        <v/>
      </c>
      <c r="BM37" s="9"/>
      <c r="BN37" s="126" t="str">
        <f t="shared" si="10"/>
        <v/>
      </c>
      <c r="BO37" s="9"/>
      <c r="BP37" s="9" t="str">
        <f t="shared" si="49"/>
        <v/>
      </c>
      <c r="BQ37" s="10" t="str">
        <f t="shared" si="50"/>
        <v/>
      </c>
      <c r="BR37" s="11"/>
    </row>
    <row r="38" spans="1:70" ht="15" customHeight="1" thickBot="1" x14ac:dyDescent="0.25">
      <c r="A38" s="75"/>
      <c r="B38" s="67"/>
      <c r="C38" s="36"/>
      <c r="D38" s="37" t="str">
        <f t="shared" si="55"/>
        <v/>
      </c>
      <c r="E38" s="17"/>
      <c r="F38" s="17" t="str">
        <f t="shared" si="56"/>
        <v/>
      </c>
      <c r="G38" s="17"/>
      <c r="H38" s="17" t="str">
        <f t="shared" si="44"/>
        <v/>
      </c>
      <c r="I38" s="29"/>
      <c r="J38" s="114" t="str">
        <f t="shared" si="57"/>
        <v/>
      </c>
      <c r="K38" s="37" t="str">
        <f t="shared" si="46"/>
        <v/>
      </c>
      <c r="L38" s="17" t="str">
        <f t="shared" si="47"/>
        <v/>
      </c>
      <c r="M38" s="18" t="str">
        <f t="shared" si="48"/>
        <v/>
      </c>
      <c r="N38" s="11"/>
      <c r="P38" s="75"/>
      <c r="Q38" s="36"/>
      <c r="R38" s="37" t="str">
        <f t="shared" si="21"/>
        <v/>
      </c>
      <c r="S38" s="17"/>
      <c r="T38" s="17" t="str">
        <f t="shared" si="22"/>
        <v/>
      </c>
      <c r="U38" s="17"/>
      <c r="V38" s="17" t="str">
        <f t="shared" si="23"/>
        <v/>
      </c>
      <c r="W38" s="29"/>
      <c r="X38" s="114" t="str">
        <f t="shared" si="24"/>
        <v/>
      </c>
      <c r="Y38" s="37" t="str">
        <f t="shared" si="25"/>
        <v/>
      </c>
      <c r="Z38" s="17" t="str">
        <f t="shared" si="26"/>
        <v/>
      </c>
      <c r="AA38" s="18" t="str">
        <f t="shared" si="27"/>
        <v/>
      </c>
      <c r="AB38" s="11"/>
      <c r="AD38" s="75"/>
      <c r="AE38" s="36"/>
      <c r="AF38" s="37" t="str">
        <f t="shared" si="28"/>
        <v/>
      </c>
      <c r="AG38" s="17"/>
      <c r="AH38" s="17" t="str">
        <f t="shared" si="29"/>
        <v/>
      </c>
      <c r="AI38" s="17"/>
      <c r="AJ38" s="17" t="str">
        <f t="shared" si="30"/>
        <v/>
      </c>
      <c r="AK38" s="29"/>
      <c r="AL38" s="114" t="str">
        <f t="shared" si="31"/>
        <v/>
      </c>
      <c r="AM38" s="37" t="str">
        <f t="shared" si="32"/>
        <v/>
      </c>
      <c r="AN38" s="17" t="str">
        <f t="shared" si="33"/>
        <v/>
      </c>
      <c r="AO38" s="18" t="str">
        <f t="shared" si="34"/>
        <v/>
      </c>
      <c r="AP38" s="11"/>
      <c r="AR38" s="75"/>
      <c r="AS38" s="36"/>
      <c r="AT38" s="37" t="str">
        <f t="shared" si="35"/>
        <v/>
      </c>
      <c r="AU38" s="17"/>
      <c r="AV38" s="17" t="str">
        <f t="shared" si="36"/>
        <v/>
      </c>
      <c r="AW38" s="17"/>
      <c r="AX38" s="17" t="str">
        <f t="shared" si="37"/>
        <v/>
      </c>
      <c r="AY38" s="29"/>
      <c r="AZ38" s="114" t="str">
        <f t="shared" si="38"/>
        <v/>
      </c>
      <c r="BA38" s="37" t="str">
        <f t="shared" si="39"/>
        <v/>
      </c>
      <c r="BB38" s="17" t="str">
        <f t="shared" si="40"/>
        <v/>
      </c>
      <c r="BC38" s="18" t="str">
        <f t="shared" si="41"/>
        <v/>
      </c>
      <c r="BD38" s="11"/>
      <c r="BF38" s="7"/>
      <c r="BG38" s="34"/>
      <c r="BH38" s="9" t="str">
        <f t="shared" si="51"/>
        <v/>
      </c>
      <c r="BI38" s="9"/>
      <c r="BJ38" s="9"/>
      <c r="BK38" s="9"/>
      <c r="BL38" s="9" t="str">
        <f t="shared" si="52"/>
        <v/>
      </c>
      <c r="BM38" s="9"/>
      <c r="BN38" s="126" t="str">
        <f t="shared" si="10"/>
        <v/>
      </c>
      <c r="BO38" s="9"/>
      <c r="BP38" s="9" t="str">
        <f t="shared" si="49"/>
        <v/>
      </c>
      <c r="BQ38" s="10" t="str">
        <f t="shared" si="50"/>
        <v/>
      </c>
      <c r="BR38" s="11"/>
    </row>
    <row r="39" spans="1:70" ht="15" customHeight="1" thickTop="1" x14ac:dyDescent="0.2">
      <c r="A39" s="71"/>
      <c r="B39" s="61">
        <f>SUM(D39:D42)+SUM(R39:R42)+SUM(AF39:AF42)+SUM(AT39:AT42)+SUM(BH12)</f>
        <v>0</v>
      </c>
      <c r="C39" s="33"/>
      <c r="D39" s="33" t="str">
        <f t="shared" si="55"/>
        <v/>
      </c>
      <c r="E39" s="33"/>
      <c r="F39" s="20" t="str">
        <f t="shared" si="56"/>
        <v/>
      </c>
      <c r="G39" s="33"/>
      <c r="H39" s="33" t="str">
        <f t="shared" si="44"/>
        <v/>
      </c>
      <c r="I39" s="43"/>
      <c r="J39" s="112" t="str">
        <f t="shared" si="57"/>
        <v/>
      </c>
      <c r="K39" s="40" t="str">
        <f t="shared" si="46"/>
        <v/>
      </c>
      <c r="L39" s="20" t="str">
        <f t="shared" si="47"/>
        <v/>
      </c>
      <c r="M39" s="21" t="str">
        <f t="shared" si="48"/>
        <v/>
      </c>
      <c r="N39" s="11"/>
      <c r="P39" s="76" t="str">
        <f>IF($A39="","",$A39)</f>
        <v/>
      </c>
      <c r="Q39" s="33"/>
      <c r="R39" s="33" t="str">
        <f t="shared" si="21"/>
        <v/>
      </c>
      <c r="S39" s="33"/>
      <c r="T39" s="20" t="str">
        <f t="shared" si="22"/>
        <v/>
      </c>
      <c r="U39" s="33"/>
      <c r="V39" s="33" t="str">
        <f t="shared" si="23"/>
        <v/>
      </c>
      <c r="W39" s="43"/>
      <c r="X39" s="112" t="str">
        <f t="shared" si="24"/>
        <v/>
      </c>
      <c r="Y39" s="40" t="str">
        <f t="shared" si="25"/>
        <v/>
      </c>
      <c r="Z39" s="20" t="str">
        <f t="shared" si="26"/>
        <v/>
      </c>
      <c r="AA39" s="21" t="str">
        <f t="shared" si="27"/>
        <v/>
      </c>
      <c r="AB39" s="11"/>
      <c r="AD39" s="76" t="str">
        <f>IF($A39="","",$A39)</f>
        <v/>
      </c>
      <c r="AE39" s="33"/>
      <c r="AF39" s="33" t="str">
        <f t="shared" si="28"/>
        <v/>
      </c>
      <c r="AG39" s="33"/>
      <c r="AH39" s="20" t="str">
        <f t="shared" si="29"/>
        <v/>
      </c>
      <c r="AI39" s="33"/>
      <c r="AJ39" s="33" t="str">
        <f t="shared" si="30"/>
        <v/>
      </c>
      <c r="AK39" s="43"/>
      <c r="AL39" s="112" t="str">
        <f t="shared" si="31"/>
        <v/>
      </c>
      <c r="AM39" s="40" t="str">
        <f t="shared" si="32"/>
        <v/>
      </c>
      <c r="AN39" s="20" t="str">
        <f t="shared" si="33"/>
        <v/>
      </c>
      <c r="AO39" s="21" t="str">
        <f t="shared" si="34"/>
        <v/>
      </c>
      <c r="AP39" s="11"/>
      <c r="AR39" s="76" t="str">
        <f>IF($A39="","",$A39)</f>
        <v/>
      </c>
      <c r="AS39" s="33"/>
      <c r="AT39" s="33" t="str">
        <f t="shared" si="35"/>
        <v/>
      </c>
      <c r="AU39" s="33"/>
      <c r="AV39" s="20" t="str">
        <f t="shared" si="36"/>
        <v/>
      </c>
      <c r="AW39" s="33"/>
      <c r="AX39" s="33" t="str">
        <f t="shared" si="37"/>
        <v/>
      </c>
      <c r="AY39" s="43"/>
      <c r="AZ39" s="112" t="str">
        <f t="shared" si="38"/>
        <v/>
      </c>
      <c r="BA39" s="40" t="str">
        <f t="shared" si="39"/>
        <v/>
      </c>
      <c r="BB39" s="20" t="str">
        <f t="shared" si="40"/>
        <v/>
      </c>
      <c r="BC39" s="21" t="str">
        <f t="shared" si="41"/>
        <v/>
      </c>
      <c r="BD39" s="11"/>
      <c r="BF39" s="7"/>
      <c r="BG39" s="34"/>
      <c r="BH39" s="9" t="str">
        <f t="shared" si="51"/>
        <v/>
      </c>
      <c r="BI39" s="9"/>
      <c r="BJ39" s="9"/>
      <c r="BK39" s="9"/>
      <c r="BL39" s="9" t="str">
        <f t="shared" si="52"/>
        <v/>
      </c>
      <c r="BM39" s="9"/>
      <c r="BN39" s="126" t="str">
        <f t="shared" si="10"/>
        <v/>
      </c>
      <c r="BO39" s="9"/>
      <c r="BP39" s="9" t="str">
        <f t="shared" si="49"/>
        <v/>
      </c>
      <c r="BQ39" s="10" t="str">
        <f t="shared" si="50"/>
        <v/>
      </c>
      <c r="BR39" s="11"/>
    </row>
    <row r="40" spans="1:70" ht="15" customHeight="1" x14ac:dyDescent="0.2">
      <c r="A40" s="72"/>
      <c r="B40" s="8"/>
      <c r="C40" s="9"/>
      <c r="D40" s="9" t="str">
        <f t="shared" si="55"/>
        <v/>
      </c>
      <c r="E40" s="9"/>
      <c r="F40" s="9" t="str">
        <f t="shared" si="56"/>
        <v/>
      </c>
      <c r="G40" s="9"/>
      <c r="H40" s="9" t="str">
        <f t="shared" si="44"/>
        <v/>
      </c>
      <c r="I40" s="13"/>
      <c r="J40" s="113" t="str">
        <f t="shared" si="57"/>
        <v/>
      </c>
      <c r="K40" s="34" t="str">
        <f t="shared" si="46"/>
        <v/>
      </c>
      <c r="L40" s="9" t="str">
        <f t="shared" si="47"/>
        <v/>
      </c>
      <c r="M40" s="10" t="str">
        <f t="shared" si="48"/>
        <v/>
      </c>
      <c r="N40" s="11"/>
      <c r="P40" s="72"/>
      <c r="Q40" s="9"/>
      <c r="R40" s="9" t="str">
        <f t="shared" si="21"/>
        <v/>
      </c>
      <c r="S40" s="9"/>
      <c r="T40" s="9" t="str">
        <f t="shared" si="22"/>
        <v/>
      </c>
      <c r="U40" s="9"/>
      <c r="V40" s="9" t="str">
        <f t="shared" si="23"/>
        <v/>
      </c>
      <c r="W40" s="13"/>
      <c r="X40" s="113" t="str">
        <f t="shared" si="24"/>
        <v/>
      </c>
      <c r="Y40" s="34" t="str">
        <f t="shared" si="25"/>
        <v/>
      </c>
      <c r="Z40" s="9" t="str">
        <f t="shared" si="26"/>
        <v/>
      </c>
      <c r="AA40" s="10" t="str">
        <f t="shared" si="27"/>
        <v/>
      </c>
      <c r="AB40" s="11"/>
      <c r="AD40" s="72"/>
      <c r="AE40" s="9"/>
      <c r="AF40" s="9" t="str">
        <f t="shared" si="28"/>
        <v/>
      </c>
      <c r="AG40" s="9"/>
      <c r="AH40" s="9" t="str">
        <f t="shared" si="29"/>
        <v/>
      </c>
      <c r="AI40" s="9"/>
      <c r="AJ40" s="9" t="str">
        <f t="shared" si="30"/>
        <v/>
      </c>
      <c r="AK40" s="13"/>
      <c r="AL40" s="113" t="str">
        <f t="shared" si="31"/>
        <v/>
      </c>
      <c r="AM40" s="34" t="str">
        <f t="shared" si="32"/>
        <v/>
      </c>
      <c r="AN40" s="9" t="str">
        <f t="shared" si="33"/>
        <v/>
      </c>
      <c r="AO40" s="10" t="str">
        <f t="shared" si="34"/>
        <v/>
      </c>
      <c r="AP40" s="11"/>
      <c r="AR40" s="72"/>
      <c r="AS40" s="9"/>
      <c r="AT40" s="9" t="str">
        <f t="shared" si="35"/>
        <v/>
      </c>
      <c r="AU40" s="9"/>
      <c r="AV40" s="9" t="str">
        <f t="shared" si="36"/>
        <v/>
      </c>
      <c r="AW40" s="9"/>
      <c r="AX40" s="9" t="str">
        <f t="shared" si="37"/>
        <v/>
      </c>
      <c r="AY40" s="13"/>
      <c r="AZ40" s="113" t="str">
        <f t="shared" si="38"/>
        <v/>
      </c>
      <c r="BA40" s="34" t="str">
        <f t="shared" si="39"/>
        <v/>
      </c>
      <c r="BB40" s="9" t="str">
        <f t="shared" si="40"/>
        <v/>
      </c>
      <c r="BC40" s="10" t="str">
        <f t="shared" si="41"/>
        <v/>
      </c>
      <c r="BD40" s="11"/>
      <c r="BF40" s="7"/>
      <c r="BG40" s="34"/>
      <c r="BH40" s="9" t="str">
        <f t="shared" si="51"/>
        <v/>
      </c>
      <c r="BI40" s="9"/>
      <c r="BJ40" s="9"/>
      <c r="BK40" s="9"/>
      <c r="BL40" s="9" t="str">
        <f t="shared" si="52"/>
        <v/>
      </c>
      <c r="BM40" s="9"/>
      <c r="BN40" s="126" t="str">
        <f t="shared" si="10"/>
        <v/>
      </c>
      <c r="BO40" s="9"/>
      <c r="BP40" s="9" t="str">
        <f t="shared" si="49"/>
        <v/>
      </c>
      <c r="BQ40" s="10" t="str">
        <f t="shared" si="50"/>
        <v/>
      </c>
      <c r="BR40" s="11"/>
    </row>
    <row r="41" spans="1:70" ht="15" customHeight="1" x14ac:dyDescent="0.2">
      <c r="A41" s="72"/>
      <c r="B41" s="8"/>
      <c r="C41" s="23"/>
      <c r="D41" s="9" t="str">
        <f t="shared" si="55"/>
        <v/>
      </c>
      <c r="E41" s="9"/>
      <c r="F41" s="9" t="str">
        <f t="shared" si="56"/>
        <v/>
      </c>
      <c r="G41" s="23"/>
      <c r="H41" s="9" t="str">
        <f t="shared" si="44"/>
        <v/>
      </c>
      <c r="I41" s="30"/>
      <c r="J41" s="113" t="str">
        <f t="shared" si="57"/>
        <v/>
      </c>
      <c r="K41" s="9" t="str">
        <f t="shared" si="46"/>
        <v/>
      </c>
      <c r="L41" s="9" t="str">
        <f t="shared" si="47"/>
        <v/>
      </c>
      <c r="M41" s="10" t="str">
        <f t="shared" si="48"/>
        <v/>
      </c>
      <c r="N41" s="11"/>
      <c r="P41" s="72"/>
      <c r="Q41" s="23"/>
      <c r="R41" s="9" t="str">
        <f t="shared" si="21"/>
        <v/>
      </c>
      <c r="S41" s="9"/>
      <c r="T41" s="9" t="str">
        <f t="shared" si="22"/>
        <v/>
      </c>
      <c r="U41" s="23"/>
      <c r="V41" s="9" t="str">
        <f t="shared" si="23"/>
        <v/>
      </c>
      <c r="W41" s="30"/>
      <c r="X41" s="113" t="str">
        <f t="shared" si="24"/>
        <v/>
      </c>
      <c r="Y41" s="9" t="str">
        <f t="shared" si="25"/>
        <v/>
      </c>
      <c r="Z41" s="9" t="str">
        <f t="shared" si="26"/>
        <v/>
      </c>
      <c r="AA41" s="10" t="str">
        <f t="shared" si="27"/>
        <v/>
      </c>
      <c r="AB41" s="11"/>
      <c r="AD41" s="72"/>
      <c r="AE41" s="23"/>
      <c r="AF41" s="9" t="str">
        <f t="shared" si="28"/>
        <v/>
      </c>
      <c r="AG41" s="9"/>
      <c r="AH41" s="9" t="str">
        <f t="shared" si="29"/>
        <v/>
      </c>
      <c r="AI41" s="23"/>
      <c r="AJ41" s="9" t="str">
        <f t="shared" si="30"/>
        <v/>
      </c>
      <c r="AK41" s="30"/>
      <c r="AL41" s="113" t="str">
        <f t="shared" si="31"/>
        <v/>
      </c>
      <c r="AM41" s="9" t="str">
        <f t="shared" si="32"/>
        <v/>
      </c>
      <c r="AN41" s="9" t="str">
        <f t="shared" si="33"/>
        <v/>
      </c>
      <c r="AO41" s="10" t="str">
        <f t="shared" si="34"/>
        <v/>
      </c>
      <c r="AP41" s="11"/>
      <c r="AR41" s="72"/>
      <c r="AS41" s="23"/>
      <c r="AT41" s="9" t="str">
        <f t="shared" si="35"/>
        <v/>
      </c>
      <c r="AU41" s="9"/>
      <c r="AV41" s="9" t="str">
        <f t="shared" si="36"/>
        <v/>
      </c>
      <c r="AW41" s="23"/>
      <c r="AX41" s="9" t="str">
        <f t="shared" si="37"/>
        <v/>
      </c>
      <c r="AY41" s="30"/>
      <c r="AZ41" s="113" t="str">
        <f t="shared" si="38"/>
        <v/>
      </c>
      <c r="BA41" s="9" t="str">
        <f t="shared" si="39"/>
        <v/>
      </c>
      <c r="BB41" s="9" t="str">
        <f t="shared" si="40"/>
        <v/>
      </c>
      <c r="BC41" s="10" t="str">
        <f t="shared" si="41"/>
        <v/>
      </c>
      <c r="BD41" s="11"/>
      <c r="BF41" s="7"/>
      <c r="BG41" s="34"/>
      <c r="BH41" s="9" t="str">
        <f t="shared" si="51"/>
        <v/>
      </c>
      <c r="BI41" s="9"/>
      <c r="BJ41" s="9"/>
      <c r="BK41" s="9"/>
      <c r="BL41" s="9" t="str">
        <f t="shared" si="52"/>
        <v/>
      </c>
      <c r="BM41" s="9"/>
      <c r="BN41" s="126" t="str">
        <f t="shared" si="10"/>
        <v/>
      </c>
      <c r="BO41" s="9"/>
      <c r="BP41" s="9" t="str">
        <f t="shared" si="49"/>
        <v/>
      </c>
      <c r="BQ41" s="10" t="str">
        <f t="shared" si="50"/>
        <v/>
      </c>
      <c r="BR41" s="11"/>
    </row>
    <row r="42" spans="1:70" ht="15" customHeight="1" thickBot="1" x14ac:dyDescent="0.25">
      <c r="A42" s="75"/>
      <c r="B42" s="62"/>
      <c r="C42" s="17"/>
      <c r="D42" s="37" t="str">
        <f>IF(C42="","",C42-C38)</f>
        <v/>
      </c>
      <c r="E42" s="17"/>
      <c r="F42" s="17" t="str">
        <f t="shared" si="56"/>
        <v/>
      </c>
      <c r="G42" s="17"/>
      <c r="H42" s="17" t="str">
        <f t="shared" si="44"/>
        <v/>
      </c>
      <c r="I42" s="29"/>
      <c r="J42" s="114" t="str">
        <f t="shared" si="57"/>
        <v/>
      </c>
      <c r="K42" s="37" t="str">
        <f t="shared" si="46"/>
        <v/>
      </c>
      <c r="L42" s="17" t="str">
        <f t="shared" si="47"/>
        <v/>
      </c>
      <c r="M42" s="18" t="str">
        <f t="shared" si="48"/>
        <v/>
      </c>
      <c r="N42" s="11"/>
      <c r="P42" s="75"/>
      <c r="Q42" s="17"/>
      <c r="R42" s="37" t="str">
        <f>IF(Q42="","",Q42-Q38)</f>
        <v/>
      </c>
      <c r="S42" s="17"/>
      <c r="T42" s="17" t="str">
        <f t="shared" si="22"/>
        <v/>
      </c>
      <c r="U42" s="17"/>
      <c r="V42" s="17" t="str">
        <f t="shared" si="23"/>
        <v/>
      </c>
      <c r="W42" s="29"/>
      <c r="X42" s="114" t="str">
        <f t="shared" si="24"/>
        <v/>
      </c>
      <c r="Y42" s="37" t="str">
        <f t="shared" si="25"/>
        <v/>
      </c>
      <c r="Z42" s="17" t="str">
        <f t="shared" si="26"/>
        <v/>
      </c>
      <c r="AA42" s="18" t="str">
        <f t="shared" si="27"/>
        <v/>
      </c>
      <c r="AB42" s="11"/>
      <c r="AD42" s="75"/>
      <c r="AE42" s="17"/>
      <c r="AF42" s="37" t="str">
        <f>IF(AE42="","",AE42-AE38)</f>
        <v/>
      </c>
      <c r="AG42" s="17"/>
      <c r="AH42" s="17" t="str">
        <f t="shared" si="29"/>
        <v/>
      </c>
      <c r="AI42" s="17"/>
      <c r="AJ42" s="17" t="str">
        <f t="shared" si="30"/>
        <v/>
      </c>
      <c r="AK42" s="29"/>
      <c r="AL42" s="114" t="str">
        <f t="shared" si="31"/>
        <v/>
      </c>
      <c r="AM42" s="37" t="str">
        <f t="shared" si="32"/>
        <v/>
      </c>
      <c r="AN42" s="17" t="str">
        <f t="shared" si="33"/>
        <v/>
      </c>
      <c r="AO42" s="18" t="str">
        <f t="shared" si="34"/>
        <v/>
      </c>
      <c r="AP42" s="11"/>
      <c r="AR42" s="75"/>
      <c r="AS42" s="17"/>
      <c r="AT42" s="37" t="str">
        <f>IF(AS42="","",AS42-AS38)</f>
        <v/>
      </c>
      <c r="AU42" s="17"/>
      <c r="AV42" s="17" t="str">
        <f t="shared" si="36"/>
        <v/>
      </c>
      <c r="AW42" s="17"/>
      <c r="AX42" s="17" t="str">
        <f t="shared" si="37"/>
        <v/>
      </c>
      <c r="AY42" s="29"/>
      <c r="AZ42" s="114" t="str">
        <f t="shared" si="38"/>
        <v/>
      </c>
      <c r="BA42" s="37" t="str">
        <f t="shared" si="39"/>
        <v/>
      </c>
      <c r="BB42" s="17" t="str">
        <f t="shared" si="40"/>
        <v/>
      </c>
      <c r="BC42" s="18" t="str">
        <f t="shared" si="41"/>
        <v/>
      </c>
      <c r="BD42" s="11"/>
      <c r="BF42" s="7"/>
      <c r="BG42" s="34"/>
      <c r="BH42" s="9" t="str">
        <f t="shared" si="51"/>
        <v/>
      </c>
      <c r="BI42" s="9"/>
      <c r="BJ42" s="9"/>
      <c r="BK42" s="9"/>
      <c r="BL42" s="9" t="str">
        <f t="shared" si="52"/>
        <v/>
      </c>
      <c r="BM42" s="9"/>
      <c r="BN42" s="126" t="str">
        <f t="shared" si="10"/>
        <v/>
      </c>
      <c r="BO42" s="9"/>
      <c r="BP42" s="9" t="str">
        <f t="shared" si="49"/>
        <v/>
      </c>
      <c r="BQ42" s="10" t="str">
        <f t="shared" si="50"/>
        <v/>
      </c>
      <c r="BR42" s="11"/>
    </row>
    <row r="43" spans="1:70" ht="15" customHeight="1" thickTop="1" x14ac:dyDescent="0.2">
      <c r="A43" s="71"/>
      <c r="B43" s="61">
        <f>SUM(D43:D46)+SUM(R43:R46)+SUM(AF43:AF46)+SUM(AT43:AT46)+SUM(BH13)</f>
        <v>0</v>
      </c>
      <c r="C43" s="33"/>
      <c r="D43" s="33" t="str">
        <f t="shared" ref="D43:D62" si="58">IF(C43="","",C43-C39)</f>
        <v/>
      </c>
      <c r="E43" s="33"/>
      <c r="F43" s="20" t="str">
        <f t="shared" si="56"/>
        <v/>
      </c>
      <c r="G43" s="33"/>
      <c r="H43" s="33" t="str">
        <f t="shared" si="44"/>
        <v/>
      </c>
      <c r="I43" s="43"/>
      <c r="J43" s="112" t="str">
        <f t="shared" si="57"/>
        <v/>
      </c>
      <c r="K43" s="40" t="str">
        <f t="shared" si="46"/>
        <v/>
      </c>
      <c r="L43" s="20" t="str">
        <f t="shared" si="47"/>
        <v/>
      </c>
      <c r="M43" s="21" t="str">
        <f t="shared" si="48"/>
        <v/>
      </c>
      <c r="N43" s="11"/>
      <c r="P43" s="76" t="str">
        <f>IF($A43="","",$A43)</f>
        <v/>
      </c>
      <c r="Q43" s="33"/>
      <c r="R43" s="33" t="str">
        <f t="shared" ref="R35:R66" si="59">IF(Q43="","",Q43-Q39)</f>
        <v/>
      </c>
      <c r="S43" s="33"/>
      <c r="T43" s="20" t="str">
        <f t="shared" ref="T35:T66" si="60">IF(S43="","",S43-S39)</f>
        <v/>
      </c>
      <c r="U43" s="33"/>
      <c r="V43" s="33" t="str">
        <f t="shared" ref="V7:V58" si="61">IF(U43="","",U39+W39-U43)</f>
        <v/>
      </c>
      <c r="W43" s="43"/>
      <c r="X43" s="112" t="str">
        <f t="shared" ref="X18:X58" si="62">IF(Q43="","",X39)</f>
        <v/>
      </c>
      <c r="Y43" s="40" t="str">
        <f t="shared" ref="Y18:Y58" si="63">IF(R43="","",Y39)</f>
        <v/>
      </c>
      <c r="Z43" s="20" t="str">
        <f t="shared" ref="Z7:Z58" si="64">IF(U43="","",V43*Y43)</f>
        <v/>
      </c>
      <c r="AA43" s="21" t="str">
        <f t="shared" ref="AA7:AA58" si="65">IF(V43="","",Z43/(R43*100))</f>
        <v/>
      </c>
      <c r="AB43" s="11"/>
      <c r="AD43" s="76" t="str">
        <f>IF($A43="","",$A43)</f>
        <v/>
      </c>
      <c r="AE43" s="33"/>
      <c r="AF43" s="33" t="str">
        <f t="shared" ref="AF35:AF66" si="66">IF(AE43="","",AE43-AE39)</f>
        <v/>
      </c>
      <c r="AG43" s="33"/>
      <c r="AH43" s="20" t="str">
        <f t="shared" ref="AH35:AH66" si="67">IF(AG43="","",AG43-AG39)</f>
        <v/>
      </c>
      <c r="AI43" s="33"/>
      <c r="AJ43" s="33" t="str">
        <f t="shared" ref="AJ7:AJ58" si="68">IF(AI43="","",AI39+AK39-AI43)</f>
        <v/>
      </c>
      <c r="AK43" s="43"/>
      <c r="AL43" s="112" t="str">
        <f t="shared" ref="AL39:AL58" si="69">IF(AE43="","",AL39)</f>
        <v/>
      </c>
      <c r="AM43" s="40" t="str">
        <f t="shared" ref="AM24:AM58" si="70">IF(AF43="","",AM39)</f>
        <v/>
      </c>
      <c r="AN43" s="20" t="str">
        <f t="shared" ref="AN7:AN58" si="71">IF(AI43="","",AJ43*AM43)</f>
        <v/>
      </c>
      <c r="AO43" s="21" t="str">
        <f t="shared" ref="AO7:AO58" si="72">IF(AJ43="","",AN43/(AF43*100))</f>
        <v/>
      </c>
      <c r="AP43" s="11"/>
      <c r="AR43" s="76" t="str">
        <f>IF($A43="","",$A43)</f>
        <v/>
      </c>
      <c r="AS43" s="33"/>
      <c r="AT43" s="33" t="str">
        <f t="shared" ref="AT7:AT58" si="73">IF(AS43="","",AS43-AS39)</f>
        <v/>
      </c>
      <c r="AU43" s="33"/>
      <c r="AV43" s="20" t="str">
        <f t="shared" ref="AV7:AV58" si="74">IF(AU43="","",AU43-AU39)</f>
        <v/>
      </c>
      <c r="AW43" s="33"/>
      <c r="AX43" s="33" t="str">
        <f t="shared" ref="AX7:AX58" si="75">IF(AW43="","",AW39+AY39-AW43)</f>
        <v/>
      </c>
      <c r="AY43" s="43"/>
      <c r="AZ43" s="112" t="str">
        <f t="shared" ref="AZ35:AZ58" si="76">IF(AS43="","",AZ39)</f>
        <v/>
      </c>
      <c r="BA43" s="40" t="str">
        <f t="shared" ref="BA27:BA58" si="77">IF(AT43="","",BA39)</f>
        <v/>
      </c>
      <c r="BB43" s="20" t="str">
        <f t="shared" ref="BB7:BB58" si="78">IF(AW43="","",AX43*BA43)</f>
        <v/>
      </c>
      <c r="BC43" s="21" t="str">
        <f t="shared" ref="BC7:BC58" si="79">IF(AX43="","",BB43/(AT43*100))</f>
        <v/>
      </c>
      <c r="BD43" s="11"/>
      <c r="BF43" s="7"/>
      <c r="BG43" s="34"/>
      <c r="BH43" s="9" t="str">
        <f t="shared" si="51"/>
        <v/>
      </c>
      <c r="BI43" s="9"/>
      <c r="BJ43" s="9"/>
      <c r="BK43" s="9"/>
      <c r="BL43" s="9" t="str">
        <f t="shared" si="52"/>
        <v/>
      </c>
      <c r="BM43" s="9"/>
      <c r="BN43" s="127"/>
      <c r="BO43" s="9"/>
      <c r="BP43" s="9" t="str">
        <f t="shared" si="49"/>
        <v/>
      </c>
      <c r="BQ43" s="10" t="str">
        <f t="shared" si="50"/>
        <v/>
      </c>
      <c r="BR43" s="11"/>
    </row>
    <row r="44" spans="1:70" ht="15" customHeight="1" x14ac:dyDescent="0.2">
      <c r="A44" s="72"/>
      <c r="B44" s="8"/>
      <c r="C44" s="33"/>
      <c r="D44" s="9" t="str">
        <f t="shared" si="58"/>
        <v/>
      </c>
      <c r="E44" s="9"/>
      <c r="F44" s="9" t="str">
        <f t="shared" si="56"/>
        <v/>
      </c>
      <c r="G44" s="9"/>
      <c r="H44" s="9" t="str">
        <f t="shared" si="44"/>
        <v/>
      </c>
      <c r="I44" s="13"/>
      <c r="J44" s="113" t="str">
        <f t="shared" si="57"/>
        <v/>
      </c>
      <c r="K44" s="34" t="str">
        <f t="shared" si="46"/>
        <v/>
      </c>
      <c r="L44" s="9" t="str">
        <f t="shared" si="47"/>
        <v/>
      </c>
      <c r="M44" s="10" t="str">
        <f t="shared" si="48"/>
        <v/>
      </c>
      <c r="N44" s="11"/>
      <c r="P44" s="72"/>
      <c r="Q44" s="33"/>
      <c r="R44" s="9" t="str">
        <f t="shared" si="59"/>
        <v/>
      </c>
      <c r="S44" s="9"/>
      <c r="T44" s="9" t="str">
        <f t="shared" si="60"/>
        <v/>
      </c>
      <c r="U44" s="9"/>
      <c r="V44" s="9" t="str">
        <f t="shared" si="61"/>
        <v/>
      </c>
      <c r="W44" s="13"/>
      <c r="X44" s="113" t="str">
        <f t="shared" si="62"/>
        <v/>
      </c>
      <c r="Y44" s="34" t="str">
        <f t="shared" si="63"/>
        <v/>
      </c>
      <c r="Z44" s="9" t="str">
        <f t="shared" si="64"/>
        <v/>
      </c>
      <c r="AA44" s="10" t="str">
        <f t="shared" si="65"/>
        <v/>
      </c>
      <c r="AB44" s="11"/>
      <c r="AD44" s="72"/>
      <c r="AE44" s="33"/>
      <c r="AF44" s="9" t="str">
        <f t="shared" si="66"/>
        <v/>
      </c>
      <c r="AG44" s="9"/>
      <c r="AH44" s="9" t="str">
        <f t="shared" si="67"/>
        <v/>
      </c>
      <c r="AI44" s="9"/>
      <c r="AJ44" s="9" t="str">
        <f t="shared" si="68"/>
        <v/>
      </c>
      <c r="AK44" s="13"/>
      <c r="AL44" s="113" t="str">
        <f t="shared" si="69"/>
        <v/>
      </c>
      <c r="AM44" s="34" t="str">
        <f t="shared" si="70"/>
        <v/>
      </c>
      <c r="AN44" s="9" t="str">
        <f t="shared" si="71"/>
        <v/>
      </c>
      <c r="AO44" s="10" t="str">
        <f t="shared" si="72"/>
        <v/>
      </c>
      <c r="AP44" s="11"/>
      <c r="AR44" s="72"/>
      <c r="AS44" s="33"/>
      <c r="AT44" s="9" t="str">
        <f t="shared" si="73"/>
        <v/>
      </c>
      <c r="AU44" s="9"/>
      <c r="AV44" s="9" t="str">
        <f t="shared" si="74"/>
        <v/>
      </c>
      <c r="AW44" s="9"/>
      <c r="AX44" s="9" t="str">
        <f t="shared" si="75"/>
        <v/>
      </c>
      <c r="AY44" s="13"/>
      <c r="AZ44" s="113" t="str">
        <f t="shared" si="76"/>
        <v/>
      </c>
      <c r="BA44" s="34" t="str">
        <f t="shared" si="77"/>
        <v/>
      </c>
      <c r="BB44" s="9" t="str">
        <f t="shared" si="78"/>
        <v/>
      </c>
      <c r="BC44" s="10" t="str">
        <f t="shared" si="79"/>
        <v/>
      </c>
      <c r="BD44" s="11"/>
      <c r="BF44" s="7"/>
      <c r="BG44" s="34"/>
      <c r="BH44" s="9" t="str">
        <f t="shared" si="51"/>
        <v/>
      </c>
      <c r="BI44" s="9"/>
      <c r="BJ44" s="9"/>
      <c r="BK44" s="9"/>
      <c r="BL44" s="9" t="str">
        <f t="shared" si="52"/>
        <v/>
      </c>
      <c r="BM44" s="9"/>
      <c r="BN44" s="127"/>
      <c r="BO44" s="9"/>
      <c r="BP44" s="9" t="str">
        <f t="shared" si="49"/>
        <v/>
      </c>
      <c r="BQ44" s="10" t="str">
        <f t="shared" si="50"/>
        <v/>
      </c>
      <c r="BR44" s="11"/>
    </row>
    <row r="45" spans="1:70" ht="15" customHeight="1" x14ac:dyDescent="0.2">
      <c r="A45" s="72"/>
      <c r="B45" s="8"/>
      <c r="C45" s="38"/>
      <c r="D45" s="9" t="str">
        <f t="shared" si="58"/>
        <v/>
      </c>
      <c r="E45" s="9"/>
      <c r="F45" s="9" t="str">
        <f t="shared" si="56"/>
        <v/>
      </c>
      <c r="G45" s="9"/>
      <c r="H45" s="9" t="str">
        <f t="shared" si="44"/>
        <v/>
      </c>
      <c r="I45" s="13"/>
      <c r="J45" s="113" t="str">
        <f t="shared" si="57"/>
        <v/>
      </c>
      <c r="K45" s="9" t="str">
        <f t="shared" si="46"/>
        <v/>
      </c>
      <c r="L45" s="9" t="str">
        <f t="shared" si="47"/>
        <v/>
      </c>
      <c r="M45" s="10" t="str">
        <f t="shared" si="48"/>
        <v/>
      </c>
      <c r="N45" s="11"/>
      <c r="P45" s="72"/>
      <c r="Q45" s="38"/>
      <c r="R45" s="9" t="str">
        <f t="shared" si="59"/>
        <v/>
      </c>
      <c r="S45" s="9"/>
      <c r="T45" s="9" t="str">
        <f t="shared" si="60"/>
        <v/>
      </c>
      <c r="U45" s="9"/>
      <c r="V45" s="9" t="str">
        <f t="shared" si="61"/>
        <v/>
      </c>
      <c r="W45" s="13"/>
      <c r="X45" s="113" t="str">
        <f t="shared" si="62"/>
        <v/>
      </c>
      <c r="Y45" s="9" t="str">
        <f t="shared" si="63"/>
        <v/>
      </c>
      <c r="Z45" s="9" t="str">
        <f t="shared" si="64"/>
        <v/>
      </c>
      <c r="AA45" s="10" t="str">
        <f t="shared" si="65"/>
        <v/>
      </c>
      <c r="AB45" s="11"/>
      <c r="AD45" s="72"/>
      <c r="AE45" s="38"/>
      <c r="AF45" s="9" t="str">
        <f t="shared" si="66"/>
        <v/>
      </c>
      <c r="AG45" s="9"/>
      <c r="AH45" s="9" t="str">
        <f t="shared" si="67"/>
        <v/>
      </c>
      <c r="AI45" s="9"/>
      <c r="AJ45" s="9" t="str">
        <f t="shared" si="68"/>
        <v/>
      </c>
      <c r="AK45" s="13"/>
      <c r="AL45" s="113" t="str">
        <f t="shared" si="69"/>
        <v/>
      </c>
      <c r="AM45" s="9" t="str">
        <f t="shared" si="70"/>
        <v/>
      </c>
      <c r="AN45" s="9" t="str">
        <f t="shared" si="71"/>
        <v/>
      </c>
      <c r="AO45" s="10" t="str">
        <f t="shared" si="72"/>
        <v/>
      </c>
      <c r="AP45" s="11"/>
      <c r="AR45" s="72"/>
      <c r="AS45" s="38"/>
      <c r="AT45" s="9" t="str">
        <f t="shared" si="73"/>
        <v/>
      </c>
      <c r="AU45" s="9"/>
      <c r="AV45" s="9" t="str">
        <f t="shared" si="74"/>
        <v/>
      </c>
      <c r="AW45" s="9"/>
      <c r="AX45" s="9" t="str">
        <f t="shared" si="75"/>
        <v/>
      </c>
      <c r="AY45" s="13"/>
      <c r="AZ45" s="113" t="str">
        <f t="shared" si="76"/>
        <v/>
      </c>
      <c r="BA45" s="9" t="str">
        <f t="shared" si="77"/>
        <v/>
      </c>
      <c r="BB45" s="9" t="str">
        <f t="shared" si="78"/>
        <v/>
      </c>
      <c r="BC45" s="10" t="str">
        <f t="shared" si="79"/>
        <v/>
      </c>
      <c r="BD45" s="11"/>
      <c r="BF45" s="7"/>
      <c r="BG45" s="34"/>
      <c r="BH45" s="9" t="str">
        <f t="shared" si="51"/>
        <v/>
      </c>
      <c r="BI45" s="9"/>
      <c r="BJ45" s="9"/>
      <c r="BK45" s="9"/>
      <c r="BL45" s="9" t="str">
        <f t="shared" si="52"/>
        <v/>
      </c>
      <c r="BM45" s="9"/>
      <c r="BN45" s="127"/>
      <c r="BO45" s="9"/>
      <c r="BP45" s="9" t="str">
        <f t="shared" si="49"/>
        <v/>
      </c>
      <c r="BQ45" s="10" t="str">
        <f t="shared" si="50"/>
        <v/>
      </c>
      <c r="BR45" s="11"/>
    </row>
    <row r="46" spans="1:70" ht="15" customHeight="1" thickBot="1" x14ac:dyDescent="0.25">
      <c r="A46" s="75"/>
      <c r="B46" s="62"/>
      <c r="C46" s="36"/>
      <c r="D46" s="37" t="str">
        <f t="shared" si="58"/>
        <v/>
      </c>
      <c r="E46" s="17"/>
      <c r="F46" s="17" t="str">
        <f t="shared" si="56"/>
        <v/>
      </c>
      <c r="G46" s="17"/>
      <c r="H46" s="17" t="str">
        <f t="shared" si="44"/>
        <v/>
      </c>
      <c r="I46" s="29"/>
      <c r="J46" s="114" t="str">
        <f t="shared" si="57"/>
        <v/>
      </c>
      <c r="K46" s="37" t="str">
        <f t="shared" si="46"/>
        <v/>
      </c>
      <c r="L46" s="17" t="str">
        <f t="shared" si="47"/>
        <v/>
      </c>
      <c r="M46" s="18" t="str">
        <f t="shared" si="48"/>
        <v/>
      </c>
      <c r="N46" s="11"/>
      <c r="P46" s="75"/>
      <c r="Q46" s="36"/>
      <c r="R46" s="37" t="str">
        <f t="shared" si="59"/>
        <v/>
      </c>
      <c r="S46" s="17"/>
      <c r="T46" s="17" t="str">
        <f t="shared" si="60"/>
        <v/>
      </c>
      <c r="U46" s="17"/>
      <c r="V46" s="17" t="str">
        <f t="shared" si="61"/>
        <v/>
      </c>
      <c r="W46" s="29"/>
      <c r="X46" s="114" t="str">
        <f t="shared" si="62"/>
        <v/>
      </c>
      <c r="Y46" s="37" t="str">
        <f t="shared" si="63"/>
        <v/>
      </c>
      <c r="Z46" s="17" t="str">
        <f t="shared" si="64"/>
        <v/>
      </c>
      <c r="AA46" s="18" t="str">
        <f t="shared" si="65"/>
        <v/>
      </c>
      <c r="AB46" s="11"/>
      <c r="AD46" s="75"/>
      <c r="AE46" s="36"/>
      <c r="AF46" s="37" t="str">
        <f t="shared" si="66"/>
        <v/>
      </c>
      <c r="AG46" s="17"/>
      <c r="AH46" s="17" t="str">
        <f t="shared" si="67"/>
        <v/>
      </c>
      <c r="AI46" s="17"/>
      <c r="AJ46" s="17" t="str">
        <f t="shared" si="68"/>
        <v/>
      </c>
      <c r="AK46" s="29"/>
      <c r="AL46" s="114" t="str">
        <f t="shared" si="69"/>
        <v/>
      </c>
      <c r="AM46" s="37" t="str">
        <f t="shared" si="70"/>
        <v/>
      </c>
      <c r="AN46" s="17" t="str">
        <f t="shared" si="71"/>
        <v/>
      </c>
      <c r="AO46" s="18" t="str">
        <f t="shared" si="72"/>
        <v/>
      </c>
      <c r="AP46" s="11"/>
      <c r="AR46" s="75"/>
      <c r="AS46" s="36"/>
      <c r="AT46" s="37" t="str">
        <f t="shared" si="73"/>
        <v/>
      </c>
      <c r="AU46" s="17"/>
      <c r="AV46" s="17" t="str">
        <f t="shared" si="74"/>
        <v/>
      </c>
      <c r="AW46" s="17"/>
      <c r="AX46" s="17" t="str">
        <f t="shared" si="75"/>
        <v/>
      </c>
      <c r="AY46" s="29"/>
      <c r="AZ46" s="114" t="str">
        <f t="shared" si="76"/>
        <v/>
      </c>
      <c r="BA46" s="37" t="str">
        <f t="shared" si="77"/>
        <v/>
      </c>
      <c r="BB46" s="17" t="str">
        <f t="shared" si="78"/>
        <v/>
      </c>
      <c r="BC46" s="18" t="str">
        <f t="shared" si="79"/>
        <v/>
      </c>
      <c r="BD46" s="11"/>
      <c r="BF46" s="7"/>
      <c r="BG46" s="34"/>
      <c r="BH46" s="9" t="str">
        <f t="shared" si="51"/>
        <v/>
      </c>
      <c r="BI46" s="9"/>
      <c r="BJ46" s="9"/>
      <c r="BK46" s="9"/>
      <c r="BL46" s="9" t="str">
        <f t="shared" si="52"/>
        <v/>
      </c>
      <c r="BM46" s="9"/>
      <c r="BN46" s="127"/>
      <c r="BO46" s="9"/>
      <c r="BP46" s="9" t="str">
        <f t="shared" si="49"/>
        <v/>
      </c>
      <c r="BQ46" s="10" t="str">
        <f t="shared" si="50"/>
        <v/>
      </c>
      <c r="BR46" s="11"/>
    </row>
    <row r="47" spans="1:70" ht="15" customHeight="1" thickTop="1" x14ac:dyDescent="0.2">
      <c r="A47" s="71"/>
      <c r="B47" s="61">
        <f>SUM(D47:D50)+SUM(R47:R50)+SUM(AF47:AF50)+SUM(AT47:AT50)+SUM(BH14)</f>
        <v>0</v>
      </c>
      <c r="C47" s="33"/>
      <c r="D47" s="33" t="str">
        <f t="shared" si="58"/>
        <v/>
      </c>
      <c r="E47" s="33"/>
      <c r="F47" s="20" t="str">
        <f t="shared" si="56"/>
        <v/>
      </c>
      <c r="G47" s="33"/>
      <c r="H47" s="33" t="str">
        <f t="shared" si="44"/>
        <v/>
      </c>
      <c r="I47" s="13"/>
      <c r="J47" s="112" t="str">
        <f t="shared" si="57"/>
        <v/>
      </c>
      <c r="K47" s="40" t="str">
        <f t="shared" si="46"/>
        <v/>
      </c>
      <c r="L47" s="20" t="str">
        <f t="shared" si="47"/>
        <v/>
      </c>
      <c r="M47" s="21" t="str">
        <f t="shared" si="48"/>
        <v/>
      </c>
      <c r="N47" s="11"/>
      <c r="P47" s="76" t="str">
        <f>IF($A$417="","",$A$417)</f>
        <v/>
      </c>
      <c r="Q47" s="33"/>
      <c r="R47" s="33" t="str">
        <f t="shared" si="59"/>
        <v/>
      </c>
      <c r="S47" s="33"/>
      <c r="T47" s="20" t="str">
        <f t="shared" si="60"/>
        <v/>
      </c>
      <c r="U47" s="33"/>
      <c r="V47" s="33" t="str">
        <f t="shared" si="61"/>
        <v/>
      </c>
      <c r="W47" s="13"/>
      <c r="X47" s="112" t="str">
        <f t="shared" si="62"/>
        <v/>
      </c>
      <c r="Y47" s="40" t="str">
        <f t="shared" si="63"/>
        <v/>
      </c>
      <c r="Z47" s="20" t="str">
        <f t="shared" si="64"/>
        <v/>
      </c>
      <c r="AA47" s="21" t="str">
        <f t="shared" si="65"/>
        <v/>
      </c>
      <c r="AB47" s="11"/>
      <c r="AD47" s="76" t="str">
        <f>IF($A$417="","",$A$417)</f>
        <v/>
      </c>
      <c r="AE47" s="33"/>
      <c r="AF47" s="33" t="str">
        <f t="shared" si="66"/>
        <v/>
      </c>
      <c r="AG47" s="33"/>
      <c r="AH47" s="20" t="str">
        <f t="shared" si="67"/>
        <v/>
      </c>
      <c r="AI47" s="33"/>
      <c r="AJ47" s="33" t="str">
        <f t="shared" si="68"/>
        <v/>
      </c>
      <c r="AK47" s="13"/>
      <c r="AL47" s="112" t="str">
        <f t="shared" si="69"/>
        <v/>
      </c>
      <c r="AM47" s="40" t="str">
        <f t="shared" si="70"/>
        <v/>
      </c>
      <c r="AN47" s="20" t="str">
        <f t="shared" si="71"/>
        <v/>
      </c>
      <c r="AO47" s="21" t="str">
        <f t="shared" si="72"/>
        <v/>
      </c>
      <c r="AP47" s="11"/>
      <c r="AR47" s="76" t="str">
        <f>IF($A$417="","",$A$417)</f>
        <v/>
      </c>
      <c r="AS47" s="33"/>
      <c r="AT47" s="33" t="str">
        <f t="shared" si="73"/>
        <v/>
      </c>
      <c r="AU47" s="33"/>
      <c r="AV47" s="20" t="str">
        <f t="shared" si="74"/>
        <v/>
      </c>
      <c r="AW47" s="33"/>
      <c r="AX47" s="33" t="str">
        <f t="shared" si="75"/>
        <v/>
      </c>
      <c r="AY47" s="13"/>
      <c r="AZ47" s="112" t="str">
        <f t="shared" si="76"/>
        <v/>
      </c>
      <c r="BA47" s="40" t="str">
        <f t="shared" si="77"/>
        <v/>
      </c>
      <c r="BB47" s="20" t="str">
        <f t="shared" si="78"/>
        <v/>
      </c>
      <c r="BC47" s="21" t="str">
        <f t="shared" si="79"/>
        <v/>
      </c>
      <c r="BD47" s="11"/>
      <c r="BF47" s="7"/>
      <c r="BG47" s="34"/>
      <c r="BH47" s="9" t="str">
        <f t="shared" si="51"/>
        <v/>
      </c>
      <c r="BI47" s="9"/>
      <c r="BJ47" s="9"/>
      <c r="BK47" s="9"/>
      <c r="BL47" s="9" t="str">
        <f t="shared" si="52"/>
        <v/>
      </c>
      <c r="BM47" s="9"/>
      <c r="BN47" s="127"/>
      <c r="BO47" s="9"/>
      <c r="BP47" s="9" t="str">
        <f t="shared" si="49"/>
        <v/>
      </c>
      <c r="BQ47" s="10" t="str">
        <f t="shared" si="50"/>
        <v/>
      </c>
      <c r="BR47" s="11"/>
    </row>
    <row r="48" spans="1:70" ht="15" customHeight="1" x14ac:dyDescent="0.2">
      <c r="A48" s="72"/>
      <c r="B48" s="8"/>
      <c r="C48" s="9"/>
      <c r="D48" s="9" t="str">
        <f t="shared" si="58"/>
        <v/>
      </c>
      <c r="E48" s="9"/>
      <c r="F48" s="9" t="str">
        <f t="shared" si="56"/>
        <v/>
      </c>
      <c r="G48" s="9"/>
      <c r="H48" s="9" t="str">
        <f t="shared" si="44"/>
        <v/>
      </c>
      <c r="I48" s="13"/>
      <c r="J48" s="113" t="str">
        <f t="shared" si="57"/>
        <v/>
      </c>
      <c r="K48" s="34" t="str">
        <f t="shared" si="46"/>
        <v/>
      </c>
      <c r="L48" s="9" t="str">
        <f t="shared" si="47"/>
        <v/>
      </c>
      <c r="M48" s="10" t="str">
        <f t="shared" si="48"/>
        <v/>
      </c>
      <c r="N48" s="11"/>
      <c r="P48" s="72"/>
      <c r="Q48" s="9"/>
      <c r="R48" s="9" t="str">
        <f t="shared" si="59"/>
        <v/>
      </c>
      <c r="S48" s="9"/>
      <c r="T48" s="9" t="str">
        <f t="shared" si="60"/>
        <v/>
      </c>
      <c r="U48" s="9"/>
      <c r="V48" s="9" t="str">
        <f t="shared" si="61"/>
        <v/>
      </c>
      <c r="W48" s="13"/>
      <c r="X48" s="113" t="str">
        <f t="shared" si="62"/>
        <v/>
      </c>
      <c r="Y48" s="34" t="str">
        <f t="shared" si="63"/>
        <v/>
      </c>
      <c r="Z48" s="9" t="str">
        <f t="shared" si="64"/>
        <v/>
      </c>
      <c r="AA48" s="10" t="str">
        <f t="shared" si="65"/>
        <v/>
      </c>
      <c r="AB48" s="11"/>
      <c r="AD48" s="72"/>
      <c r="AE48" s="9"/>
      <c r="AF48" s="9" t="str">
        <f t="shared" si="66"/>
        <v/>
      </c>
      <c r="AG48" s="9"/>
      <c r="AH48" s="9" t="str">
        <f t="shared" si="67"/>
        <v/>
      </c>
      <c r="AI48" s="9"/>
      <c r="AJ48" s="9" t="str">
        <f t="shared" si="68"/>
        <v/>
      </c>
      <c r="AK48" s="13"/>
      <c r="AL48" s="113" t="str">
        <f t="shared" si="69"/>
        <v/>
      </c>
      <c r="AM48" s="34" t="str">
        <f t="shared" si="70"/>
        <v/>
      </c>
      <c r="AN48" s="9" t="str">
        <f t="shared" si="71"/>
        <v/>
      </c>
      <c r="AO48" s="10" t="str">
        <f t="shared" si="72"/>
        <v/>
      </c>
      <c r="AP48" s="11"/>
      <c r="AR48" s="72"/>
      <c r="AS48" s="9"/>
      <c r="AT48" s="9" t="str">
        <f t="shared" si="73"/>
        <v/>
      </c>
      <c r="AU48" s="9"/>
      <c r="AV48" s="9" t="str">
        <f t="shared" si="74"/>
        <v/>
      </c>
      <c r="AW48" s="9"/>
      <c r="AX48" s="9" t="str">
        <f t="shared" si="75"/>
        <v/>
      </c>
      <c r="AY48" s="13"/>
      <c r="AZ48" s="113" t="str">
        <f t="shared" si="76"/>
        <v/>
      </c>
      <c r="BA48" s="34" t="str">
        <f t="shared" si="77"/>
        <v/>
      </c>
      <c r="BB48" s="9" t="str">
        <f t="shared" si="78"/>
        <v/>
      </c>
      <c r="BC48" s="10" t="str">
        <f t="shared" si="79"/>
        <v/>
      </c>
      <c r="BD48" s="11"/>
      <c r="BF48" s="7"/>
      <c r="BG48" s="34"/>
      <c r="BH48" s="9" t="str">
        <f t="shared" si="51"/>
        <v/>
      </c>
      <c r="BI48" s="9"/>
      <c r="BJ48" s="9"/>
      <c r="BK48" s="9"/>
      <c r="BL48" s="9" t="str">
        <f t="shared" si="52"/>
        <v/>
      </c>
      <c r="BM48" s="9"/>
      <c r="BN48" s="127"/>
      <c r="BO48" s="9"/>
      <c r="BP48" s="9" t="str">
        <f t="shared" si="49"/>
        <v/>
      </c>
      <c r="BQ48" s="10" t="str">
        <f t="shared" si="50"/>
        <v/>
      </c>
      <c r="BR48" s="11"/>
    </row>
    <row r="49" spans="1:70" ht="15" customHeight="1" x14ac:dyDescent="0.2">
      <c r="A49" s="72"/>
      <c r="B49" s="8"/>
      <c r="C49" s="23"/>
      <c r="D49" s="9" t="str">
        <f t="shared" si="58"/>
        <v/>
      </c>
      <c r="E49" s="9"/>
      <c r="F49" s="9" t="str">
        <f t="shared" si="56"/>
        <v/>
      </c>
      <c r="G49" s="23"/>
      <c r="H49" s="9" t="str">
        <f t="shared" si="44"/>
        <v/>
      </c>
      <c r="I49" s="30"/>
      <c r="J49" s="113" t="str">
        <f t="shared" si="57"/>
        <v/>
      </c>
      <c r="K49" s="9" t="str">
        <f t="shared" si="46"/>
        <v/>
      </c>
      <c r="L49" s="9" t="str">
        <f t="shared" si="47"/>
        <v/>
      </c>
      <c r="M49" s="10" t="str">
        <f t="shared" si="48"/>
        <v/>
      </c>
      <c r="N49" s="11"/>
      <c r="P49" s="12"/>
      <c r="Q49" s="23"/>
      <c r="R49" s="9" t="str">
        <f t="shared" si="59"/>
        <v/>
      </c>
      <c r="S49" s="9"/>
      <c r="T49" s="9" t="str">
        <f t="shared" si="60"/>
        <v/>
      </c>
      <c r="U49" s="23"/>
      <c r="V49" s="9" t="str">
        <f t="shared" si="61"/>
        <v/>
      </c>
      <c r="W49" s="13"/>
      <c r="X49" s="113" t="str">
        <f t="shared" si="62"/>
        <v/>
      </c>
      <c r="Y49" s="9" t="str">
        <f t="shared" si="63"/>
        <v/>
      </c>
      <c r="Z49" s="9" t="str">
        <f t="shared" si="64"/>
        <v/>
      </c>
      <c r="AA49" s="10" t="str">
        <f t="shared" si="65"/>
        <v/>
      </c>
      <c r="AB49" s="11"/>
      <c r="AD49" s="12"/>
      <c r="AE49" s="23"/>
      <c r="AF49" s="9" t="str">
        <f t="shared" si="66"/>
        <v/>
      </c>
      <c r="AG49" s="9"/>
      <c r="AH49" s="9" t="str">
        <f t="shared" si="67"/>
        <v/>
      </c>
      <c r="AI49" s="23"/>
      <c r="AJ49" s="9" t="str">
        <f t="shared" si="68"/>
        <v/>
      </c>
      <c r="AK49" s="13"/>
      <c r="AL49" s="113" t="str">
        <f t="shared" si="69"/>
        <v/>
      </c>
      <c r="AM49" s="9" t="str">
        <f t="shared" si="70"/>
        <v/>
      </c>
      <c r="AN49" s="9" t="str">
        <f t="shared" si="71"/>
        <v/>
      </c>
      <c r="AO49" s="10" t="str">
        <f t="shared" si="72"/>
        <v/>
      </c>
      <c r="AP49" s="11"/>
      <c r="AR49" s="12"/>
      <c r="AS49" s="23"/>
      <c r="AT49" s="9" t="str">
        <f t="shared" si="73"/>
        <v/>
      </c>
      <c r="AU49" s="9"/>
      <c r="AV49" s="9" t="str">
        <f t="shared" si="74"/>
        <v/>
      </c>
      <c r="AW49" s="23"/>
      <c r="AX49" s="9" t="str">
        <f t="shared" si="75"/>
        <v/>
      </c>
      <c r="AY49" s="13"/>
      <c r="AZ49" s="113" t="str">
        <f t="shared" si="76"/>
        <v/>
      </c>
      <c r="BA49" s="9" t="str">
        <f t="shared" si="77"/>
        <v/>
      </c>
      <c r="BB49" s="9" t="str">
        <f t="shared" si="78"/>
        <v/>
      </c>
      <c r="BC49" s="10" t="str">
        <f t="shared" si="79"/>
        <v/>
      </c>
      <c r="BD49" s="11"/>
      <c r="BF49" s="7"/>
      <c r="BG49" s="34"/>
      <c r="BH49" s="9" t="str">
        <f t="shared" si="51"/>
        <v/>
      </c>
      <c r="BI49" s="9"/>
      <c r="BJ49" s="9"/>
      <c r="BK49" s="9"/>
      <c r="BL49" s="9" t="str">
        <f t="shared" si="52"/>
        <v/>
      </c>
      <c r="BM49" s="9"/>
      <c r="BN49" s="127"/>
      <c r="BO49" s="9"/>
      <c r="BP49" s="9" t="str">
        <f t="shared" si="49"/>
        <v/>
      </c>
      <c r="BQ49" s="10" t="str">
        <f t="shared" si="50"/>
        <v/>
      </c>
      <c r="BR49" s="11"/>
    </row>
    <row r="50" spans="1:70" ht="15" customHeight="1" thickBot="1" x14ac:dyDescent="0.25">
      <c r="A50" s="75"/>
      <c r="B50" s="67"/>
      <c r="C50" s="17"/>
      <c r="D50" s="37" t="str">
        <f t="shared" si="58"/>
        <v/>
      </c>
      <c r="E50" s="17"/>
      <c r="F50" s="17" t="str">
        <f t="shared" si="56"/>
        <v/>
      </c>
      <c r="G50" s="84"/>
      <c r="H50" s="19" t="str">
        <f t="shared" si="44"/>
        <v/>
      </c>
      <c r="I50" s="85"/>
      <c r="J50" s="115" t="str">
        <f t="shared" si="57"/>
        <v/>
      </c>
      <c r="K50" s="37" t="str">
        <f t="shared" si="46"/>
        <v/>
      </c>
      <c r="L50" s="17" t="str">
        <f t="shared" si="47"/>
        <v/>
      </c>
      <c r="M50" s="18" t="str">
        <f t="shared" si="48"/>
        <v/>
      </c>
      <c r="N50" s="11"/>
      <c r="P50" s="16"/>
      <c r="Q50" s="17"/>
      <c r="R50" s="37" t="str">
        <f t="shared" si="59"/>
        <v/>
      </c>
      <c r="S50" s="17"/>
      <c r="T50" s="17" t="str">
        <f t="shared" si="60"/>
        <v/>
      </c>
      <c r="U50" s="84"/>
      <c r="V50" s="17" t="str">
        <f t="shared" si="61"/>
        <v/>
      </c>
      <c r="W50" s="85"/>
      <c r="X50" s="114" t="str">
        <f t="shared" si="62"/>
        <v/>
      </c>
      <c r="Y50" s="37" t="str">
        <f t="shared" si="63"/>
        <v/>
      </c>
      <c r="Z50" s="17" t="str">
        <f t="shared" si="64"/>
        <v/>
      </c>
      <c r="AA50" s="18" t="str">
        <f t="shared" si="65"/>
        <v/>
      </c>
      <c r="AB50" s="11"/>
      <c r="AD50" s="16"/>
      <c r="AE50" s="17"/>
      <c r="AF50" s="37" t="str">
        <f t="shared" si="66"/>
        <v/>
      </c>
      <c r="AG50" s="17"/>
      <c r="AH50" s="17" t="str">
        <f t="shared" si="67"/>
        <v/>
      </c>
      <c r="AI50" s="84"/>
      <c r="AJ50" s="17" t="str">
        <f t="shared" si="68"/>
        <v/>
      </c>
      <c r="AK50" s="85"/>
      <c r="AL50" s="114" t="str">
        <f t="shared" si="69"/>
        <v/>
      </c>
      <c r="AM50" s="37" t="str">
        <f t="shared" si="70"/>
        <v/>
      </c>
      <c r="AN50" s="17" t="str">
        <f t="shared" si="71"/>
        <v/>
      </c>
      <c r="AO50" s="18" t="str">
        <f t="shared" si="72"/>
        <v/>
      </c>
      <c r="AP50" s="11"/>
      <c r="AR50" s="16"/>
      <c r="AS50" s="17"/>
      <c r="AT50" s="37" t="str">
        <f t="shared" si="73"/>
        <v/>
      </c>
      <c r="AU50" s="17"/>
      <c r="AV50" s="17" t="str">
        <f t="shared" si="74"/>
        <v/>
      </c>
      <c r="AW50" s="84"/>
      <c r="AX50" s="17" t="str">
        <f t="shared" si="75"/>
        <v/>
      </c>
      <c r="AY50" s="85"/>
      <c r="AZ50" s="114" t="str">
        <f t="shared" si="76"/>
        <v/>
      </c>
      <c r="BA50" s="37" t="str">
        <f t="shared" si="77"/>
        <v/>
      </c>
      <c r="BB50" s="17" t="str">
        <f t="shared" si="78"/>
        <v/>
      </c>
      <c r="BC50" s="18" t="str">
        <f t="shared" si="79"/>
        <v/>
      </c>
      <c r="BD50" s="11"/>
      <c r="BF50" s="7"/>
      <c r="BG50" s="34"/>
      <c r="BH50" s="9" t="str">
        <f t="shared" si="51"/>
        <v/>
      </c>
      <c r="BI50" s="9"/>
      <c r="BJ50" s="9"/>
      <c r="BK50" s="9"/>
      <c r="BL50" s="9" t="str">
        <f t="shared" si="52"/>
        <v/>
      </c>
      <c r="BM50" s="9"/>
      <c r="BN50" s="127"/>
      <c r="BO50" s="9"/>
      <c r="BP50" s="9" t="str">
        <f t="shared" si="49"/>
        <v/>
      </c>
      <c r="BQ50" s="10" t="str">
        <f t="shared" si="50"/>
        <v/>
      </c>
      <c r="BR50" s="11"/>
    </row>
    <row r="51" spans="1:70" ht="15" customHeight="1" thickTop="1" x14ac:dyDescent="0.2">
      <c r="A51" s="71"/>
      <c r="B51" s="61">
        <f>SUM(D51:D54)+SUM(R51:R54)+SUM(AF51:AF54)+SUM(AT51:AT54)+SUM(BH15)</f>
        <v>0</v>
      </c>
      <c r="C51" s="33"/>
      <c r="D51" s="33" t="str">
        <f t="shared" si="58"/>
        <v/>
      </c>
      <c r="E51" s="33"/>
      <c r="F51" s="20" t="str">
        <f t="shared" si="56"/>
        <v/>
      </c>
      <c r="G51" s="33"/>
      <c r="H51" s="33" t="str">
        <f t="shared" si="44"/>
        <v/>
      </c>
      <c r="I51" s="33"/>
      <c r="J51" s="112" t="str">
        <f t="shared" si="57"/>
        <v/>
      </c>
      <c r="K51" s="40" t="str">
        <f t="shared" si="46"/>
        <v/>
      </c>
      <c r="L51" s="20" t="str">
        <f t="shared" si="47"/>
        <v/>
      </c>
      <c r="M51" s="21" t="str">
        <f t="shared" si="48"/>
        <v/>
      </c>
      <c r="N51" s="11"/>
      <c r="P51" s="47" t="str">
        <f>IF($A$421="","",$A$421)</f>
        <v/>
      </c>
      <c r="Q51" s="33"/>
      <c r="R51" s="33" t="str">
        <f t="shared" si="59"/>
        <v/>
      </c>
      <c r="S51" s="33"/>
      <c r="T51" s="20" t="str">
        <f t="shared" si="60"/>
        <v/>
      </c>
      <c r="U51" s="33"/>
      <c r="V51" s="33" t="str">
        <f t="shared" si="61"/>
        <v/>
      </c>
      <c r="W51" s="33"/>
      <c r="X51" s="112" t="str">
        <f t="shared" si="62"/>
        <v/>
      </c>
      <c r="Y51" s="40" t="str">
        <f t="shared" si="63"/>
        <v/>
      </c>
      <c r="Z51" s="20" t="str">
        <f t="shared" si="64"/>
        <v/>
      </c>
      <c r="AA51" s="21" t="str">
        <f t="shared" si="65"/>
        <v/>
      </c>
      <c r="AB51" s="11"/>
      <c r="AD51" s="47" t="str">
        <f>IF($A$421="","",$A$421)</f>
        <v/>
      </c>
      <c r="AE51" s="33"/>
      <c r="AF51" s="33" t="str">
        <f t="shared" si="66"/>
        <v/>
      </c>
      <c r="AG51" s="33"/>
      <c r="AH51" s="20" t="str">
        <f t="shared" si="67"/>
        <v/>
      </c>
      <c r="AI51" s="33"/>
      <c r="AJ51" s="33" t="str">
        <f t="shared" si="68"/>
        <v/>
      </c>
      <c r="AK51" s="33"/>
      <c r="AL51" s="112" t="str">
        <f t="shared" si="69"/>
        <v/>
      </c>
      <c r="AM51" s="40" t="str">
        <f t="shared" si="70"/>
        <v/>
      </c>
      <c r="AN51" s="20" t="str">
        <f t="shared" si="71"/>
        <v/>
      </c>
      <c r="AO51" s="21" t="str">
        <f t="shared" si="72"/>
        <v/>
      </c>
      <c r="AP51" s="11"/>
      <c r="AR51" s="47" t="str">
        <f>IF($A$421="","",$A$421)</f>
        <v/>
      </c>
      <c r="AS51" s="33"/>
      <c r="AT51" s="33" t="str">
        <f t="shared" si="73"/>
        <v/>
      </c>
      <c r="AU51" s="33"/>
      <c r="AV51" s="20" t="str">
        <f t="shared" si="74"/>
        <v/>
      </c>
      <c r="AW51" s="33"/>
      <c r="AX51" s="33" t="str">
        <f t="shared" si="75"/>
        <v/>
      </c>
      <c r="AY51" s="33"/>
      <c r="AZ51" s="112" t="str">
        <f t="shared" si="76"/>
        <v/>
      </c>
      <c r="BA51" s="40" t="str">
        <f t="shared" si="77"/>
        <v/>
      </c>
      <c r="BB51" s="20" t="str">
        <f t="shared" si="78"/>
        <v/>
      </c>
      <c r="BC51" s="21" t="str">
        <f t="shared" si="79"/>
        <v/>
      </c>
      <c r="BD51" s="11"/>
      <c r="BF51" s="7"/>
      <c r="BG51" s="34"/>
      <c r="BH51" s="9"/>
      <c r="BI51" s="9"/>
      <c r="BJ51" s="9"/>
      <c r="BK51" s="9"/>
      <c r="BL51" s="9"/>
      <c r="BM51" s="9"/>
      <c r="BN51" s="127"/>
      <c r="BO51" s="9"/>
      <c r="BP51" s="9"/>
      <c r="BQ51" s="10"/>
      <c r="BR51" s="11"/>
    </row>
    <row r="52" spans="1:70" ht="15" customHeight="1" x14ac:dyDescent="0.2">
      <c r="A52" s="72"/>
      <c r="B52" s="8"/>
      <c r="C52" s="9"/>
      <c r="D52" s="9" t="str">
        <f t="shared" si="58"/>
        <v/>
      </c>
      <c r="E52" s="9"/>
      <c r="F52" s="9" t="str">
        <f t="shared" si="56"/>
        <v/>
      </c>
      <c r="G52" s="9"/>
      <c r="H52" s="9" t="str">
        <f t="shared" si="44"/>
        <v/>
      </c>
      <c r="I52" s="9"/>
      <c r="J52" s="113" t="str">
        <f t="shared" si="57"/>
        <v/>
      </c>
      <c r="K52" s="34" t="str">
        <f t="shared" si="46"/>
        <v/>
      </c>
      <c r="L52" s="9" t="str">
        <f t="shared" si="47"/>
        <v/>
      </c>
      <c r="M52" s="10" t="str">
        <f t="shared" si="48"/>
        <v/>
      </c>
      <c r="N52" s="11"/>
      <c r="P52" s="12"/>
      <c r="Q52" s="9"/>
      <c r="R52" s="9" t="str">
        <f t="shared" si="59"/>
        <v/>
      </c>
      <c r="S52" s="9"/>
      <c r="T52" s="9" t="str">
        <f t="shared" si="60"/>
        <v/>
      </c>
      <c r="U52" s="9"/>
      <c r="V52" s="9" t="str">
        <f t="shared" si="61"/>
        <v/>
      </c>
      <c r="W52" s="9"/>
      <c r="X52" s="113" t="str">
        <f t="shared" si="62"/>
        <v/>
      </c>
      <c r="Y52" s="34" t="str">
        <f t="shared" si="63"/>
        <v/>
      </c>
      <c r="Z52" s="9" t="str">
        <f t="shared" si="64"/>
        <v/>
      </c>
      <c r="AA52" s="10" t="str">
        <f t="shared" si="65"/>
        <v/>
      </c>
      <c r="AB52" s="11"/>
      <c r="AD52" s="12"/>
      <c r="AE52" s="9"/>
      <c r="AF52" s="9" t="str">
        <f t="shared" si="66"/>
        <v/>
      </c>
      <c r="AG52" s="9"/>
      <c r="AH52" s="9" t="str">
        <f t="shared" si="67"/>
        <v/>
      </c>
      <c r="AI52" s="9"/>
      <c r="AJ52" s="9" t="str">
        <f t="shared" si="68"/>
        <v/>
      </c>
      <c r="AK52" s="9"/>
      <c r="AL52" s="113" t="str">
        <f t="shared" si="69"/>
        <v/>
      </c>
      <c r="AM52" s="34" t="str">
        <f t="shared" si="70"/>
        <v/>
      </c>
      <c r="AN52" s="9" t="str">
        <f t="shared" si="71"/>
        <v/>
      </c>
      <c r="AO52" s="10" t="str">
        <f t="shared" si="72"/>
        <v/>
      </c>
      <c r="AP52" s="11"/>
      <c r="AR52" s="12"/>
      <c r="AS52" s="9"/>
      <c r="AT52" s="9" t="str">
        <f t="shared" si="73"/>
        <v/>
      </c>
      <c r="AU52" s="9"/>
      <c r="AV52" s="9" t="str">
        <f t="shared" si="74"/>
        <v/>
      </c>
      <c r="AW52" s="9"/>
      <c r="AX52" s="9" t="str">
        <f t="shared" si="75"/>
        <v/>
      </c>
      <c r="AY52" s="9"/>
      <c r="AZ52" s="113" t="str">
        <f t="shared" si="76"/>
        <v/>
      </c>
      <c r="BA52" s="34" t="str">
        <f t="shared" si="77"/>
        <v/>
      </c>
      <c r="BB52" s="9" t="str">
        <f t="shared" si="78"/>
        <v/>
      </c>
      <c r="BC52" s="10" t="str">
        <f t="shared" si="79"/>
        <v/>
      </c>
      <c r="BD52" s="11"/>
      <c r="BF52" s="7"/>
      <c r="BG52" s="34"/>
      <c r="BH52" s="9" t="str">
        <f>IF(BG52="","",BG52-#REF!)</f>
        <v/>
      </c>
      <c r="BI52" s="9"/>
      <c r="BJ52" s="9"/>
      <c r="BK52" s="9"/>
      <c r="BL52" s="9" t="str">
        <f>IF(BK52="","",#REF!+#REF!-BK52)</f>
        <v/>
      </c>
      <c r="BM52" s="9"/>
      <c r="BN52" s="127"/>
      <c r="BO52" s="9"/>
      <c r="BP52" s="9" t="str">
        <f>IF(BO52="","",BL52*BO52)</f>
        <v/>
      </c>
      <c r="BQ52" s="10" t="str">
        <f>IF(BP52="","",BP52/(BH52*100))</f>
        <v/>
      </c>
      <c r="BR52" s="11"/>
    </row>
    <row r="53" spans="1:70" ht="15" customHeight="1" x14ac:dyDescent="0.2">
      <c r="A53" s="72"/>
      <c r="B53" s="8"/>
      <c r="C53" s="9"/>
      <c r="D53" s="9" t="str">
        <f t="shared" si="58"/>
        <v/>
      </c>
      <c r="E53" s="9"/>
      <c r="F53" s="9" t="str">
        <f t="shared" si="56"/>
        <v/>
      </c>
      <c r="G53" s="9"/>
      <c r="H53" s="9" t="str">
        <f t="shared" si="44"/>
        <v/>
      </c>
      <c r="I53" s="9"/>
      <c r="J53" s="113" t="str">
        <f t="shared" si="57"/>
        <v/>
      </c>
      <c r="K53" s="9" t="str">
        <f t="shared" si="46"/>
        <v/>
      </c>
      <c r="L53" s="9" t="str">
        <f t="shared" si="47"/>
        <v/>
      </c>
      <c r="M53" s="10" t="str">
        <f t="shared" si="48"/>
        <v/>
      </c>
      <c r="N53" s="11"/>
      <c r="P53" s="12"/>
      <c r="Q53" s="9"/>
      <c r="R53" s="9" t="str">
        <f t="shared" si="59"/>
        <v/>
      </c>
      <c r="S53" s="9"/>
      <c r="T53" s="9" t="str">
        <f t="shared" si="60"/>
        <v/>
      </c>
      <c r="U53" s="9"/>
      <c r="V53" s="9" t="str">
        <f t="shared" si="61"/>
        <v/>
      </c>
      <c r="W53" s="9"/>
      <c r="X53" s="113" t="str">
        <f t="shared" si="62"/>
        <v/>
      </c>
      <c r="Y53" s="9" t="str">
        <f t="shared" si="63"/>
        <v/>
      </c>
      <c r="Z53" s="9" t="str">
        <f t="shared" si="64"/>
        <v/>
      </c>
      <c r="AA53" s="10" t="str">
        <f t="shared" si="65"/>
        <v/>
      </c>
      <c r="AB53" s="11"/>
      <c r="AD53" s="12"/>
      <c r="AE53" s="9"/>
      <c r="AF53" s="9" t="str">
        <f t="shared" si="66"/>
        <v/>
      </c>
      <c r="AG53" s="9"/>
      <c r="AH53" s="9" t="str">
        <f t="shared" si="67"/>
        <v/>
      </c>
      <c r="AI53" s="9"/>
      <c r="AJ53" s="9" t="str">
        <f t="shared" si="68"/>
        <v/>
      </c>
      <c r="AK53" s="9"/>
      <c r="AL53" s="113" t="str">
        <f t="shared" si="69"/>
        <v/>
      </c>
      <c r="AM53" s="9" t="str">
        <f t="shared" si="70"/>
        <v/>
      </c>
      <c r="AN53" s="9" t="str">
        <f t="shared" si="71"/>
        <v/>
      </c>
      <c r="AO53" s="10" t="str">
        <f t="shared" si="72"/>
        <v/>
      </c>
      <c r="AP53" s="11"/>
      <c r="AR53" s="12"/>
      <c r="AS53" s="9"/>
      <c r="AT53" s="9" t="str">
        <f t="shared" si="73"/>
        <v/>
      </c>
      <c r="AU53" s="9"/>
      <c r="AV53" s="9" t="str">
        <f t="shared" si="74"/>
        <v/>
      </c>
      <c r="AW53" s="9"/>
      <c r="AX53" s="9" t="str">
        <f t="shared" si="75"/>
        <v/>
      </c>
      <c r="AY53" s="9"/>
      <c r="AZ53" s="113" t="str">
        <f t="shared" si="76"/>
        <v/>
      </c>
      <c r="BA53" s="9" t="str">
        <f t="shared" si="77"/>
        <v/>
      </c>
      <c r="BB53" s="9" t="str">
        <f t="shared" si="78"/>
        <v/>
      </c>
      <c r="BC53" s="10" t="str">
        <f t="shared" si="79"/>
        <v/>
      </c>
      <c r="BD53" s="11"/>
      <c r="BF53" s="7"/>
      <c r="BG53" s="34"/>
      <c r="BH53" s="9" t="str">
        <f>IF(BG53="","",BG53-BG52)</f>
        <v/>
      </c>
      <c r="BI53" s="9"/>
      <c r="BJ53" s="9"/>
      <c r="BK53" s="9"/>
      <c r="BL53" s="9" t="str">
        <f>IF(BK53="","",BK52+BM52-BK53)</f>
        <v/>
      </c>
      <c r="BM53" s="9"/>
      <c r="BN53" s="127"/>
      <c r="BO53" s="9"/>
      <c r="BP53" s="9" t="str">
        <f>IF(BO53="","",BL53*BO53)</f>
        <v/>
      </c>
      <c r="BQ53" s="10" t="str">
        <f>IF(BP53="","",BP53/(BH53*100))</f>
        <v/>
      </c>
      <c r="BR53" s="11"/>
    </row>
    <row r="54" spans="1:70" ht="15" customHeight="1" thickBot="1" x14ac:dyDescent="0.25">
      <c r="A54" s="75"/>
      <c r="B54" s="67"/>
      <c r="C54" s="17"/>
      <c r="D54" s="17" t="str">
        <f t="shared" si="58"/>
        <v/>
      </c>
      <c r="E54" s="17"/>
      <c r="F54" s="17" t="str">
        <f t="shared" si="56"/>
        <v/>
      </c>
      <c r="G54" s="17"/>
      <c r="H54" s="17"/>
      <c r="I54" s="17"/>
      <c r="J54" s="114" t="str">
        <f t="shared" si="57"/>
        <v/>
      </c>
      <c r="K54" s="37" t="str">
        <f t="shared" si="46"/>
        <v/>
      </c>
      <c r="L54" s="17" t="str">
        <f t="shared" si="47"/>
        <v/>
      </c>
      <c r="M54" s="18" t="str">
        <f t="shared" si="48"/>
        <v/>
      </c>
      <c r="N54" s="11"/>
      <c r="P54" s="16"/>
      <c r="Q54" s="17"/>
      <c r="R54" s="17" t="str">
        <f t="shared" si="59"/>
        <v/>
      </c>
      <c r="S54" s="17"/>
      <c r="T54" s="17" t="str">
        <f t="shared" si="60"/>
        <v/>
      </c>
      <c r="U54" s="17"/>
      <c r="V54" s="17" t="str">
        <f t="shared" si="61"/>
        <v/>
      </c>
      <c r="W54" s="17"/>
      <c r="X54" s="114" t="str">
        <f t="shared" si="62"/>
        <v/>
      </c>
      <c r="Y54" s="37" t="str">
        <f t="shared" si="63"/>
        <v/>
      </c>
      <c r="Z54" s="17" t="str">
        <f t="shared" si="64"/>
        <v/>
      </c>
      <c r="AA54" s="18" t="str">
        <f t="shared" si="65"/>
        <v/>
      </c>
      <c r="AB54" s="11"/>
      <c r="AD54" s="16"/>
      <c r="AE54" s="17"/>
      <c r="AF54" s="17" t="str">
        <f t="shared" si="66"/>
        <v/>
      </c>
      <c r="AG54" s="17"/>
      <c r="AH54" s="17" t="str">
        <f t="shared" si="67"/>
        <v/>
      </c>
      <c r="AI54" s="17"/>
      <c r="AJ54" s="17" t="str">
        <f t="shared" si="68"/>
        <v/>
      </c>
      <c r="AK54" s="17"/>
      <c r="AL54" s="114" t="str">
        <f t="shared" si="69"/>
        <v/>
      </c>
      <c r="AM54" s="37" t="str">
        <f t="shared" si="70"/>
        <v/>
      </c>
      <c r="AN54" s="17" t="str">
        <f t="shared" si="71"/>
        <v/>
      </c>
      <c r="AO54" s="18" t="str">
        <f t="shared" si="72"/>
        <v/>
      </c>
      <c r="AP54" s="11"/>
      <c r="AR54" s="16"/>
      <c r="AS54" s="17"/>
      <c r="AT54" s="17" t="str">
        <f t="shared" si="73"/>
        <v/>
      </c>
      <c r="AU54" s="17"/>
      <c r="AV54" s="17" t="str">
        <f t="shared" si="74"/>
        <v/>
      </c>
      <c r="AW54" s="17"/>
      <c r="AX54" s="17" t="str">
        <f t="shared" si="75"/>
        <v/>
      </c>
      <c r="AY54" s="17"/>
      <c r="AZ54" s="114" t="str">
        <f t="shared" si="76"/>
        <v/>
      </c>
      <c r="BA54" s="37" t="str">
        <f t="shared" si="77"/>
        <v/>
      </c>
      <c r="BB54" s="17" t="str">
        <f t="shared" si="78"/>
        <v/>
      </c>
      <c r="BC54" s="18" t="str">
        <f t="shared" si="79"/>
        <v/>
      </c>
      <c r="BD54" s="11"/>
      <c r="BF54" s="7"/>
      <c r="BG54" s="34"/>
      <c r="BH54" s="9" t="str">
        <f>IF(BG54="","",BG54-BG53)</f>
        <v/>
      </c>
      <c r="BI54" s="9"/>
      <c r="BJ54" s="9"/>
      <c r="BK54" s="9"/>
      <c r="BL54" s="9" t="str">
        <f>IF(BK54="","",BK53+BM53-BK54)</f>
        <v/>
      </c>
      <c r="BM54" s="9"/>
      <c r="BN54" s="127"/>
      <c r="BO54" s="9"/>
      <c r="BP54" s="9" t="str">
        <f>IF(BO54="","",BL54*BO54)</f>
        <v/>
      </c>
      <c r="BQ54" s="10" t="str">
        <f>IF(BP54="","",BP54/(BH54*100))</f>
        <v/>
      </c>
      <c r="BR54" s="11"/>
    </row>
    <row r="55" spans="1:70" ht="15" customHeight="1" thickTop="1" x14ac:dyDescent="0.2">
      <c r="A55" s="71"/>
      <c r="B55" s="61">
        <f>SUM(D55:D58)+SUM(R55:R58)+SUM(AF55:AF58)+SUM(AT55:AT58)+SUM(BH16)</f>
        <v>0</v>
      </c>
      <c r="C55" s="33"/>
      <c r="D55" s="33" t="str">
        <f t="shared" si="58"/>
        <v/>
      </c>
      <c r="E55" s="33"/>
      <c r="F55" s="33" t="str">
        <f t="shared" si="56"/>
        <v/>
      </c>
      <c r="G55" s="33"/>
      <c r="H55" s="33" t="str">
        <f>IF(G55="","",G51+I51-G55)</f>
        <v/>
      </c>
      <c r="I55" s="33"/>
      <c r="J55" s="112" t="str">
        <f t="shared" si="57"/>
        <v/>
      </c>
      <c r="K55" s="33" t="str">
        <f t="shared" si="46"/>
        <v/>
      </c>
      <c r="L55" s="33" t="str">
        <f t="shared" si="47"/>
        <v/>
      </c>
      <c r="M55" s="33" t="str">
        <f t="shared" si="48"/>
        <v/>
      </c>
      <c r="N55" s="11"/>
      <c r="P55" s="47" t="str">
        <f>IF($A$425="","",$A$425)</f>
        <v/>
      </c>
      <c r="Q55" s="33"/>
      <c r="R55" s="33" t="str">
        <f t="shared" si="59"/>
        <v/>
      </c>
      <c r="S55" s="33"/>
      <c r="T55" s="33" t="str">
        <f t="shared" si="60"/>
        <v/>
      </c>
      <c r="U55" s="33"/>
      <c r="V55" s="33" t="str">
        <f t="shared" si="61"/>
        <v/>
      </c>
      <c r="W55" s="33"/>
      <c r="X55" s="112" t="str">
        <f t="shared" si="62"/>
        <v/>
      </c>
      <c r="Y55" s="33" t="str">
        <f t="shared" si="63"/>
        <v/>
      </c>
      <c r="Z55" s="33" t="str">
        <f t="shared" si="64"/>
        <v/>
      </c>
      <c r="AA55" s="33" t="str">
        <f t="shared" si="65"/>
        <v/>
      </c>
      <c r="AB55" s="11"/>
      <c r="AD55" s="47" t="str">
        <f>IF($A$425="","",$A$425)</f>
        <v/>
      </c>
      <c r="AE55" s="33"/>
      <c r="AF55" s="33" t="str">
        <f t="shared" si="66"/>
        <v/>
      </c>
      <c r="AG55" s="33"/>
      <c r="AH55" s="33" t="str">
        <f t="shared" si="67"/>
        <v/>
      </c>
      <c r="AI55" s="33"/>
      <c r="AJ55" s="33" t="str">
        <f t="shared" si="68"/>
        <v/>
      </c>
      <c r="AK55" s="33"/>
      <c r="AL55" s="112" t="str">
        <f t="shared" si="69"/>
        <v/>
      </c>
      <c r="AM55" s="33" t="str">
        <f t="shared" si="70"/>
        <v/>
      </c>
      <c r="AN55" s="33" t="str">
        <f t="shared" si="71"/>
        <v/>
      </c>
      <c r="AO55" s="33" t="str">
        <f t="shared" si="72"/>
        <v/>
      </c>
      <c r="AP55" s="11"/>
      <c r="AR55" s="47" t="str">
        <f>IF($A$425="","",$A$425)</f>
        <v/>
      </c>
      <c r="AS55" s="33"/>
      <c r="AT55" s="33" t="str">
        <f t="shared" si="73"/>
        <v/>
      </c>
      <c r="AU55" s="33"/>
      <c r="AV55" s="33" t="str">
        <f t="shared" si="74"/>
        <v/>
      </c>
      <c r="AW55" s="33"/>
      <c r="AX55" s="33" t="str">
        <f t="shared" si="75"/>
        <v/>
      </c>
      <c r="AY55" s="33"/>
      <c r="AZ55" s="112" t="str">
        <f t="shared" si="76"/>
        <v/>
      </c>
      <c r="BA55" s="33" t="str">
        <f t="shared" si="77"/>
        <v/>
      </c>
      <c r="BB55" s="33" t="str">
        <f t="shared" si="78"/>
        <v/>
      </c>
      <c r="BC55" s="33" t="str">
        <f t="shared" si="79"/>
        <v/>
      </c>
      <c r="BD55" s="11"/>
      <c r="BF55" s="7"/>
      <c r="BG55" s="34"/>
      <c r="BH55" s="9"/>
      <c r="BI55" s="9"/>
      <c r="BJ55" s="9"/>
      <c r="BK55" s="9"/>
      <c r="BL55" s="9" t="str">
        <f>IF(BK55="","",BK54+BM54-BK55)</f>
        <v/>
      </c>
      <c r="BM55" s="9"/>
      <c r="BN55" s="127"/>
      <c r="BO55" s="9"/>
      <c r="BP55" s="9" t="str">
        <f>IF(BO55="","",BL55*BO55)</f>
        <v/>
      </c>
      <c r="BQ55" s="10" t="str">
        <f>IF(BP55="","",BP55/(BH55*100))</f>
        <v/>
      </c>
      <c r="BR55" s="11"/>
    </row>
    <row r="56" spans="1:70" ht="15" customHeight="1" x14ac:dyDescent="0.2">
      <c r="A56" s="71"/>
      <c r="B56" s="61"/>
      <c r="C56" s="33"/>
      <c r="D56" s="33" t="str">
        <f t="shared" si="58"/>
        <v/>
      </c>
      <c r="E56" s="33"/>
      <c r="F56" s="33" t="str">
        <f t="shared" si="56"/>
        <v/>
      </c>
      <c r="G56" s="33"/>
      <c r="H56" s="33" t="str">
        <f>IF(G56="","",G52+I52-G56)</f>
        <v/>
      </c>
      <c r="I56" s="33"/>
      <c r="J56" s="112" t="str">
        <f t="shared" si="57"/>
        <v/>
      </c>
      <c r="K56" s="33" t="str">
        <f t="shared" si="46"/>
        <v/>
      </c>
      <c r="L56" s="33" t="str">
        <f t="shared" si="47"/>
        <v/>
      </c>
      <c r="M56" s="33" t="str">
        <f t="shared" si="48"/>
        <v/>
      </c>
      <c r="N56" s="11"/>
      <c r="P56" s="42"/>
      <c r="Q56" s="33"/>
      <c r="R56" s="33" t="str">
        <f t="shared" si="59"/>
        <v/>
      </c>
      <c r="S56" s="33"/>
      <c r="T56" s="33" t="str">
        <f t="shared" si="60"/>
        <v/>
      </c>
      <c r="U56" s="33"/>
      <c r="V56" s="33" t="str">
        <f t="shared" si="61"/>
        <v/>
      </c>
      <c r="W56" s="33"/>
      <c r="X56" s="112" t="str">
        <f t="shared" si="62"/>
        <v/>
      </c>
      <c r="Y56" s="33" t="str">
        <f t="shared" si="63"/>
        <v/>
      </c>
      <c r="Z56" s="33" t="str">
        <f t="shared" si="64"/>
        <v/>
      </c>
      <c r="AA56" s="33" t="str">
        <f t="shared" si="65"/>
        <v/>
      </c>
      <c r="AB56" s="11"/>
      <c r="AD56" s="42"/>
      <c r="AE56" s="33"/>
      <c r="AF56" s="33" t="str">
        <f t="shared" si="66"/>
        <v/>
      </c>
      <c r="AG56" s="33"/>
      <c r="AH56" s="33" t="str">
        <f t="shared" si="67"/>
        <v/>
      </c>
      <c r="AI56" s="33"/>
      <c r="AJ56" s="33" t="str">
        <f t="shared" si="68"/>
        <v/>
      </c>
      <c r="AK56" s="33"/>
      <c r="AL56" s="112" t="str">
        <f t="shared" si="69"/>
        <v/>
      </c>
      <c r="AM56" s="33" t="str">
        <f t="shared" si="70"/>
        <v/>
      </c>
      <c r="AN56" s="33" t="str">
        <f t="shared" si="71"/>
        <v/>
      </c>
      <c r="AO56" s="33" t="str">
        <f t="shared" si="72"/>
        <v/>
      </c>
      <c r="AP56" s="11"/>
      <c r="AR56" s="42"/>
      <c r="AS56" s="33"/>
      <c r="AT56" s="33" t="str">
        <f t="shared" si="73"/>
        <v/>
      </c>
      <c r="AU56" s="33"/>
      <c r="AV56" s="33" t="str">
        <f t="shared" si="74"/>
        <v/>
      </c>
      <c r="AW56" s="33"/>
      <c r="AX56" s="33" t="str">
        <f t="shared" si="75"/>
        <v/>
      </c>
      <c r="AY56" s="33"/>
      <c r="AZ56" s="112" t="str">
        <f t="shared" si="76"/>
        <v/>
      </c>
      <c r="BA56" s="33" t="str">
        <f t="shared" si="77"/>
        <v/>
      </c>
      <c r="BB56" s="33" t="str">
        <f t="shared" si="78"/>
        <v/>
      </c>
      <c r="BC56" s="33" t="str">
        <f t="shared" si="79"/>
        <v/>
      </c>
      <c r="BD56" s="11"/>
      <c r="BF56" s="7"/>
      <c r="BG56" s="34"/>
      <c r="BH56" s="9"/>
      <c r="BI56" s="9"/>
      <c r="BJ56" s="9"/>
      <c r="BK56" s="9"/>
      <c r="BL56" s="9"/>
      <c r="BM56" s="9"/>
      <c r="BN56" s="127"/>
      <c r="BO56" s="9"/>
      <c r="BP56" s="9"/>
      <c r="BQ56" s="10"/>
      <c r="BR56" s="11"/>
    </row>
    <row r="57" spans="1:70" ht="15" customHeight="1" x14ac:dyDescent="0.2">
      <c r="A57" s="4"/>
      <c r="B57" s="64"/>
      <c r="C57" s="38"/>
      <c r="D57" s="38" t="str">
        <f t="shared" si="58"/>
        <v/>
      </c>
      <c r="E57" s="38"/>
      <c r="F57" s="38" t="str">
        <f t="shared" si="56"/>
        <v/>
      </c>
      <c r="G57" s="38"/>
      <c r="H57" s="38" t="str">
        <f>IF(G57="","",G53+I53-G57)</f>
        <v/>
      </c>
      <c r="I57" s="38"/>
      <c r="J57" s="116" t="str">
        <f t="shared" si="57"/>
        <v/>
      </c>
      <c r="K57" s="38" t="str">
        <f t="shared" si="46"/>
        <v/>
      </c>
      <c r="L57" s="38" t="str">
        <f t="shared" si="47"/>
        <v/>
      </c>
      <c r="M57" s="38" t="str">
        <f t="shared" si="48"/>
        <v/>
      </c>
      <c r="N57" s="26"/>
      <c r="P57" s="53"/>
      <c r="Q57" s="38"/>
      <c r="R57" s="38" t="str">
        <f t="shared" si="59"/>
        <v/>
      </c>
      <c r="S57" s="38"/>
      <c r="T57" s="38" t="str">
        <f t="shared" si="60"/>
        <v/>
      </c>
      <c r="U57" s="38"/>
      <c r="V57" s="38" t="str">
        <f t="shared" si="61"/>
        <v/>
      </c>
      <c r="W57" s="38"/>
      <c r="X57" s="116" t="str">
        <f t="shared" si="62"/>
        <v/>
      </c>
      <c r="Y57" s="38" t="str">
        <f t="shared" si="63"/>
        <v/>
      </c>
      <c r="Z57" s="38" t="str">
        <f t="shared" si="64"/>
        <v/>
      </c>
      <c r="AA57" s="38" t="str">
        <f t="shared" si="65"/>
        <v/>
      </c>
      <c r="AB57" s="26"/>
      <c r="AD57" s="53"/>
      <c r="AE57" s="38"/>
      <c r="AF57" s="38" t="str">
        <f t="shared" si="66"/>
        <v/>
      </c>
      <c r="AG57" s="38"/>
      <c r="AH57" s="38" t="str">
        <f t="shared" si="67"/>
        <v/>
      </c>
      <c r="AI57" s="38"/>
      <c r="AJ57" s="38" t="str">
        <f t="shared" si="68"/>
        <v/>
      </c>
      <c r="AK57" s="38"/>
      <c r="AL57" s="116" t="str">
        <f t="shared" si="69"/>
        <v/>
      </c>
      <c r="AM57" s="38" t="str">
        <f t="shared" si="70"/>
        <v/>
      </c>
      <c r="AN57" s="38" t="str">
        <f t="shared" si="71"/>
        <v/>
      </c>
      <c r="AO57" s="38" t="str">
        <f t="shared" si="72"/>
        <v/>
      </c>
      <c r="AP57" s="26"/>
      <c r="AR57" s="53"/>
      <c r="AS57" s="38"/>
      <c r="AT57" s="38" t="str">
        <f t="shared" si="73"/>
        <v/>
      </c>
      <c r="AU57" s="38"/>
      <c r="AV57" s="38" t="str">
        <f t="shared" si="74"/>
        <v/>
      </c>
      <c r="AW57" s="38"/>
      <c r="AX57" s="38" t="str">
        <f t="shared" si="75"/>
        <v/>
      </c>
      <c r="AY57" s="38"/>
      <c r="AZ57" s="116" t="str">
        <f t="shared" si="76"/>
        <v/>
      </c>
      <c r="BA57" s="38" t="str">
        <f t="shared" si="77"/>
        <v/>
      </c>
      <c r="BB57" s="38" t="str">
        <f t="shared" si="78"/>
        <v/>
      </c>
      <c r="BC57" s="38" t="str">
        <f t="shared" si="79"/>
        <v/>
      </c>
      <c r="BD57" s="26"/>
      <c r="BF57" s="7"/>
      <c r="BG57" s="34"/>
      <c r="BH57" s="9"/>
      <c r="BI57" s="9"/>
      <c r="BJ57" s="9"/>
      <c r="BK57" s="9"/>
      <c r="BL57" s="9"/>
      <c r="BM57" s="9"/>
      <c r="BN57" s="127"/>
      <c r="BO57" s="9"/>
      <c r="BP57" s="9"/>
      <c r="BQ57" s="10"/>
      <c r="BR57" s="11"/>
    </row>
    <row r="58" spans="1:70" ht="15" customHeight="1" thickBot="1" x14ac:dyDescent="0.25">
      <c r="A58" s="58"/>
      <c r="B58" s="65"/>
      <c r="C58" s="36"/>
      <c r="D58" s="36" t="str">
        <f t="shared" si="58"/>
        <v/>
      </c>
      <c r="E58" s="36"/>
      <c r="F58" s="36" t="str">
        <f t="shared" si="56"/>
        <v/>
      </c>
      <c r="G58" s="36"/>
      <c r="H58" s="36" t="str">
        <f>IF(G58="","",G54+I54-G58)</f>
        <v/>
      </c>
      <c r="I58" s="36"/>
      <c r="J58" s="117" t="str">
        <f t="shared" si="57"/>
        <v/>
      </c>
      <c r="K58" s="36" t="str">
        <f t="shared" si="46"/>
        <v/>
      </c>
      <c r="L58" s="36" t="str">
        <f t="shared" si="47"/>
        <v/>
      </c>
      <c r="M58" s="36" t="str">
        <f t="shared" si="48"/>
        <v/>
      </c>
      <c r="N58" s="52"/>
      <c r="P58" s="51"/>
      <c r="Q58" s="36"/>
      <c r="R58" s="36" t="str">
        <f t="shared" si="59"/>
        <v/>
      </c>
      <c r="S58" s="36"/>
      <c r="T58" s="36" t="str">
        <f t="shared" si="60"/>
        <v/>
      </c>
      <c r="U58" s="36"/>
      <c r="V58" s="36" t="str">
        <f t="shared" si="61"/>
        <v/>
      </c>
      <c r="W58" s="36"/>
      <c r="X58" s="117" t="str">
        <f t="shared" si="62"/>
        <v/>
      </c>
      <c r="Y58" s="36" t="str">
        <f t="shared" si="63"/>
        <v/>
      </c>
      <c r="Z58" s="36" t="str">
        <f t="shared" si="64"/>
        <v/>
      </c>
      <c r="AA58" s="36" t="str">
        <f t="shared" si="65"/>
        <v/>
      </c>
      <c r="AB58" s="52"/>
      <c r="AD58" s="51"/>
      <c r="AE58" s="36"/>
      <c r="AF58" s="36" t="str">
        <f t="shared" si="66"/>
        <v/>
      </c>
      <c r="AG58" s="36"/>
      <c r="AH58" s="36" t="str">
        <f t="shared" si="67"/>
        <v/>
      </c>
      <c r="AI58" s="36"/>
      <c r="AJ58" s="36" t="str">
        <f t="shared" si="68"/>
        <v/>
      </c>
      <c r="AK58" s="36"/>
      <c r="AL58" s="117" t="str">
        <f t="shared" si="69"/>
        <v/>
      </c>
      <c r="AM58" s="36" t="str">
        <f t="shared" si="70"/>
        <v/>
      </c>
      <c r="AN58" s="36" t="str">
        <f t="shared" si="71"/>
        <v/>
      </c>
      <c r="AO58" s="36" t="str">
        <f t="shared" si="72"/>
        <v/>
      </c>
      <c r="AP58" s="52"/>
      <c r="AR58" s="51"/>
      <c r="AS58" s="36"/>
      <c r="AT58" s="36" t="str">
        <f t="shared" si="73"/>
        <v/>
      </c>
      <c r="AU58" s="36"/>
      <c r="AV58" s="36" t="str">
        <f t="shared" si="74"/>
        <v/>
      </c>
      <c r="AW58" s="36"/>
      <c r="AX58" s="36" t="str">
        <f t="shared" si="75"/>
        <v/>
      </c>
      <c r="AY58" s="36"/>
      <c r="AZ58" s="117" t="str">
        <f t="shared" si="76"/>
        <v/>
      </c>
      <c r="BA58" s="36" t="str">
        <f t="shared" si="77"/>
        <v/>
      </c>
      <c r="BB58" s="36" t="str">
        <f t="shared" si="78"/>
        <v/>
      </c>
      <c r="BC58" s="36" t="str">
        <f t="shared" si="79"/>
        <v/>
      </c>
      <c r="BD58" s="52"/>
      <c r="BF58" s="7"/>
      <c r="BG58" s="34"/>
      <c r="BH58" s="9"/>
      <c r="BI58" s="9"/>
      <c r="BJ58" s="9"/>
      <c r="BK58" s="9"/>
      <c r="BL58" s="9"/>
      <c r="BM58" s="9"/>
      <c r="BN58" s="127"/>
      <c r="BO58" s="9"/>
      <c r="BP58" s="9"/>
      <c r="BQ58" s="10"/>
      <c r="BR58" s="11"/>
    </row>
    <row r="59" spans="1:70" ht="15" customHeight="1" thickTop="1" x14ac:dyDescent="0.2">
      <c r="A59" s="42"/>
      <c r="B59" s="61"/>
      <c r="C59" s="50" t="s">
        <v>22</v>
      </c>
      <c r="D59" s="33">
        <f>SUM(D3:D55)*100</f>
        <v>82900</v>
      </c>
      <c r="E59" s="70" t="s">
        <v>23</v>
      </c>
      <c r="F59" s="33"/>
      <c r="G59" s="50"/>
      <c r="H59" s="33"/>
      <c r="I59" s="33"/>
      <c r="J59" s="149" t="s">
        <v>24</v>
      </c>
      <c r="K59" s="149"/>
      <c r="L59" s="33">
        <f>SUM(L3:L55)</f>
        <v>3816</v>
      </c>
      <c r="M59" s="33"/>
      <c r="N59" s="45"/>
      <c r="P59" s="42"/>
      <c r="Q59" s="50" t="s">
        <v>22</v>
      </c>
      <c r="R59" s="33">
        <f>SUM(R3:R55)*100</f>
        <v>44100</v>
      </c>
      <c r="S59" s="70" t="s">
        <v>23</v>
      </c>
      <c r="T59" s="33"/>
      <c r="U59" s="50"/>
      <c r="V59" s="33"/>
      <c r="W59" s="33"/>
      <c r="X59" s="149" t="s">
        <v>24</v>
      </c>
      <c r="Y59" s="149"/>
      <c r="Z59" s="33">
        <f>SUM(Z3:Z55)</f>
        <v>3956</v>
      </c>
      <c r="AA59" s="33"/>
      <c r="AB59" s="45"/>
      <c r="AD59" s="42"/>
      <c r="AE59" s="50" t="s">
        <v>22</v>
      </c>
      <c r="AF59" s="33">
        <f>SUM(AF3:AF55)*100</f>
        <v>69500</v>
      </c>
      <c r="AG59" s="70" t="s">
        <v>23</v>
      </c>
      <c r="AH59" s="33"/>
      <c r="AI59" s="50"/>
      <c r="AJ59" s="33"/>
      <c r="AK59" s="33"/>
      <c r="AL59" s="149" t="s">
        <v>24</v>
      </c>
      <c r="AM59" s="149"/>
      <c r="AN59" s="33">
        <f>SUM(AN3:AN55)</f>
        <v>14490</v>
      </c>
      <c r="AO59" s="33"/>
      <c r="AP59" s="45"/>
      <c r="AR59" s="42"/>
      <c r="AS59" s="50" t="s">
        <v>22</v>
      </c>
      <c r="AT59" s="33">
        <f>SUM(AT3:AT55)*100</f>
        <v>36200</v>
      </c>
      <c r="AU59" s="70" t="s">
        <v>23</v>
      </c>
      <c r="AV59" s="33"/>
      <c r="AW59" s="50"/>
      <c r="AX59" s="33"/>
      <c r="AY59" s="33"/>
      <c r="AZ59" s="149" t="s">
        <v>24</v>
      </c>
      <c r="BA59" s="149"/>
      <c r="BB59" s="33">
        <f>SUM(BB3:BB55)</f>
        <v>10049</v>
      </c>
      <c r="BC59" s="33"/>
      <c r="BD59" s="45"/>
      <c r="BF59" s="7"/>
      <c r="BG59" s="39" t="s">
        <v>22</v>
      </c>
      <c r="BH59" s="9">
        <f>SUM(BH3:BH55)*100</f>
        <v>49200</v>
      </c>
      <c r="BI59" s="9"/>
      <c r="BJ59" s="9"/>
      <c r="BK59" s="5"/>
      <c r="BL59" s="9"/>
      <c r="BM59" s="9"/>
      <c r="BN59" s="127"/>
      <c r="BO59" s="9"/>
      <c r="BP59" s="9"/>
      <c r="BQ59" s="9"/>
      <c r="BR59" s="11"/>
    </row>
    <row r="60" spans="1:70" ht="15" customHeight="1" x14ac:dyDescent="0.2">
      <c r="A60" s="22"/>
      <c r="B60" s="66"/>
      <c r="C60" s="5" t="s">
        <v>25</v>
      </c>
      <c r="D60" s="9">
        <f>D59/A64</f>
        <v>11842.857142857143</v>
      </c>
      <c r="E60" s="9">
        <f>D60*A63</f>
        <v>355285.71428571432</v>
      </c>
      <c r="F60" s="9"/>
      <c r="G60" s="5"/>
      <c r="H60" s="9"/>
      <c r="I60" s="9"/>
      <c r="J60" s="144" t="s">
        <v>26</v>
      </c>
      <c r="K60" s="144"/>
      <c r="L60" s="9"/>
      <c r="M60" s="24">
        <f>L59/D59</f>
        <v>4.60313630880579E-2</v>
      </c>
      <c r="N60" s="11"/>
      <c r="P60" s="31"/>
      <c r="Q60" s="5" t="s">
        <v>25</v>
      </c>
      <c r="R60" s="9">
        <f>R59/A64</f>
        <v>6300</v>
      </c>
      <c r="S60" s="9">
        <f>R60*A63</f>
        <v>189000</v>
      </c>
      <c r="T60" s="9"/>
      <c r="U60" s="5"/>
      <c r="V60" s="9"/>
      <c r="W60" s="9"/>
      <c r="X60" s="144" t="s">
        <v>26</v>
      </c>
      <c r="Y60" s="144"/>
      <c r="Z60" s="9"/>
      <c r="AA60" s="24">
        <f>Z59/R59</f>
        <v>8.9705215419501133E-2</v>
      </c>
      <c r="AB60" s="11"/>
      <c r="AD60" s="31"/>
      <c r="AE60" s="5" t="s">
        <v>25</v>
      </c>
      <c r="AF60" s="9">
        <f>AF59/A64</f>
        <v>9928.5714285714294</v>
      </c>
      <c r="AG60" s="9">
        <f>AF60*A63</f>
        <v>297857.1428571429</v>
      </c>
      <c r="AH60" s="9"/>
      <c r="AI60" s="5"/>
      <c r="AJ60" s="9"/>
      <c r="AK60" s="9"/>
      <c r="AL60" s="144" t="s">
        <v>26</v>
      </c>
      <c r="AM60" s="144"/>
      <c r="AN60" s="9"/>
      <c r="AO60" s="24">
        <f>AN59/AF59</f>
        <v>0.20848920863309353</v>
      </c>
      <c r="AP60" s="11"/>
      <c r="AR60" s="31"/>
      <c r="AS60" s="5" t="s">
        <v>25</v>
      </c>
      <c r="AT60" s="9">
        <f>AT59/A64</f>
        <v>5171.4285714285716</v>
      </c>
      <c r="AU60" s="9">
        <f>AT60*A63</f>
        <v>155142.85714285716</v>
      </c>
      <c r="AV60" s="9"/>
      <c r="AW60" s="5"/>
      <c r="AX60" s="9"/>
      <c r="AY60" s="9"/>
      <c r="AZ60" s="144" t="s">
        <v>26</v>
      </c>
      <c r="BA60" s="144"/>
      <c r="BB60" s="9"/>
      <c r="BC60" s="24">
        <f>BB59/AT59</f>
        <v>0.27759668508287294</v>
      </c>
      <c r="BD60" s="11"/>
      <c r="BF60" s="7"/>
      <c r="BG60" s="39" t="s">
        <v>25</v>
      </c>
      <c r="BH60" s="9">
        <f>BH59/A64</f>
        <v>7028.5714285714284</v>
      </c>
      <c r="BI60" s="9">
        <f>BH60*A63</f>
        <v>210857.14285714284</v>
      </c>
      <c r="BJ60" s="9"/>
      <c r="BK60" s="5"/>
      <c r="BL60" s="9"/>
      <c r="BM60" s="9"/>
      <c r="BN60" s="127"/>
      <c r="BO60" s="9"/>
      <c r="BP60" s="9"/>
      <c r="BQ60" s="9"/>
      <c r="BR60" s="11"/>
    </row>
    <row r="61" spans="1:70" ht="15" customHeight="1" x14ac:dyDescent="0.2">
      <c r="A61" s="12"/>
      <c r="B61" s="68"/>
      <c r="C61" s="39" t="s">
        <v>27</v>
      </c>
      <c r="D61" s="9">
        <f>D59*0.6</f>
        <v>49740</v>
      </c>
      <c r="E61" s="9"/>
      <c r="F61" s="9"/>
      <c r="G61" s="5"/>
      <c r="H61" s="9"/>
      <c r="I61" s="9"/>
      <c r="J61" s="144" t="s">
        <v>28</v>
      </c>
      <c r="K61" s="144"/>
      <c r="L61" s="9">
        <f>D61-L59</f>
        <v>45924</v>
      </c>
      <c r="M61" s="24">
        <f>L61/D59</f>
        <v>0.55396863691194209</v>
      </c>
      <c r="N61" s="11"/>
      <c r="P61" s="12"/>
      <c r="Q61" s="39" t="s">
        <v>27</v>
      </c>
      <c r="R61" s="9">
        <f>R59*0.6</f>
        <v>26460</v>
      </c>
      <c r="S61" s="9"/>
      <c r="T61" s="9"/>
      <c r="U61" s="5"/>
      <c r="V61" s="9"/>
      <c r="W61" s="9"/>
      <c r="X61" s="144" t="s">
        <v>28</v>
      </c>
      <c r="Y61" s="144"/>
      <c r="Z61" s="9">
        <f>R61-Z59</f>
        <v>22504</v>
      </c>
      <c r="AA61" s="24">
        <f>Z61/R59</f>
        <v>0.51029478458049882</v>
      </c>
      <c r="AB61" s="11"/>
      <c r="AD61" s="12"/>
      <c r="AE61" s="39" t="s">
        <v>27</v>
      </c>
      <c r="AF61" s="9">
        <f>AF59*0.6</f>
        <v>41700</v>
      </c>
      <c r="AG61" s="9"/>
      <c r="AH61" s="9"/>
      <c r="AI61" s="5"/>
      <c r="AJ61" s="9"/>
      <c r="AK61" s="9"/>
      <c r="AL61" s="144" t="s">
        <v>28</v>
      </c>
      <c r="AM61" s="144"/>
      <c r="AN61" s="9">
        <f>AF61-AN59</f>
        <v>27210</v>
      </c>
      <c r="AO61" s="24">
        <f>AN61/AF59</f>
        <v>0.39151079136690647</v>
      </c>
      <c r="AP61" s="11"/>
      <c r="AR61" s="12"/>
      <c r="AS61" s="39" t="s">
        <v>27</v>
      </c>
      <c r="AT61" s="9">
        <f>AT59*0.6</f>
        <v>21720</v>
      </c>
      <c r="AU61" s="9"/>
      <c r="AV61" s="9"/>
      <c r="AW61" s="5"/>
      <c r="AX61" s="9"/>
      <c r="AY61" s="9"/>
      <c r="AZ61" s="144" t="s">
        <v>28</v>
      </c>
      <c r="BA61" s="144"/>
      <c r="BB61" s="9">
        <f>AT61-BB59</f>
        <v>11671</v>
      </c>
      <c r="BC61" s="24">
        <f>BB61/AT59</f>
        <v>0.32240331491712709</v>
      </c>
      <c r="BD61" s="11"/>
      <c r="BF61" s="7"/>
      <c r="BG61" s="39" t="s">
        <v>27</v>
      </c>
      <c r="BH61" s="9">
        <f>BH59*0.6</f>
        <v>29520</v>
      </c>
      <c r="BI61" s="9"/>
      <c r="BJ61" s="9"/>
      <c r="BK61" s="5" t="s">
        <v>50</v>
      </c>
      <c r="BL61" s="9">
        <f>SUM(BP3:BP55)</f>
        <v>9000</v>
      </c>
      <c r="BM61" s="24">
        <f>BL61/BH59</f>
        <v>0.18292682926829268</v>
      </c>
      <c r="BN61" s="128"/>
      <c r="BO61" s="9"/>
      <c r="BP61" s="9"/>
      <c r="BQ61" s="9"/>
      <c r="BR61" s="11"/>
    </row>
    <row r="62" spans="1:70" ht="15" customHeight="1" x14ac:dyDescent="0.2">
      <c r="A62" s="42"/>
      <c r="B62" s="61"/>
      <c r="C62" s="5" t="s">
        <v>29</v>
      </c>
      <c r="D62" s="9"/>
      <c r="E62" s="9"/>
      <c r="F62" s="9"/>
      <c r="G62" s="5"/>
      <c r="H62" s="9"/>
      <c r="I62" s="15"/>
      <c r="J62" s="145" t="s">
        <v>30</v>
      </c>
      <c r="K62" s="145"/>
      <c r="L62" s="33" t="e">
        <f>(G27+I27)*K27+(G28+I28)*K28+(G29+I29)*K29+(G30+I30)*K30</f>
        <v>#VALUE!</v>
      </c>
      <c r="M62" s="10"/>
      <c r="N62" s="11"/>
      <c r="P62" s="42"/>
      <c r="Q62" s="5" t="s">
        <v>29</v>
      </c>
      <c r="R62" s="9"/>
      <c r="S62" s="9"/>
      <c r="T62" s="9"/>
      <c r="U62" s="5"/>
      <c r="V62" s="9"/>
      <c r="W62" s="15"/>
      <c r="X62" s="145" t="s">
        <v>30</v>
      </c>
      <c r="Y62" s="145"/>
      <c r="Z62" s="33" t="e">
        <f>(U27+W27)*Y27+(U28+W28)*Y28+(U29+W29)*Y29+(U30+W30)*Y30</f>
        <v>#VALUE!</v>
      </c>
      <c r="AA62" s="10"/>
      <c r="AB62" s="11"/>
      <c r="AD62" s="42"/>
      <c r="AE62" s="5" t="s">
        <v>29</v>
      </c>
      <c r="AF62" s="9"/>
      <c r="AG62" s="9"/>
      <c r="AH62" s="9"/>
      <c r="AI62" s="5"/>
      <c r="AJ62" s="9"/>
      <c r="AK62" s="15"/>
      <c r="AL62" s="145" t="s">
        <v>30</v>
      </c>
      <c r="AM62" s="145"/>
      <c r="AN62" s="33" t="e">
        <f>(AI27+AK27)*AM27+(AI28+AK28)*AM28+(AI29+AK29)*AM29+(AI30+AK30)*AM30</f>
        <v>#VALUE!</v>
      </c>
      <c r="AO62" s="10"/>
      <c r="AP62" s="11"/>
      <c r="AR62" s="42"/>
      <c r="AS62" s="5" t="s">
        <v>29</v>
      </c>
      <c r="AT62" s="9"/>
      <c r="AU62" s="9"/>
      <c r="AV62" s="9"/>
      <c r="AW62" s="5"/>
      <c r="AX62" s="9"/>
      <c r="AY62" s="15"/>
      <c r="AZ62" s="145" t="s">
        <v>30</v>
      </c>
      <c r="BA62" s="145"/>
      <c r="BB62" s="33" t="e">
        <f>(AW27+AY27)*BA27+(AW28+AY28)*BA28+(AW29+AY29)*BA29+(AW30+AY30)*BA30</f>
        <v>#VALUE!</v>
      </c>
      <c r="BC62" s="10"/>
      <c r="BD62" s="11"/>
      <c r="BF62" s="7"/>
      <c r="BG62" s="39" t="s">
        <v>29</v>
      </c>
      <c r="BH62" s="9">
        <f>BH133</f>
        <v>132200</v>
      </c>
      <c r="BI62" s="9"/>
      <c r="BJ62" s="9"/>
      <c r="BK62" s="5" t="s">
        <v>28</v>
      </c>
      <c r="BL62" s="9">
        <f>BH61-BL61</f>
        <v>20520</v>
      </c>
      <c r="BM62" s="24">
        <f>BL62/BH59</f>
        <v>0.4170731707317073</v>
      </c>
      <c r="BN62" s="128"/>
      <c r="BO62" s="10"/>
      <c r="BP62" s="10"/>
      <c r="BQ62" s="10"/>
      <c r="BR62" s="11"/>
    </row>
    <row r="63" spans="1:70" ht="15" customHeight="1" x14ac:dyDescent="0.2">
      <c r="A63" s="4">
        <v>30</v>
      </c>
      <c r="B63" s="80">
        <f>SUM(B3:B55)*100</f>
        <v>281900</v>
      </c>
      <c r="C63" s="5"/>
      <c r="D63" s="9"/>
      <c r="E63" s="9"/>
      <c r="F63" s="9"/>
      <c r="G63" s="5"/>
      <c r="H63" s="9"/>
      <c r="I63" s="15"/>
      <c r="J63" s="118"/>
      <c r="K63" s="56"/>
      <c r="L63" s="40"/>
      <c r="M63" s="10"/>
      <c r="N63" s="11"/>
      <c r="P63" s="42"/>
      <c r="Q63" s="5"/>
      <c r="R63" s="9"/>
      <c r="S63" s="9"/>
      <c r="T63" s="9"/>
      <c r="U63" s="5"/>
      <c r="V63" s="9"/>
      <c r="W63" s="15"/>
      <c r="X63" s="118"/>
      <c r="Y63" s="56"/>
      <c r="Z63" s="40"/>
      <c r="AA63" s="10"/>
      <c r="AB63" s="11"/>
      <c r="AD63" s="42"/>
      <c r="AE63" s="5"/>
      <c r="AF63" s="9"/>
      <c r="AG63" s="9"/>
      <c r="AH63" s="9"/>
      <c r="AI63" s="5"/>
      <c r="AJ63" s="9"/>
      <c r="AK63" s="15"/>
      <c r="AL63" s="118"/>
      <c r="AM63" s="56"/>
      <c r="AN63" s="40"/>
      <c r="AO63" s="10"/>
      <c r="AP63" s="11"/>
      <c r="AR63" s="42"/>
      <c r="AS63" s="5"/>
      <c r="AT63" s="9"/>
      <c r="AU63" s="9"/>
      <c r="AV63" s="9"/>
      <c r="AW63" s="5"/>
      <c r="AX63" s="9"/>
      <c r="AY63" s="15"/>
      <c r="AZ63" s="118"/>
      <c r="BA63" s="56"/>
      <c r="BB63" s="40"/>
      <c r="BC63" s="10"/>
      <c r="BD63" s="11"/>
      <c r="BF63" s="7"/>
      <c r="BG63" s="34"/>
      <c r="BH63" s="9"/>
      <c r="BI63" s="9"/>
      <c r="BJ63" s="9"/>
      <c r="BK63" s="146" t="s">
        <v>30</v>
      </c>
      <c r="BL63" s="147"/>
      <c r="BM63" s="9" t="e">
        <f>(BK6+BM6)*BO6</f>
        <v>#VALUE!</v>
      </c>
      <c r="BN63" s="127"/>
      <c r="BO63" s="10"/>
      <c r="BP63" s="10"/>
      <c r="BQ63" s="10"/>
      <c r="BR63" s="11"/>
    </row>
    <row r="64" spans="1:70" ht="15" customHeight="1" x14ac:dyDescent="0.2">
      <c r="A64" s="55">
        <f>DATEDIF(A$105,A7,"d")</f>
        <v>7</v>
      </c>
      <c r="B64" s="61"/>
      <c r="C64" s="5"/>
      <c r="D64" s="9"/>
      <c r="E64" s="23"/>
      <c r="F64" s="9"/>
      <c r="G64" s="5"/>
      <c r="H64" s="9"/>
      <c r="I64" s="15"/>
      <c r="J64" s="118"/>
      <c r="K64" s="56"/>
      <c r="L64" s="40"/>
      <c r="M64" s="10"/>
      <c r="N64" s="11"/>
      <c r="P64" s="42"/>
      <c r="Q64" s="5"/>
      <c r="R64" s="9"/>
      <c r="S64" s="9"/>
      <c r="T64" s="9"/>
      <c r="U64" s="5"/>
      <c r="V64" s="9"/>
      <c r="W64" s="15"/>
      <c r="X64" s="118"/>
      <c r="Y64" s="56"/>
      <c r="Z64" s="40"/>
      <c r="AA64" s="10"/>
      <c r="AB64" s="11"/>
      <c r="AD64" s="42"/>
      <c r="AE64" s="5"/>
      <c r="AF64" s="9"/>
      <c r="AG64" s="9"/>
      <c r="AH64" s="9"/>
      <c r="AI64" s="5"/>
      <c r="AJ64" s="9"/>
      <c r="AK64" s="15"/>
      <c r="AL64" s="118"/>
      <c r="AM64" s="56"/>
      <c r="AN64" s="40"/>
      <c r="AO64" s="10"/>
      <c r="AP64" s="11"/>
      <c r="AR64" s="42"/>
      <c r="AS64" s="5"/>
      <c r="AT64" s="9"/>
      <c r="AU64" s="9"/>
      <c r="AV64" s="9"/>
      <c r="AW64" s="5"/>
      <c r="AX64" s="9"/>
      <c r="AY64" s="15"/>
      <c r="AZ64" s="118"/>
      <c r="BA64" s="56"/>
      <c r="BB64" s="40"/>
      <c r="BC64" s="10"/>
      <c r="BD64" s="11"/>
      <c r="BF64" s="7"/>
      <c r="BG64" s="34"/>
      <c r="BH64" s="9"/>
      <c r="BI64" s="9"/>
      <c r="BJ64" s="9"/>
      <c r="BK64" s="5"/>
      <c r="BL64" s="9"/>
      <c r="BM64" s="9"/>
      <c r="BN64" s="127"/>
      <c r="BO64" s="10"/>
      <c r="BP64" s="10"/>
      <c r="BQ64" s="10"/>
      <c r="BR64" s="11"/>
    </row>
    <row r="65" spans="1:70" x14ac:dyDescent="0.2">
      <c r="A65" s="142" t="s">
        <v>31</v>
      </c>
      <c r="B65" s="142"/>
      <c r="C65" s="142"/>
      <c r="D65" s="25">
        <f>SUM(D3,D7,D11,D15,D19,D23,D27,D31,D35,D39,D43,D47,D51)*100</f>
        <v>6700</v>
      </c>
      <c r="E65" s="34"/>
      <c r="F65" s="9"/>
      <c r="G65" s="5">
        <f>D65/H65</f>
        <v>2233.3333333333335</v>
      </c>
      <c r="H65" s="25">
        <f>SUM(H3,H7,H11,H15,H19,H23,H28,H31,H35,H39,H43,H47,H51)</f>
        <v>3</v>
      </c>
      <c r="I65" s="9"/>
      <c r="J65" s="112" t="str">
        <f t="shared" ref="J65:K65" si="80">J3</f>
        <v>モンチッチマスコット</v>
      </c>
      <c r="K65" s="40">
        <f t="shared" si="80"/>
        <v>572</v>
      </c>
      <c r="L65" s="25">
        <f>SUM(L3,L7,L11,L15,L19,L23,L28,L31,L35,L39,L43,L47,L51)</f>
        <v>1716</v>
      </c>
      <c r="M65" s="24">
        <f>L65/D65</f>
        <v>0.25611940298507463</v>
      </c>
      <c r="N65" s="11"/>
      <c r="O65" s="14"/>
      <c r="P65" s="142" t="s">
        <v>31</v>
      </c>
      <c r="Q65" s="142"/>
      <c r="R65" s="25">
        <f>SUM(R3,R7,R11,R15,R19,R23,R27,R31,R35,R39,R43,R47,R51)*100</f>
        <v>9900</v>
      </c>
      <c r="S65" s="34"/>
      <c r="T65" s="9"/>
      <c r="U65" s="5">
        <f>R65/V65</f>
        <v>4950</v>
      </c>
      <c r="V65" s="25">
        <f>SUM(V3,V7,V11,V15,V19,V23,V28,V31,V35,V39,V43,V47,V51)</f>
        <v>2</v>
      </c>
      <c r="W65" s="9"/>
      <c r="X65" s="112" t="str">
        <f t="shared" ref="X65:Y65" si="81">X3</f>
        <v>マリオカートマスコット</v>
      </c>
      <c r="Y65" s="40">
        <f t="shared" si="81"/>
        <v>792</v>
      </c>
      <c r="Z65" s="25">
        <f>SUM(Z3,Z7,Z11,Z15,Z19,Z23,Z28,Z31,Z35,Z39,Z43,Z47,Z51)</f>
        <v>1584</v>
      </c>
      <c r="AA65" s="24">
        <f>Z65/R65</f>
        <v>0.16</v>
      </c>
      <c r="AB65" s="11"/>
      <c r="AD65" s="142" t="s">
        <v>31</v>
      </c>
      <c r="AE65" s="142"/>
      <c r="AF65" s="25">
        <f>SUM(AF3,AF7,AF11,AF15,AF19,AF23,AF27,AF31,AF35,AF39,AF43,AF47,AF51)*100</f>
        <v>37300</v>
      </c>
      <c r="AG65" s="34"/>
      <c r="AH65" s="9"/>
      <c r="AI65" s="5">
        <f>AF65/AJ65</f>
        <v>7460</v>
      </c>
      <c r="AJ65" s="25">
        <f>SUM(AJ3,AJ7,AJ11,AJ15,AJ19,AJ23,AJ28,AJ31,AJ35,AJ39,AJ43,AJ47,AJ51)</f>
        <v>5</v>
      </c>
      <c r="AK65" s="9"/>
      <c r="AL65" s="112" t="str">
        <f t="shared" ref="AL65:AM65" si="82">AL3</f>
        <v>ジャグラーDXボタン</v>
      </c>
      <c r="AM65" s="40">
        <f t="shared" si="82"/>
        <v>1100</v>
      </c>
      <c r="AN65" s="25">
        <f>SUM(AN3,AN7,AN11,AN15,AN19,AN23,AN28,AN31,AN35,AN39,AN43,AN47,AN51)</f>
        <v>5500</v>
      </c>
      <c r="AO65" s="24">
        <f>AN65/AF65</f>
        <v>0.14745308310991956</v>
      </c>
      <c r="AP65" s="11"/>
      <c r="AR65" s="142" t="s">
        <v>31</v>
      </c>
      <c r="AS65" s="142"/>
      <c r="AT65" s="25">
        <f>SUM(AT3,AT7,AT11,AT15,AT19,AT23,AT27,AT31,AT35,AT39,AT43,AT47,AT51)*100</f>
        <v>17300</v>
      </c>
      <c r="AU65" s="34"/>
      <c r="AV65" s="9"/>
      <c r="AW65" s="5">
        <f>AT65/AX65</f>
        <v>2162.5</v>
      </c>
      <c r="AX65" s="25">
        <f>SUM(AX3,AX7,AX11,AX15,AX19,AX23,AX28,AX31,AX35,AX39,AX43,AX47,AX51)</f>
        <v>8</v>
      </c>
      <c r="AY65" s="9"/>
      <c r="AZ65" s="112" t="str">
        <f t="shared" ref="AZ65:BA65" si="83">AZ3</f>
        <v>サンリオカラビナ付きミニファン</v>
      </c>
      <c r="BA65" s="40">
        <f t="shared" si="83"/>
        <v>1100</v>
      </c>
      <c r="BB65" s="25">
        <f>SUM(BB3,BB7,BB11,BB15,BB19,BB23,BB28,BB31,BB35,BB39,BB43,BB47,BB51)</f>
        <v>8800</v>
      </c>
      <c r="BC65" s="24">
        <f>BB65/AT65</f>
        <v>0.50867052023121384</v>
      </c>
      <c r="BD65" s="11"/>
      <c r="BF65" s="7"/>
      <c r="BG65" s="34"/>
      <c r="BH65" s="9"/>
      <c r="BI65" s="9"/>
      <c r="BJ65" s="9"/>
      <c r="BK65" s="5"/>
      <c r="BL65" s="9"/>
      <c r="BM65" s="24"/>
      <c r="BN65" s="128"/>
      <c r="BO65" s="9"/>
      <c r="BP65" s="9"/>
      <c r="BQ65" s="9"/>
      <c r="BR65" s="11"/>
    </row>
    <row r="66" spans="1:70" x14ac:dyDescent="0.2">
      <c r="A66" s="142" t="s">
        <v>31</v>
      </c>
      <c r="B66" s="142"/>
      <c r="C66" s="142"/>
      <c r="D66" s="25">
        <f>SUM(D4,D8,D12,D16,D20,D24,D28,D32,D36,D40,D44,D48,D52)*100</f>
        <v>24500</v>
      </c>
      <c r="E66" s="34"/>
      <c r="F66" s="9"/>
      <c r="G66" s="5">
        <f>D66/H66</f>
        <v>6125</v>
      </c>
      <c r="H66" s="25">
        <f>SUM(H4,H8,H12,H16,H20,H24,H27,H32,H36,H40,H44,H48,H52)</f>
        <v>4</v>
      </c>
      <c r="I66" s="9"/>
      <c r="J66" s="112" t="str">
        <f t="shared" ref="J66:K66" si="84">J4</f>
        <v>電ブル</v>
      </c>
      <c r="K66" s="40">
        <f t="shared" si="84"/>
        <v>275</v>
      </c>
      <c r="L66" s="25">
        <f>SUM(L4,L8,L12,L16,L20,L24,L27,L32,L36,L40,L44,L48,L52)</f>
        <v>1100</v>
      </c>
      <c r="M66" s="24">
        <f>L66/D66</f>
        <v>4.4897959183673466E-2</v>
      </c>
      <c r="N66" s="11"/>
      <c r="O66" s="1"/>
      <c r="P66" s="142" t="s">
        <v>31</v>
      </c>
      <c r="Q66" s="142"/>
      <c r="R66" s="25">
        <f>SUM(R4,R8,R12,R16,R20,R24,R28,R32,R36,R40,R44,R48,R52)*100</f>
        <v>8500</v>
      </c>
      <c r="S66" s="34"/>
      <c r="T66" s="9"/>
      <c r="U66" s="5">
        <f>R66/V66</f>
        <v>2125</v>
      </c>
      <c r="V66" s="25">
        <f>SUM(V4,V8,V12,V16,V20,V24,V27,V32,V36,V40,V44,V48,V52)</f>
        <v>4</v>
      </c>
      <c r="W66" s="9"/>
      <c r="X66" s="112" t="str">
        <f t="shared" ref="X66:Y66" si="85">X4</f>
        <v>パンケーキスクイーズ</v>
      </c>
      <c r="Y66" s="40">
        <f t="shared" si="85"/>
        <v>181</v>
      </c>
      <c r="Z66" s="25">
        <f>SUM(Z4,Z8,Z12,Z16,Z20,Z24,Z27,Z32,Z36,Z40,Z44,Z48,Z52)</f>
        <v>724</v>
      </c>
      <c r="AA66" s="24">
        <f>Z66/R66</f>
        <v>8.5176470588235298E-2</v>
      </c>
      <c r="AB66" s="11"/>
      <c r="AD66" s="142" t="s">
        <v>31</v>
      </c>
      <c r="AE66" s="142"/>
      <c r="AF66" s="25">
        <f>SUM(AF4,AF8,AF12,AF16,AF20,AF24,AF28,AF32,AF36,AF40,AF44,AF48,AF52)*100</f>
        <v>18400</v>
      </c>
      <c r="AG66" s="34"/>
      <c r="AH66" s="9"/>
      <c r="AI66" s="5">
        <f>AF66/AJ66</f>
        <v>3680</v>
      </c>
      <c r="AJ66" s="25">
        <f>SUM(AJ4,AJ8,AJ12,AJ16,AJ20,AJ24,AJ27,AJ32,AJ36,AJ40,AJ44,AJ48,AJ52)</f>
        <v>5</v>
      </c>
      <c r="AK66" s="9"/>
      <c r="AL66" s="112" t="str">
        <f t="shared" ref="AL66:AM66" si="86">AL4</f>
        <v>トイストーリー・ディズニーベアブリック</v>
      </c>
      <c r="AM66" s="40">
        <f t="shared" si="86"/>
        <v>748</v>
      </c>
      <c r="AN66" s="25">
        <f>SUM(AN4,AN8,AN12,AN16,AN20,AN24,AN27,AN32,AN36,AN40,AN44,AN48,AN52)</f>
        <v>3740</v>
      </c>
      <c r="AO66" s="24">
        <f>AN66/AF66</f>
        <v>0.20326086956521738</v>
      </c>
      <c r="AP66" s="11"/>
      <c r="AR66" s="142" t="s">
        <v>31</v>
      </c>
      <c r="AS66" s="142"/>
      <c r="AT66" s="25">
        <f>SUM(AT4,AT8,AT12,AT16,AT20,AT24,AT28,AT32,AT36,AT40,AT44,AT48,AT52)*100</f>
        <v>4600</v>
      </c>
      <c r="AU66" s="34"/>
      <c r="AV66" s="9"/>
      <c r="AW66" s="5">
        <f>AT66/AX66</f>
        <v>1533.3333333333333</v>
      </c>
      <c r="AX66" s="25">
        <f>SUM(AX4,AX8,AX12,AX16,AX20,AX24,AX27,AX32,AX36,AX40,AX44,AX48,AX52)</f>
        <v>3</v>
      </c>
      <c r="AY66" s="9"/>
      <c r="AZ66" s="112" t="str">
        <f t="shared" ref="AZ66:BA66" si="87">AZ4</f>
        <v>ポケモンファスナーマスコット</v>
      </c>
      <c r="BA66" s="40">
        <f t="shared" si="87"/>
        <v>170</v>
      </c>
      <c r="BB66" s="25">
        <f>SUM(BB4,BB8,BB12,BB16,BB20,BB24,BB27,BB32,BB36,BB40,BB44,BB48,BB52)</f>
        <v>510</v>
      </c>
      <c r="BC66" s="24">
        <f>BB66/AT66</f>
        <v>0.1108695652173913</v>
      </c>
      <c r="BD66" s="11"/>
      <c r="BF66" s="7"/>
      <c r="BG66" s="9"/>
      <c r="BH66" s="9"/>
      <c r="BI66" s="9"/>
      <c r="BJ66" s="9"/>
      <c r="BK66" s="5"/>
      <c r="BL66" s="9"/>
      <c r="BM66" s="24"/>
      <c r="BN66" s="128"/>
      <c r="BO66" s="9"/>
      <c r="BP66" s="9"/>
      <c r="BQ66" s="9"/>
      <c r="BR66" s="11"/>
    </row>
    <row r="67" spans="1:70" x14ac:dyDescent="0.2">
      <c r="A67" s="142" t="s">
        <v>31</v>
      </c>
      <c r="B67" s="142"/>
      <c r="C67" s="142"/>
      <c r="D67" s="25">
        <f>SUM(D5,D9,D13,D17,D21,D25,D29,D33,D37,D41,D45,D49,D53)*100</f>
        <v>35400</v>
      </c>
      <c r="E67" s="34"/>
      <c r="F67" s="9"/>
      <c r="G67" s="5">
        <f>D67/H67</f>
        <v>5057.1428571428569</v>
      </c>
      <c r="H67" s="25">
        <f>SUM(H5,H9,H13,H18,H21,H25,H29,H33,H37,H41,H45,H49,H53)</f>
        <v>7</v>
      </c>
      <c r="I67" s="9"/>
      <c r="J67" s="112" t="str">
        <f t="shared" ref="J67:K67" si="88">J5</f>
        <v>たまごっちカスタムキーリング</v>
      </c>
      <c r="K67" s="40">
        <f t="shared" si="88"/>
        <v>0</v>
      </c>
      <c r="L67" s="25">
        <f>SUM(L5,L9,L13,L18,L21,L25,L29,L33,L37,L41,L45,L49,L53)</f>
        <v>0</v>
      </c>
      <c r="M67" s="24">
        <f>L67/D67</f>
        <v>0</v>
      </c>
      <c r="N67" s="11"/>
      <c r="O67" s="1"/>
      <c r="P67" s="142" t="s">
        <v>31</v>
      </c>
      <c r="Q67" s="142"/>
      <c r="R67" s="25">
        <f>SUM(R5,R9,R13,R17,R21,R25,R29,R33,R37,R41,R45,R49,R53)*100</f>
        <v>12900</v>
      </c>
      <c r="S67" s="34"/>
      <c r="T67" s="9"/>
      <c r="U67" s="5">
        <f>R67/V67</f>
        <v>2580</v>
      </c>
      <c r="V67" s="25">
        <f>SUM(V5,V9,V13,V18,V21,V25,V29,V33,V37,V41,V45,V49,V53)</f>
        <v>5</v>
      </c>
      <c r="W67" s="9"/>
      <c r="X67" s="112" t="str">
        <f t="shared" ref="X67:Y67" si="89">X5</f>
        <v>フルーツスクイーズ</v>
      </c>
      <c r="Y67" s="40">
        <f t="shared" si="89"/>
        <v>200</v>
      </c>
      <c r="Z67" s="25">
        <f>SUM(Z5,Z9,Z13,Z18,Z21,Z25,Z29,Z33,Z37,Z41,Z45,Z49,Z53)</f>
        <v>1000</v>
      </c>
      <c r="AA67" s="24">
        <f>Z67/R67</f>
        <v>7.7519379844961239E-2</v>
      </c>
      <c r="AB67" s="11"/>
      <c r="AD67" s="142" t="s">
        <v>31</v>
      </c>
      <c r="AE67" s="142"/>
      <c r="AF67" s="25">
        <f>SUM(AF5,AF9,AF13,AF17,AF21,AF25,AF29,AF33,AF37,AF41,AF45,AF49,AF53)*100</f>
        <v>8600</v>
      </c>
      <c r="AG67" s="34"/>
      <c r="AH67" s="9"/>
      <c r="AI67" s="5">
        <f>AF67/AJ67</f>
        <v>614.28571428571433</v>
      </c>
      <c r="AJ67" s="25">
        <f>SUM(AJ5,AJ9,AJ13,AJ18,AJ21,AJ25,AJ29,AJ33,AJ37,AJ41,AJ45,AJ49,AJ53)</f>
        <v>14</v>
      </c>
      <c r="AK67" s="9"/>
      <c r="AL67" s="112" t="str">
        <f t="shared" ref="AL67:AM67" si="90">AL5</f>
        <v>かえるがま口</v>
      </c>
      <c r="AM67" s="40">
        <f t="shared" si="90"/>
        <v>300</v>
      </c>
      <c r="AN67" s="25">
        <f>SUM(AN5,AN9,AN13,AN18,AN21,AN25,AN29,AN33,AN37,AN41,AN45,AN49,AN53)</f>
        <v>4200</v>
      </c>
      <c r="AO67" s="24">
        <f>AN67/AF67</f>
        <v>0.48837209302325579</v>
      </c>
      <c r="AP67" s="11"/>
      <c r="AR67" s="142" t="s">
        <v>31</v>
      </c>
      <c r="AS67" s="142"/>
      <c r="AT67" s="25">
        <f>SUM(AT5,AT9,AT13,AT17,AT21,AT25,AT29,AT33,AT37,AT41,AT45,AT49,AT53)*100</f>
        <v>6400</v>
      </c>
      <c r="AU67" s="34"/>
      <c r="AV67" s="9"/>
      <c r="AW67" s="5">
        <f>AT67/AX67</f>
        <v>6400</v>
      </c>
      <c r="AX67" s="25">
        <f>SUM(AX5,AX9,AX13,AX18,AX21,AX25,AX29,AX33,AX37,AX41,AX45,AX49,AX53)</f>
        <v>1</v>
      </c>
      <c r="AY67" s="9"/>
      <c r="AZ67" s="112" t="str">
        <f t="shared" ref="AZ67:BA67" si="91">AZ5</f>
        <v>ふわもちミニスクイーズ</v>
      </c>
      <c r="BA67" s="40">
        <f t="shared" si="91"/>
        <v>99</v>
      </c>
      <c r="BB67" s="25">
        <f>SUM(BB5,BB9,BB13,BB18,BB21,BB25,BB29,BB33,BB37,BB41,BB45,BB49,BB53)</f>
        <v>99</v>
      </c>
      <c r="BC67" s="24">
        <f>BB67/AT67</f>
        <v>1.546875E-2</v>
      </c>
      <c r="BD67" s="11"/>
      <c r="BF67" s="7"/>
      <c r="BG67" s="141"/>
      <c r="BH67" s="141"/>
      <c r="BI67" s="92"/>
      <c r="BJ67" s="9"/>
      <c r="BK67" s="5"/>
      <c r="BL67" s="9"/>
      <c r="BM67" s="24"/>
      <c r="BN67" s="128"/>
      <c r="BO67" s="9"/>
      <c r="BP67" s="9"/>
      <c r="BQ67" s="9"/>
      <c r="BR67" s="11"/>
    </row>
    <row r="68" spans="1:70" x14ac:dyDescent="0.2">
      <c r="A68" s="142" t="s">
        <v>31</v>
      </c>
      <c r="B68" s="142"/>
      <c r="C68" s="142"/>
      <c r="D68" s="25">
        <f>SUM(D6,D10,D14,D18,D22,D26,D30,D34,D38,D42,D46,D50,D54)*100</f>
        <v>16300</v>
      </c>
      <c r="E68" s="34"/>
      <c r="F68" s="9"/>
      <c r="G68" s="5">
        <f>D68/H68</f>
        <v>4075</v>
      </c>
      <c r="H68" s="25">
        <f>SUM(H6,H10,H14,H17,H22,H26,H30,H34,H38,H42,H46,H50,H54)</f>
        <v>4</v>
      </c>
      <c r="I68" s="9"/>
      <c r="J68" s="112" t="str">
        <f t="shared" ref="J68:K68" si="92">J6</f>
        <v>バタースクイーズ</v>
      </c>
      <c r="K68" s="40">
        <f t="shared" si="92"/>
        <v>250</v>
      </c>
      <c r="L68" s="25">
        <f>SUM(L6,L10,L14,L17,L22,L26,L30,L34,L38,L42,L46,L50,L54)</f>
        <v>1000</v>
      </c>
      <c r="M68" s="24">
        <f>L68/D68</f>
        <v>6.1349693251533742E-2</v>
      </c>
      <c r="N68" s="11"/>
      <c r="O68" s="1"/>
      <c r="P68" s="142" t="s">
        <v>31</v>
      </c>
      <c r="Q68" s="142"/>
      <c r="R68" s="25">
        <f>SUM(R6,R10,R14,R18,R22,R26,R30,R34,R38,R42,R46,R50,R54)*100</f>
        <v>12800</v>
      </c>
      <c r="S68" s="34"/>
      <c r="T68" s="9"/>
      <c r="U68" s="5">
        <f>R68/V68</f>
        <v>12800</v>
      </c>
      <c r="V68" s="25">
        <f>SUM(V6,V10,V14,V17,V22,V26,V30,V34,V38,V42,V46,V50,V54)</f>
        <v>1</v>
      </c>
      <c r="W68" s="9"/>
      <c r="X68" s="112" t="str">
        <f t="shared" ref="X68:Y68" si="93">X6</f>
        <v>たまごっちブロックシール</v>
      </c>
      <c r="Y68" s="40">
        <f t="shared" si="93"/>
        <v>648</v>
      </c>
      <c r="Z68" s="25">
        <f>SUM(Z6,Z10,Z14,Z17,Z22,Z26,Z30,Z34,Z38,Z42,Z46,Z50,Z54)</f>
        <v>648</v>
      </c>
      <c r="AA68" s="24">
        <f>Z68/R68</f>
        <v>5.0625000000000003E-2</v>
      </c>
      <c r="AB68" s="11"/>
      <c r="AD68" s="142" t="s">
        <v>31</v>
      </c>
      <c r="AE68" s="142"/>
      <c r="AF68" s="25">
        <f>SUM(AF6,AF10,AF14,AF18,AF22,AF26,AF30,AF34,AF38,AF42,AF46,AF50,AF54)*100</f>
        <v>5200</v>
      </c>
      <c r="AG68" s="34"/>
      <c r="AH68" s="9"/>
      <c r="AI68" s="5">
        <f>AF68/AJ68</f>
        <v>1733.3333333333333</v>
      </c>
      <c r="AJ68" s="25">
        <f>SUM(AJ6,AJ10,AJ14,AJ17,AJ22,AJ26,AJ30,AJ34,AJ38,AJ42,AJ46,AJ50,AJ54)</f>
        <v>3</v>
      </c>
      <c r="AK68" s="9"/>
      <c r="AL68" s="112" t="str">
        <f t="shared" ref="AL68:AM68" si="94">AL6</f>
        <v>サミュエルフェイス</v>
      </c>
      <c r="AM68" s="40">
        <f t="shared" si="94"/>
        <v>350</v>
      </c>
      <c r="AN68" s="25">
        <f>SUM(AN6,AN10,AN14,AN17,AN22,AN26,AN30,AN34,AN38,AN42,AN46,AN50,AN54)</f>
        <v>1050</v>
      </c>
      <c r="AO68" s="24">
        <f>AN68/AF68</f>
        <v>0.20192307692307693</v>
      </c>
      <c r="AP68" s="11"/>
      <c r="AR68" s="142" t="s">
        <v>31</v>
      </c>
      <c r="AS68" s="142"/>
      <c r="AT68" s="25">
        <f>SUM(AT6,AT10,AT14,AT18,AT22,AT26,AT30,AT34,AT38,AT42,AT46,AT50,AT54)*100</f>
        <v>7900</v>
      </c>
      <c r="AU68" s="34"/>
      <c r="AV68" s="9"/>
      <c r="AW68" s="5">
        <f>AT68/AX68</f>
        <v>7900</v>
      </c>
      <c r="AX68" s="25">
        <f>SUM(AX6,AX10,AX14,AX17,AX22,AX26,AX30,AX34,AX38,AX42,AX46,AX50,AX54)</f>
        <v>1</v>
      </c>
      <c r="AY68" s="9"/>
      <c r="AZ68" s="112" t="str">
        <f t="shared" ref="AZ68:BA68" si="95">AZ6</f>
        <v>キティフェイスMC</v>
      </c>
      <c r="BA68" s="40">
        <f t="shared" si="95"/>
        <v>640</v>
      </c>
      <c r="BB68" s="25">
        <f>SUM(BB6,BB10,BB14,BB17,BB22,BB26,BB30,BB34,BB38,BB42,BB46,BB50,BB54)</f>
        <v>640</v>
      </c>
      <c r="BC68" s="24">
        <f>BB68/AT68</f>
        <v>8.1012658227848103E-2</v>
      </c>
      <c r="BD68" s="11"/>
      <c r="BF68" s="7"/>
      <c r="BG68" s="141"/>
      <c r="BH68" s="141"/>
      <c r="BI68" s="9"/>
      <c r="BJ68" s="9"/>
      <c r="BK68" s="5"/>
      <c r="BL68" s="9"/>
      <c r="BM68" s="24"/>
      <c r="BN68" s="128"/>
      <c r="BO68" s="10"/>
      <c r="BP68" s="10"/>
      <c r="BQ68" s="10"/>
      <c r="BR68" s="11"/>
    </row>
    <row r="69" spans="1:70" x14ac:dyDescent="0.2">
      <c r="A69" s="12"/>
      <c r="B69" s="8"/>
      <c r="C69" s="5" t="s">
        <v>22</v>
      </c>
      <c r="D69" s="9">
        <f>SUM(D65:D68)</f>
        <v>82900</v>
      </c>
      <c r="E69" s="34"/>
      <c r="F69" s="9"/>
      <c r="G69" s="9"/>
      <c r="H69" s="9">
        <f>SUM(H65:H68)</f>
        <v>18</v>
      </c>
      <c r="I69" s="9"/>
      <c r="J69" s="143" t="s">
        <v>32</v>
      </c>
      <c r="K69" s="143"/>
      <c r="L69" s="33">
        <f>SUM(L65:L68)</f>
        <v>3816</v>
      </c>
      <c r="M69" s="44">
        <f>L69/D69</f>
        <v>4.60313630880579E-2</v>
      </c>
      <c r="N69" s="45"/>
      <c r="O69" s="1"/>
      <c r="P69" s="12"/>
      <c r="Q69" s="5" t="s">
        <v>22</v>
      </c>
      <c r="R69" s="9">
        <f>SUM(R65:R68)</f>
        <v>44100</v>
      </c>
      <c r="S69" s="34"/>
      <c r="T69" s="9"/>
      <c r="U69" s="9"/>
      <c r="V69" s="9">
        <f>SUM(V65:V68)</f>
        <v>12</v>
      </c>
      <c r="W69" s="9"/>
      <c r="X69" s="143" t="s">
        <v>32</v>
      </c>
      <c r="Y69" s="143"/>
      <c r="Z69" s="33">
        <f>SUM(Z65:Z68)</f>
        <v>3956</v>
      </c>
      <c r="AA69" s="44">
        <f>Z69/R69</f>
        <v>8.9705215419501133E-2</v>
      </c>
      <c r="AB69" s="11"/>
      <c r="AD69" s="12"/>
      <c r="AE69" s="5" t="s">
        <v>22</v>
      </c>
      <c r="AF69" s="9">
        <f>SUM(AF65:AF68)</f>
        <v>69500</v>
      </c>
      <c r="AG69" s="34"/>
      <c r="AH69" s="9"/>
      <c r="AI69" s="9"/>
      <c r="AJ69" s="9">
        <f>SUM(AJ65:AJ68)</f>
        <v>27</v>
      </c>
      <c r="AK69" s="9"/>
      <c r="AL69" s="143" t="s">
        <v>32</v>
      </c>
      <c r="AM69" s="143"/>
      <c r="AN69" s="33">
        <f>SUM(AN65:AN68)</f>
        <v>14490</v>
      </c>
      <c r="AO69" s="44">
        <f>AN69/AF69</f>
        <v>0.20848920863309353</v>
      </c>
      <c r="AP69" s="11"/>
      <c r="AR69" s="12"/>
      <c r="AS69" s="5" t="s">
        <v>22</v>
      </c>
      <c r="AT69" s="9">
        <f>SUM(AT65:AT68)</f>
        <v>36200</v>
      </c>
      <c r="AU69" s="34"/>
      <c r="AV69" s="9"/>
      <c r="AW69" s="9"/>
      <c r="AX69" s="9">
        <f>SUM(AX65:AX68)</f>
        <v>13</v>
      </c>
      <c r="AY69" s="9"/>
      <c r="AZ69" s="143" t="s">
        <v>32</v>
      </c>
      <c r="BA69" s="143"/>
      <c r="BB69" s="33">
        <f>SUM(BB65:BB68)</f>
        <v>10049</v>
      </c>
      <c r="BC69" s="44">
        <f>BB69/AT69</f>
        <v>0.27759668508287294</v>
      </c>
      <c r="BD69" s="11"/>
      <c r="BF69" s="7"/>
      <c r="BG69" s="141"/>
      <c r="BH69" s="141"/>
      <c r="BI69" s="24"/>
      <c r="BJ69" s="9"/>
      <c r="BK69" s="5"/>
      <c r="BL69" s="9"/>
      <c r="BM69" s="24"/>
      <c r="BN69" s="128"/>
      <c r="BO69" s="10"/>
      <c r="BP69" s="10"/>
      <c r="BQ69" s="10"/>
      <c r="BR69" s="11"/>
    </row>
    <row r="70" spans="1:70" x14ac:dyDescent="0.2">
      <c r="A70" s="28"/>
      <c r="B70" s="27"/>
      <c r="C70" s="2"/>
      <c r="D70" s="2"/>
      <c r="E70" s="2"/>
      <c r="F70" s="2"/>
      <c r="G70" s="2"/>
      <c r="H70" s="2"/>
      <c r="I70" s="2"/>
      <c r="J70" s="119"/>
      <c r="K70" s="2"/>
      <c r="L70" s="2"/>
      <c r="M70" s="2"/>
      <c r="N70" s="32"/>
      <c r="O70" s="1"/>
      <c r="P70" s="28"/>
      <c r="Q70" s="2"/>
      <c r="R70" s="2"/>
      <c r="S70" s="2"/>
      <c r="T70" s="2"/>
      <c r="U70" s="2"/>
      <c r="V70" s="2"/>
      <c r="W70" s="2"/>
      <c r="X70" s="119"/>
      <c r="Y70" s="2"/>
      <c r="Z70" s="2"/>
      <c r="AA70" s="2"/>
      <c r="AB70" s="32"/>
      <c r="AD70" s="28"/>
      <c r="AE70" s="2"/>
      <c r="AF70" s="2"/>
      <c r="AG70" s="2"/>
      <c r="AH70" s="2"/>
      <c r="AI70" s="2"/>
      <c r="AJ70" s="2"/>
      <c r="AK70" s="2"/>
      <c r="AL70" s="119"/>
      <c r="AM70" s="2"/>
      <c r="AN70" s="2"/>
      <c r="AO70" s="2"/>
      <c r="AP70" s="32"/>
      <c r="AR70" s="28"/>
      <c r="AS70" s="2"/>
      <c r="AT70" s="2"/>
      <c r="AU70" s="2"/>
      <c r="AV70" s="2"/>
      <c r="AW70" s="2"/>
      <c r="AX70" s="2"/>
      <c r="AY70" s="2"/>
      <c r="AZ70" s="119"/>
      <c r="BA70" s="2"/>
      <c r="BB70" s="2"/>
      <c r="BC70" s="2"/>
      <c r="BD70" s="32"/>
      <c r="BF70" s="98"/>
    </row>
    <row r="71" spans="1:70" x14ac:dyDescent="0.2">
      <c r="A71" s="28"/>
      <c r="B71" s="133" t="s">
        <v>33</v>
      </c>
      <c r="C71" s="134"/>
      <c r="D71" s="135" t="s">
        <v>34</v>
      </c>
      <c r="E71" s="136"/>
      <c r="F71" s="135" t="s">
        <v>35</v>
      </c>
      <c r="G71" s="136"/>
      <c r="H71" s="2"/>
      <c r="I71" s="2"/>
      <c r="J71" s="119"/>
      <c r="K71" s="2"/>
      <c r="L71" s="2"/>
      <c r="M71" s="2"/>
      <c r="N71" s="32"/>
      <c r="O71" s="1"/>
      <c r="P71" s="28"/>
      <c r="Q71" s="2"/>
      <c r="R71" s="2"/>
      <c r="S71" s="2"/>
      <c r="T71" s="2"/>
      <c r="U71" s="2"/>
      <c r="V71" s="2"/>
      <c r="W71" s="2"/>
      <c r="X71" s="119"/>
      <c r="Y71" s="2"/>
      <c r="Z71" s="2"/>
      <c r="AA71" s="2"/>
      <c r="AB71" s="32"/>
      <c r="AD71" s="28"/>
      <c r="AE71" s="2"/>
      <c r="AF71" s="2"/>
      <c r="AG71" s="2"/>
      <c r="AH71" s="133" t="s">
        <v>33</v>
      </c>
      <c r="AI71" s="134"/>
      <c r="AJ71" s="135" t="s">
        <v>34</v>
      </c>
      <c r="AK71" s="136"/>
      <c r="AL71" s="135" t="s">
        <v>35</v>
      </c>
      <c r="AM71" s="136"/>
      <c r="AN71" s="2"/>
      <c r="AO71" s="2"/>
      <c r="AP71" s="32"/>
      <c r="AR71" s="28"/>
      <c r="AS71" s="2"/>
      <c r="AT71" s="2"/>
      <c r="AU71" s="2"/>
      <c r="AV71" s="2"/>
      <c r="AW71" s="2"/>
      <c r="AX71" s="2"/>
      <c r="AY71" s="2"/>
      <c r="AZ71" s="119"/>
      <c r="BA71" s="2"/>
      <c r="BB71" s="2"/>
      <c r="BC71" s="2"/>
      <c r="BD71" s="32"/>
      <c r="BF71" s="98"/>
    </row>
    <row r="72" spans="1:70" x14ac:dyDescent="0.2">
      <c r="A72" s="28"/>
      <c r="B72" s="137">
        <f>B63/A64*A63</f>
        <v>1208142.8571428573</v>
      </c>
      <c r="C72" s="138"/>
      <c r="D72" s="139">
        <f>L59+Z59+AN59+BB59+BL61</f>
        <v>41311</v>
      </c>
      <c r="E72" s="140"/>
      <c r="F72" s="139">
        <f>K62+Y62</f>
        <v>0</v>
      </c>
      <c r="G72" s="140"/>
      <c r="H72" s="2"/>
      <c r="I72" s="2"/>
      <c r="J72" s="119"/>
      <c r="K72" s="2"/>
      <c r="L72" s="2"/>
      <c r="M72" s="2"/>
      <c r="N72" s="32"/>
      <c r="O72" s="1"/>
      <c r="P72" s="28"/>
      <c r="Q72" s="2"/>
      <c r="R72" s="2"/>
      <c r="S72" s="2"/>
      <c r="T72" s="2"/>
      <c r="U72" s="2"/>
      <c r="V72" s="2"/>
      <c r="W72" s="2"/>
      <c r="X72" s="119"/>
      <c r="Y72" s="2"/>
      <c r="Z72" s="2"/>
      <c r="AA72" s="2"/>
      <c r="AB72" s="32"/>
      <c r="AD72" s="28"/>
      <c r="AE72" s="2"/>
      <c r="AF72" s="2"/>
      <c r="AG72" s="2"/>
      <c r="AH72" s="137" t="e">
        <f>AH63/AG64*AG63</f>
        <v>#DIV/0!</v>
      </c>
      <c r="AI72" s="138"/>
      <c r="AJ72" s="139">
        <f>AR59+BF59+BU59+CI59</f>
        <v>0</v>
      </c>
      <c r="AK72" s="140"/>
      <c r="AL72" s="139">
        <f>AQ62+BE62</f>
        <v>0</v>
      </c>
      <c r="AM72" s="140"/>
      <c r="AN72" s="2"/>
      <c r="AO72" s="2"/>
      <c r="AP72" s="32"/>
      <c r="AR72" s="28"/>
      <c r="AS72" s="2"/>
      <c r="AT72" s="2"/>
      <c r="AU72" s="2"/>
      <c r="AV72" s="2"/>
      <c r="AW72" s="2"/>
      <c r="AX72" s="2"/>
      <c r="AY72" s="2"/>
      <c r="AZ72" s="119"/>
      <c r="BA72" s="2"/>
      <c r="BB72" s="2"/>
      <c r="BC72" s="2"/>
      <c r="BD72" s="32"/>
      <c r="BF72" s="98"/>
    </row>
    <row r="73" spans="1:70" ht="15" customHeight="1" x14ac:dyDescent="0.2">
      <c r="B73" s="54"/>
      <c r="C73" s="54"/>
      <c r="D73" s="124" t="s">
        <v>36</v>
      </c>
      <c r="E73" s="57">
        <f>D72/B63</f>
        <v>0.14654487406881872</v>
      </c>
      <c r="F73" s="9"/>
      <c r="G73" s="9"/>
      <c r="K73"/>
      <c r="AH73" s="54"/>
      <c r="AI73" s="54"/>
      <c r="AJ73" s="69" t="s">
        <v>36</v>
      </c>
      <c r="AK73" s="57" t="e">
        <f>AJ72/AH63</f>
        <v>#DIV/0!</v>
      </c>
      <c r="AL73" s="113"/>
      <c r="AM73" s="9"/>
      <c r="BF73" s="98"/>
    </row>
    <row r="74" spans="1:70" x14ac:dyDescent="0.2">
      <c r="K74"/>
      <c r="BF74" s="98"/>
    </row>
    <row r="75" spans="1:70" ht="15" customHeight="1" x14ac:dyDescent="0.2">
      <c r="A75" s="150" t="s">
        <v>53</v>
      </c>
      <c r="B75" s="150"/>
      <c r="C75" s="150"/>
      <c r="D75" s="150"/>
      <c r="E75" s="151" t="s">
        <v>0</v>
      </c>
      <c r="F75" s="151"/>
      <c r="G75" s="86"/>
      <c r="H75" s="86"/>
      <c r="I75" s="86"/>
      <c r="J75" s="108"/>
      <c r="K75" s="86"/>
      <c r="L75" s="86"/>
      <c r="M75" s="86"/>
      <c r="N75" s="87"/>
      <c r="O75" s="88"/>
      <c r="P75" s="150" t="s">
        <v>53</v>
      </c>
      <c r="Q75" s="150"/>
      <c r="R75" s="150"/>
      <c r="S75" s="151" t="s">
        <v>1</v>
      </c>
      <c r="T75" s="151"/>
      <c r="U75" s="86"/>
      <c r="V75" s="86"/>
      <c r="W75" s="86"/>
      <c r="X75" s="108"/>
      <c r="Y75" s="86"/>
      <c r="Z75" s="86"/>
      <c r="AA75" s="86"/>
      <c r="AB75" s="87"/>
      <c r="AD75" s="150" t="s">
        <v>53</v>
      </c>
      <c r="AE75" s="150"/>
      <c r="AF75" s="150"/>
      <c r="AG75" s="151" t="s">
        <v>54</v>
      </c>
      <c r="AH75" s="151"/>
      <c r="AI75" s="86"/>
      <c r="AJ75" s="86"/>
      <c r="AK75" s="86"/>
      <c r="AL75" s="108"/>
      <c r="AM75" s="86"/>
      <c r="AN75" s="86"/>
      <c r="AO75" s="86"/>
      <c r="AP75" s="87"/>
      <c r="AR75" s="150" t="s">
        <v>53</v>
      </c>
      <c r="AS75" s="150"/>
      <c r="AT75" s="150"/>
      <c r="AU75" s="151" t="s">
        <v>55</v>
      </c>
      <c r="AV75" s="151"/>
      <c r="AW75" s="86"/>
      <c r="AX75" s="86"/>
      <c r="AY75" s="86"/>
      <c r="AZ75" s="108"/>
      <c r="BA75" s="86"/>
      <c r="BB75" s="86"/>
      <c r="BC75" s="86"/>
      <c r="BD75" s="87"/>
      <c r="BE75" s="105"/>
      <c r="BF75" s="150" t="s">
        <v>43</v>
      </c>
      <c r="BG75" s="150"/>
      <c r="BH75" s="150"/>
      <c r="BI75" s="148" t="s">
        <v>44</v>
      </c>
      <c r="BJ75" s="148"/>
      <c r="BK75" s="106"/>
      <c r="BL75" s="106"/>
      <c r="BM75" s="106"/>
      <c r="BN75" s="106"/>
      <c r="BO75" s="106"/>
      <c r="BP75" s="106"/>
      <c r="BQ75" s="106"/>
      <c r="BR75" s="106"/>
    </row>
    <row r="76" spans="1:70" x14ac:dyDescent="0.2">
      <c r="A76" s="7" t="s">
        <v>2</v>
      </c>
      <c r="B76" s="60" t="s">
        <v>3</v>
      </c>
      <c r="C76" s="5" t="s">
        <v>4</v>
      </c>
      <c r="D76" s="5" t="s">
        <v>5</v>
      </c>
      <c r="E76" s="6" t="s">
        <v>6</v>
      </c>
      <c r="F76" s="5" t="s">
        <v>5</v>
      </c>
      <c r="G76" s="5" t="s">
        <v>7</v>
      </c>
      <c r="H76" s="5" t="s">
        <v>8</v>
      </c>
      <c r="I76" s="5" t="s">
        <v>9</v>
      </c>
      <c r="J76" s="92" t="s">
        <v>10</v>
      </c>
      <c r="K76" s="5" t="s">
        <v>11</v>
      </c>
      <c r="L76" s="5" t="s">
        <v>8</v>
      </c>
      <c r="M76" s="5" t="s">
        <v>12</v>
      </c>
      <c r="N76" s="5" t="s">
        <v>13</v>
      </c>
      <c r="O76" s="3"/>
      <c r="P76" s="7" t="s">
        <v>2</v>
      </c>
      <c r="Q76" s="5" t="s">
        <v>4</v>
      </c>
      <c r="R76" s="5" t="s">
        <v>5</v>
      </c>
      <c r="S76" s="6" t="s">
        <v>6</v>
      </c>
      <c r="T76" s="5" t="s">
        <v>5</v>
      </c>
      <c r="U76" s="5" t="s">
        <v>7</v>
      </c>
      <c r="V76" s="5" t="s">
        <v>8</v>
      </c>
      <c r="W76" s="5" t="s">
        <v>9</v>
      </c>
      <c r="X76" s="92" t="s">
        <v>10</v>
      </c>
      <c r="Y76" s="5" t="s">
        <v>11</v>
      </c>
      <c r="Z76" s="5" t="s">
        <v>8</v>
      </c>
      <c r="AA76" s="5" t="s">
        <v>12</v>
      </c>
      <c r="AB76" s="5" t="s">
        <v>13</v>
      </c>
      <c r="AD76" s="7" t="s">
        <v>2</v>
      </c>
      <c r="AE76" s="5" t="s">
        <v>4</v>
      </c>
      <c r="AF76" s="5" t="s">
        <v>5</v>
      </c>
      <c r="AG76" s="6" t="s">
        <v>6</v>
      </c>
      <c r="AH76" s="5" t="s">
        <v>5</v>
      </c>
      <c r="AI76" s="5" t="s">
        <v>7</v>
      </c>
      <c r="AJ76" s="5" t="s">
        <v>8</v>
      </c>
      <c r="AK76" s="5" t="s">
        <v>9</v>
      </c>
      <c r="AL76" s="92" t="s">
        <v>10</v>
      </c>
      <c r="AM76" s="5" t="s">
        <v>11</v>
      </c>
      <c r="AN76" s="5" t="s">
        <v>8</v>
      </c>
      <c r="AO76" s="5" t="s">
        <v>12</v>
      </c>
      <c r="AP76" s="5" t="s">
        <v>13</v>
      </c>
      <c r="AR76" s="7" t="s">
        <v>2</v>
      </c>
      <c r="AS76" s="5" t="s">
        <v>4</v>
      </c>
      <c r="AT76" s="5" t="s">
        <v>5</v>
      </c>
      <c r="AU76" s="6" t="s">
        <v>6</v>
      </c>
      <c r="AV76" s="5" t="s">
        <v>5</v>
      </c>
      <c r="AW76" s="5" t="s">
        <v>7</v>
      </c>
      <c r="AX76" s="5" t="s">
        <v>8</v>
      </c>
      <c r="AY76" s="5" t="s">
        <v>9</v>
      </c>
      <c r="AZ76" s="92" t="s">
        <v>10</v>
      </c>
      <c r="BA76" s="5" t="s">
        <v>11</v>
      </c>
      <c r="BB76" s="5" t="s">
        <v>8</v>
      </c>
      <c r="BC76" s="5" t="s">
        <v>12</v>
      </c>
      <c r="BD76" s="5" t="s">
        <v>13</v>
      </c>
      <c r="BF76" s="89" t="s">
        <v>2</v>
      </c>
      <c r="BG76" s="5" t="s">
        <v>4</v>
      </c>
      <c r="BH76" s="5" t="s">
        <v>5</v>
      </c>
      <c r="BI76" s="6" t="s">
        <v>6</v>
      </c>
      <c r="BJ76" s="5" t="s">
        <v>5</v>
      </c>
      <c r="BK76" s="5" t="s">
        <v>7</v>
      </c>
      <c r="BL76" s="5" t="s">
        <v>8</v>
      </c>
      <c r="BM76" s="5" t="s">
        <v>9</v>
      </c>
      <c r="BN76" s="125" t="s">
        <v>181</v>
      </c>
      <c r="BO76" s="5" t="s">
        <v>11</v>
      </c>
      <c r="BP76" s="5" t="s">
        <v>45</v>
      </c>
      <c r="BQ76" s="5" t="s">
        <v>46</v>
      </c>
      <c r="BR76" s="5" t="s">
        <v>13</v>
      </c>
    </row>
    <row r="77" spans="1:70" x14ac:dyDescent="0.2">
      <c r="A77" s="12">
        <v>46132</v>
      </c>
      <c r="B77" s="61">
        <v>545</v>
      </c>
      <c r="C77" s="33">
        <v>15729</v>
      </c>
      <c r="D77" s="33">
        <v>50</v>
      </c>
      <c r="E77" s="33">
        <v>1124</v>
      </c>
      <c r="F77" s="33">
        <v>1</v>
      </c>
      <c r="G77" s="33">
        <v>6</v>
      </c>
      <c r="H77" s="33">
        <v>1</v>
      </c>
      <c r="I77" s="33">
        <v>0</v>
      </c>
      <c r="J77" s="109" t="s">
        <v>20</v>
      </c>
      <c r="K77" s="40">
        <v>572</v>
      </c>
      <c r="L77" s="33">
        <v>572</v>
      </c>
      <c r="M77" s="41">
        <v>0.1144</v>
      </c>
      <c r="N77" s="11"/>
      <c r="O77" s="1"/>
      <c r="P77" s="12">
        <v>46132</v>
      </c>
      <c r="Q77" s="33">
        <v>15595</v>
      </c>
      <c r="R77" s="33">
        <v>21</v>
      </c>
      <c r="S77" s="33">
        <v>1446</v>
      </c>
      <c r="T77" s="33">
        <v>0</v>
      </c>
      <c r="U77" s="33">
        <v>4</v>
      </c>
      <c r="V77" s="33">
        <v>0</v>
      </c>
      <c r="W77" s="33">
        <v>0</v>
      </c>
      <c r="X77" s="109" t="s">
        <v>136</v>
      </c>
      <c r="Y77" s="40">
        <v>1100</v>
      </c>
      <c r="Z77" s="33">
        <v>0</v>
      </c>
      <c r="AA77" s="41">
        <v>0</v>
      </c>
      <c r="AB77" s="11"/>
      <c r="AD77" s="12">
        <v>46132</v>
      </c>
      <c r="AE77" s="33">
        <v>12590</v>
      </c>
      <c r="AF77" s="94">
        <v>6</v>
      </c>
      <c r="AG77" s="33">
        <v>915</v>
      </c>
      <c r="AH77" s="33">
        <v>0</v>
      </c>
      <c r="AI77" s="33">
        <v>11</v>
      </c>
      <c r="AJ77" s="33">
        <v>0</v>
      </c>
      <c r="AK77" s="33">
        <v>0</v>
      </c>
      <c r="AL77" s="109" t="s">
        <v>137</v>
      </c>
      <c r="AM77" s="40">
        <v>660</v>
      </c>
      <c r="AN77" s="33">
        <v>0</v>
      </c>
      <c r="AO77" s="41">
        <v>0</v>
      </c>
      <c r="AP77" s="11"/>
      <c r="AR77" s="12">
        <v>46132</v>
      </c>
      <c r="AS77" s="33">
        <v>9779</v>
      </c>
      <c r="AT77" s="33">
        <v>26</v>
      </c>
      <c r="AU77" s="33">
        <v>534</v>
      </c>
      <c r="AV77" s="33">
        <v>1</v>
      </c>
      <c r="AW77" s="33">
        <v>11</v>
      </c>
      <c r="AX77" s="33">
        <v>1</v>
      </c>
      <c r="AY77" s="33">
        <v>2</v>
      </c>
      <c r="AZ77" s="112" t="s">
        <v>212</v>
      </c>
      <c r="BA77" s="40">
        <v>1100</v>
      </c>
      <c r="BB77" s="33">
        <v>1100</v>
      </c>
      <c r="BC77" s="41">
        <v>0.42307692307692307</v>
      </c>
      <c r="BD77" s="11"/>
      <c r="BF77" s="7">
        <v>46132</v>
      </c>
      <c r="BG77" s="13">
        <v>6538</v>
      </c>
      <c r="BH77" s="33">
        <v>114</v>
      </c>
      <c r="BI77" s="9">
        <v>73</v>
      </c>
      <c r="BJ77" s="33">
        <v>1</v>
      </c>
      <c r="BK77" s="33">
        <v>13</v>
      </c>
      <c r="BL77" s="33">
        <v>1</v>
      </c>
      <c r="BM77" s="33">
        <v>3</v>
      </c>
      <c r="BN77" s="126" t="s">
        <v>134</v>
      </c>
      <c r="BO77" s="33">
        <v>1500</v>
      </c>
      <c r="BP77" s="9">
        <v>1500</v>
      </c>
      <c r="BQ77" s="10">
        <v>0.13157894736842105</v>
      </c>
      <c r="BR77" s="93"/>
    </row>
    <row r="78" spans="1:70" x14ac:dyDescent="0.2">
      <c r="A78" s="59"/>
      <c r="B78" s="8"/>
      <c r="C78" s="33">
        <v>19797</v>
      </c>
      <c r="D78" s="9">
        <v>43</v>
      </c>
      <c r="E78" s="33">
        <v>641</v>
      </c>
      <c r="F78" s="9">
        <v>1</v>
      </c>
      <c r="G78" s="9">
        <v>34</v>
      </c>
      <c r="H78" s="9">
        <v>1</v>
      </c>
      <c r="I78" s="9">
        <v>0</v>
      </c>
      <c r="J78" s="109" t="s">
        <v>15</v>
      </c>
      <c r="K78" s="33">
        <v>275</v>
      </c>
      <c r="L78" s="9">
        <v>275</v>
      </c>
      <c r="M78" s="10">
        <v>6.3953488372093026E-2</v>
      </c>
      <c r="N78" s="11"/>
      <c r="O78" s="1"/>
      <c r="P78" s="12"/>
      <c r="Q78" s="33">
        <v>14818</v>
      </c>
      <c r="R78" s="77">
        <v>1</v>
      </c>
      <c r="S78" s="33">
        <v>504</v>
      </c>
      <c r="T78" s="9">
        <v>0</v>
      </c>
      <c r="U78" s="9">
        <v>7</v>
      </c>
      <c r="V78" s="9">
        <v>0</v>
      </c>
      <c r="W78" s="9">
        <v>0</v>
      </c>
      <c r="X78" s="121" t="s">
        <v>21</v>
      </c>
      <c r="Y78" s="34">
        <v>825</v>
      </c>
      <c r="Z78" s="9">
        <v>0</v>
      </c>
      <c r="AA78" s="10">
        <v>0</v>
      </c>
      <c r="AB78" s="11" t="s">
        <v>217</v>
      </c>
      <c r="AD78" s="12"/>
      <c r="AE78" s="33">
        <v>12923</v>
      </c>
      <c r="AF78" s="9">
        <v>22</v>
      </c>
      <c r="AG78" s="33">
        <v>801</v>
      </c>
      <c r="AH78" s="9">
        <v>1</v>
      </c>
      <c r="AI78" s="9">
        <v>14</v>
      </c>
      <c r="AJ78" s="9">
        <v>0</v>
      </c>
      <c r="AK78" s="9">
        <v>4</v>
      </c>
      <c r="AL78" s="121" t="s">
        <v>219</v>
      </c>
      <c r="AM78" s="34">
        <v>748</v>
      </c>
      <c r="AN78" s="9">
        <v>0</v>
      </c>
      <c r="AO78" s="10">
        <v>0</v>
      </c>
      <c r="AP78" s="11"/>
      <c r="AR78" s="12"/>
      <c r="AS78" s="33">
        <v>11088</v>
      </c>
      <c r="AT78" s="77">
        <v>7</v>
      </c>
      <c r="AU78" s="33">
        <v>553</v>
      </c>
      <c r="AV78" s="9">
        <v>0</v>
      </c>
      <c r="AW78" s="9">
        <v>9</v>
      </c>
      <c r="AX78" s="9">
        <v>0</v>
      </c>
      <c r="AY78" s="9">
        <v>3</v>
      </c>
      <c r="AZ78" s="113" t="s">
        <v>183</v>
      </c>
      <c r="BA78" s="34"/>
      <c r="BB78" s="9">
        <v>0</v>
      </c>
      <c r="BC78" s="10">
        <v>0</v>
      </c>
      <c r="BD78" s="11" t="s">
        <v>223</v>
      </c>
      <c r="BF78" s="96">
        <f>IF($A81="","",$A81)</f>
        <v>46136</v>
      </c>
      <c r="BG78" s="13">
        <v>6791</v>
      </c>
      <c r="BH78" s="9">
        <f t="shared" ref="BH78:BH90" si="96">IF(BG78="","",BG78-BG77)</f>
        <v>253</v>
      </c>
      <c r="BI78" s="9">
        <v>75</v>
      </c>
      <c r="BJ78" s="9">
        <f t="shared" ref="BJ78:BJ90" si="97">IF(BI78="","",BI78-BI77)</f>
        <v>2</v>
      </c>
      <c r="BK78" s="33">
        <v>14</v>
      </c>
      <c r="BL78" s="9">
        <f t="shared" ref="BL78:BL90" si="98">IF(BK78="","",BK77+BM77-BK78)</f>
        <v>2</v>
      </c>
      <c r="BM78" s="33">
        <v>2</v>
      </c>
      <c r="BN78" s="126" t="str">
        <f t="shared" ref="BN78:BN116" si="99">IF(BG78="","",BN77)</f>
        <v>ボンボンドロップシール</v>
      </c>
      <c r="BO78" s="33">
        <f t="shared" ref="BO78:BO90" si="100">IF(BG78="","",BO77)</f>
        <v>1500</v>
      </c>
      <c r="BP78" s="9">
        <f t="shared" ref="BP78:BP90" si="101">IF(BO78="","",BL78*BO78)</f>
        <v>3000</v>
      </c>
      <c r="BQ78" s="10">
        <f t="shared" ref="BQ78:BQ89" si="102">IF(BP78="","",BP78/(BH78*100))</f>
        <v>0.11857707509881422</v>
      </c>
      <c r="BR78" s="11"/>
    </row>
    <row r="79" spans="1:70" x14ac:dyDescent="0.2">
      <c r="A79" s="12"/>
      <c r="B79" s="8"/>
      <c r="C79" s="33">
        <v>18349</v>
      </c>
      <c r="D79" s="77">
        <v>1</v>
      </c>
      <c r="E79" s="33">
        <v>628</v>
      </c>
      <c r="F79" s="9">
        <v>0</v>
      </c>
      <c r="G79" s="9">
        <v>7</v>
      </c>
      <c r="H79" s="9">
        <v>0</v>
      </c>
      <c r="I79" s="9">
        <v>2</v>
      </c>
      <c r="J79" s="110" t="s">
        <v>205</v>
      </c>
      <c r="K79" s="34">
        <v>1100</v>
      </c>
      <c r="L79" s="9">
        <v>0</v>
      </c>
      <c r="M79" s="10">
        <v>0</v>
      </c>
      <c r="N79" s="11" t="s">
        <v>222</v>
      </c>
      <c r="O79" s="1"/>
      <c r="P79" s="12"/>
      <c r="Q79" s="33">
        <v>15379</v>
      </c>
      <c r="R79" s="77">
        <v>9</v>
      </c>
      <c r="S79" s="33">
        <v>977</v>
      </c>
      <c r="T79" s="9">
        <v>1</v>
      </c>
      <c r="U79" s="9">
        <v>22</v>
      </c>
      <c r="V79" s="9">
        <v>1</v>
      </c>
      <c r="W79" s="9">
        <v>0</v>
      </c>
      <c r="X79" s="121" t="s">
        <v>134</v>
      </c>
      <c r="Y79" s="34">
        <v>200</v>
      </c>
      <c r="Z79" s="9">
        <v>200</v>
      </c>
      <c r="AA79" s="10">
        <v>0.22222222222222221</v>
      </c>
      <c r="AB79" s="11"/>
      <c r="AD79" s="12"/>
      <c r="AE79" s="33">
        <v>15145</v>
      </c>
      <c r="AF79" s="77">
        <v>6</v>
      </c>
      <c r="AG79" s="33">
        <v>2409</v>
      </c>
      <c r="AH79" s="9">
        <v>0</v>
      </c>
      <c r="AI79" s="9">
        <v>8</v>
      </c>
      <c r="AJ79" s="9">
        <v>0</v>
      </c>
      <c r="AK79" s="9">
        <v>12</v>
      </c>
      <c r="AL79" s="121" t="s">
        <v>180</v>
      </c>
      <c r="AM79" s="34">
        <v>600</v>
      </c>
      <c r="AN79" s="9">
        <v>0</v>
      </c>
      <c r="AO79" s="10">
        <v>0</v>
      </c>
      <c r="AP79" s="11" t="s">
        <v>221</v>
      </c>
      <c r="AR79" s="12"/>
      <c r="AS79" s="33">
        <v>13220</v>
      </c>
      <c r="AT79" s="9">
        <v>31</v>
      </c>
      <c r="AU79" s="33">
        <v>772</v>
      </c>
      <c r="AV79" s="9">
        <v>1</v>
      </c>
      <c r="AW79" s="9">
        <v>53</v>
      </c>
      <c r="AX79" s="9">
        <v>1</v>
      </c>
      <c r="AY79" s="9">
        <v>0</v>
      </c>
      <c r="AZ79" s="113" t="s">
        <v>194</v>
      </c>
      <c r="BA79" s="9">
        <v>99</v>
      </c>
      <c r="BB79" s="9">
        <v>99</v>
      </c>
      <c r="BC79" s="10">
        <v>3.1935483870967743E-2</v>
      </c>
      <c r="BD79" s="11"/>
      <c r="BF79" s="96">
        <f>IF($A85="","",$A85)</f>
        <v>46139</v>
      </c>
      <c r="BG79" s="13">
        <v>6994</v>
      </c>
      <c r="BH79" s="9">
        <f t="shared" si="96"/>
        <v>203</v>
      </c>
      <c r="BI79" s="9">
        <v>78</v>
      </c>
      <c r="BJ79" s="9">
        <f t="shared" si="97"/>
        <v>3</v>
      </c>
      <c r="BK79" s="33">
        <v>13</v>
      </c>
      <c r="BL79" s="9">
        <f t="shared" si="98"/>
        <v>3</v>
      </c>
      <c r="BM79" s="33">
        <v>3</v>
      </c>
      <c r="BN79" s="126" t="str">
        <f t="shared" si="99"/>
        <v>ボンボンドロップシール</v>
      </c>
      <c r="BO79" s="33">
        <f t="shared" si="100"/>
        <v>1500</v>
      </c>
      <c r="BP79" s="9">
        <f t="shared" si="101"/>
        <v>4500</v>
      </c>
      <c r="BQ79" s="10">
        <f t="shared" si="102"/>
        <v>0.22167487684729065</v>
      </c>
      <c r="BR79" s="91"/>
    </row>
    <row r="80" spans="1:70" ht="15" customHeight="1" thickBot="1" x14ac:dyDescent="0.25">
      <c r="A80" s="16"/>
      <c r="B80" s="62"/>
      <c r="C80" s="36">
        <v>13595</v>
      </c>
      <c r="D80" s="36">
        <v>146</v>
      </c>
      <c r="E80" s="36">
        <v>1246</v>
      </c>
      <c r="F80" s="17">
        <v>3</v>
      </c>
      <c r="G80" s="17">
        <v>12</v>
      </c>
      <c r="H80" s="17">
        <v>2</v>
      </c>
      <c r="I80" s="17">
        <v>3</v>
      </c>
      <c r="J80" s="111" t="s">
        <v>138</v>
      </c>
      <c r="K80" s="17">
        <v>250</v>
      </c>
      <c r="L80" s="17">
        <v>2200</v>
      </c>
      <c r="M80" s="18">
        <v>0.15068493150684931</v>
      </c>
      <c r="N80" s="11"/>
      <c r="O80" s="1"/>
      <c r="P80" s="16"/>
      <c r="Q80" s="36">
        <v>13112</v>
      </c>
      <c r="R80" s="36">
        <v>38</v>
      </c>
      <c r="S80" s="36">
        <v>1088</v>
      </c>
      <c r="T80" s="17">
        <v>2</v>
      </c>
      <c r="U80" s="17">
        <v>3</v>
      </c>
      <c r="V80" s="17">
        <v>4</v>
      </c>
      <c r="W80" s="17">
        <v>5</v>
      </c>
      <c r="X80" s="122" t="s">
        <v>200</v>
      </c>
      <c r="Y80" s="17">
        <v>648</v>
      </c>
      <c r="Z80" s="17">
        <v>2592</v>
      </c>
      <c r="AA80" s="18">
        <v>0.68210526315789477</v>
      </c>
      <c r="AB80" s="11" t="s">
        <v>218</v>
      </c>
      <c r="AD80" s="16"/>
      <c r="AE80" s="36">
        <v>15521</v>
      </c>
      <c r="AF80" s="36">
        <v>22</v>
      </c>
      <c r="AG80" s="36">
        <v>1555</v>
      </c>
      <c r="AH80" s="17">
        <v>1</v>
      </c>
      <c r="AI80" s="17">
        <v>14</v>
      </c>
      <c r="AJ80" s="17">
        <v>1</v>
      </c>
      <c r="AK80" s="17">
        <v>0</v>
      </c>
      <c r="AL80" s="122" t="s">
        <v>157</v>
      </c>
      <c r="AM80" s="17">
        <v>350</v>
      </c>
      <c r="AN80" s="17">
        <v>350</v>
      </c>
      <c r="AO80" s="18">
        <v>0.15909090909090909</v>
      </c>
      <c r="AP80" s="11"/>
      <c r="AR80" s="16"/>
      <c r="AS80" s="36">
        <v>11058</v>
      </c>
      <c r="AT80" s="132">
        <v>2</v>
      </c>
      <c r="AU80" s="36">
        <v>812</v>
      </c>
      <c r="AV80" s="17">
        <v>0</v>
      </c>
      <c r="AW80" s="17">
        <v>10</v>
      </c>
      <c r="AX80" s="17">
        <v>0</v>
      </c>
      <c r="AY80" s="17">
        <v>0</v>
      </c>
      <c r="AZ80" s="114" t="s">
        <v>220</v>
      </c>
      <c r="BA80" s="37">
        <v>330</v>
      </c>
      <c r="BB80" s="17">
        <v>0</v>
      </c>
      <c r="BC80" s="18">
        <v>0</v>
      </c>
      <c r="BD80" s="11"/>
      <c r="BF80" s="96">
        <f>IF($A89="","",$A89)</f>
        <v>46143</v>
      </c>
      <c r="BG80" s="13">
        <v>7261</v>
      </c>
      <c r="BH80" s="9">
        <f t="shared" si="96"/>
        <v>267</v>
      </c>
      <c r="BI80" s="9">
        <v>79</v>
      </c>
      <c r="BJ80" s="9">
        <f t="shared" si="97"/>
        <v>1</v>
      </c>
      <c r="BK80" s="33">
        <v>15</v>
      </c>
      <c r="BL80" s="9">
        <f t="shared" si="98"/>
        <v>1</v>
      </c>
      <c r="BM80" s="33">
        <v>5</v>
      </c>
      <c r="BN80" s="126" t="str">
        <f t="shared" si="99"/>
        <v>ボンボンドロップシール</v>
      </c>
      <c r="BO80" s="33">
        <f t="shared" si="100"/>
        <v>1500</v>
      </c>
      <c r="BP80" s="9">
        <f t="shared" si="101"/>
        <v>1500</v>
      </c>
      <c r="BQ80" s="10">
        <f t="shared" si="102"/>
        <v>5.6179775280898875E-2</v>
      </c>
      <c r="BR80" s="11"/>
    </row>
    <row r="81" spans="1:70" ht="15" customHeight="1" thickTop="1" x14ac:dyDescent="0.2">
      <c r="A81" s="71">
        <v>46136</v>
      </c>
      <c r="B81" s="61">
        <f>SUM(D81:D84)+SUM(R81:R84)+SUM(AF81:AF84)+SUM(AT81:AT84)+SUM(BH78)</f>
        <v>841</v>
      </c>
      <c r="C81" s="33">
        <v>15756</v>
      </c>
      <c r="D81" s="33">
        <f t="shared" ref="D81:D112" si="103">IF(C81="","",C81-C77)</f>
        <v>27</v>
      </c>
      <c r="E81" s="33">
        <v>1124</v>
      </c>
      <c r="F81" s="20">
        <f t="shared" ref="F81:F112" si="104">IF(E81="","",E81-E77)</f>
        <v>0</v>
      </c>
      <c r="G81" s="33">
        <v>6</v>
      </c>
      <c r="H81" s="33">
        <f t="shared" ref="H81:H127" si="105">IF(G81="","",G77+I77-G81)</f>
        <v>0</v>
      </c>
      <c r="I81" s="43">
        <v>0</v>
      </c>
      <c r="J81" s="112" t="str">
        <f>IF(C81="","",J77)</f>
        <v>モンチッチマスコット</v>
      </c>
      <c r="K81" s="40">
        <f>IF(D81="","",K77)</f>
        <v>572</v>
      </c>
      <c r="L81" s="20">
        <f t="shared" ref="L81:L112" si="106">IF(G81="","",H81*K81)</f>
        <v>0</v>
      </c>
      <c r="M81" s="21">
        <f t="shared" ref="M81:M112" si="107">IF(H81="","",L81/(D81*100))</f>
        <v>0</v>
      </c>
      <c r="N81" s="11"/>
      <c r="P81" s="76">
        <f>IF($A81="","",$A81)</f>
        <v>46136</v>
      </c>
      <c r="Q81" s="33">
        <v>15657</v>
      </c>
      <c r="R81" s="33">
        <f t="shared" ref="R81:R112" si="108">IF(Q81="","",Q81-Q77)</f>
        <v>62</v>
      </c>
      <c r="S81" s="33">
        <v>1447</v>
      </c>
      <c r="T81" s="20">
        <f t="shared" ref="T81:T112" si="109">IF(S81="","",S81-S77)</f>
        <v>1</v>
      </c>
      <c r="U81" s="33">
        <v>2</v>
      </c>
      <c r="V81" s="33">
        <f t="shared" ref="V81:V112" si="110">IF(U81="","",U77+W77-U81)</f>
        <v>2</v>
      </c>
      <c r="W81" s="43">
        <v>0</v>
      </c>
      <c r="X81" s="112" t="str">
        <f t="shared" ref="X81:Y85" si="111">IF(Q81="","",X77)</f>
        <v>キティボアバンスクリップ</v>
      </c>
      <c r="Y81" s="40">
        <f t="shared" si="111"/>
        <v>1100</v>
      </c>
      <c r="Z81" s="20">
        <f t="shared" ref="Z81:Z112" si="112">IF(U81="","",V81*Y81)</f>
        <v>2200</v>
      </c>
      <c r="AA81" s="21">
        <f t="shared" ref="AA81:AA112" si="113">IF(V81="","",Z81/(R81*100))</f>
        <v>0.35483870967741937</v>
      </c>
      <c r="AB81" s="11"/>
      <c r="AD81" s="76">
        <f>IF($A81="","",$A81)</f>
        <v>46136</v>
      </c>
      <c r="AE81" s="33">
        <v>12603</v>
      </c>
      <c r="AF81" s="33">
        <f t="shared" ref="AF81:AF112" si="114">IF(AE81="","",AE81-AE77)</f>
        <v>13</v>
      </c>
      <c r="AG81" s="33">
        <v>915</v>
      </c>
      <c r="AH81" s="20">
        <f t="shared" ref="AH81:AH112" si="115">IF(AG81="","",AG81-AG77)</f>
        <v>0</v>
      </c>
      <c r="AI81" s="33">
        <v>11</v>
      </c>
      <c r="AJ81" s="33">
        <f t="shared" ref="AJ81:AJ112" si="116">IF(AI81="","",AI77+AK77-AI81)</f>
        <v>0</v>
      </c>
      <c r="AK81" s="43">
        <v>0</v>
      </c>
      <c r="AL81" s="112" t="str">
        <f>IF(AE81="","",AL77)</f>
        <v>ギャルキティマスコット</v>
      </c>
      <c r="AM81" s="40">
        <f>IF(AF81="","",AM77)</f>
        <v>660</v>
      </c>
      <c r="AN81" s="20">
        <f t="shared" ref="AN81:AN112" si="117">IF(AI81="","",AJ81*AM81)</f>
        <v>0</v>
      </c>
      <c r="AO81" s="21">
        <f t="shared" ref="AO81:AO112" si="118">IF(AJ81="","",AN81/(AF81*100))</f>
        <v>0</v>
      </c>
      <c r="AP81" s="11"/>
      <c r="AR81" s="76">
        <f>IF($A81="","",$A81)</f>
        <v>46136</v>
      </c>
      <c r="AS81" s="33">
        <v>9806</v>
      </c>
      <c r="AT81" s="33">
        <f t="shared" ref="AT81:AT112" si="119">IF(AS81="","",AS81-AS77)</f>
        <v>27</v>
      </c>
      <c r="AU81" s="33">
        <v>534</v>
      </c>
      <c r="AV81" s="20">
        <f t="shared" ref="AV81:AV112" si="120">IF(AU81="","",AU81-AU77)</f>
        <v>0</v>
      </c>
      <c r="AW81" s="33">
        <v>13</v>
      </c>
      <c r="AX81" s="33">
        <f t="shared" ref="AX81:AX112" si="121">IF(AW81="","",AW77+AY77-AW81)</f>
        <v>0</v>
      </c>
      <c r="AY81" s="43"/>
      <c r="AZ81" s="112" t="str">
        <f>IF(AS81="","",AZ77)</f>
        <v>サンリオカラビナ付きミニファン</v>
      </c>
      <c r="BA81" s="40">
        <f>IF(AT81="","",BA77)</f>
        <v>1100</v>
      </c>
      <c r="BB81" s="20">
        <f t="shared" ref="BB81:BB112" si="122">IF(AW81="","",AX81*BA81)</f>
        <v>0</v>
      </c>
      <c r="BC81" s="21">
        <f t="shared" ref="BC81:BC112" si="123">IF(AX81="","",BB81/(AT81*100))</f>
        <v>0</v>
      </c>
      <c r="BD81" s="11"/>
      <c r="BF81" s="96">
        <f>IF($A93="","",$A93)</f>
        <v>46146</v>
      </c>
      <c r="BG81" s="13">
        <v>7419</v>
      </c>
      <c r="BH81" s="9">
        <f t="shared" si="96"/>
        <v>158</v>
      </c>
      <c r="BI81" s="9">
        <v>82</v>
      </c>
      <c r="BJ81" s="9">
        <f t="shared" si="97"/>
        <v>3</v>
      </c>
      <c r="BK81" s="33">
        <v>17</v>
      </c>
      <c r="BL81" s="9">
        <f t="shared" si="98"/>
        <v>3</v>
      </c>
      <c r="BM81" s="33">
        <v>4</v>
      </c>
      <c r="BN81" s="126" t="str">
        <f t="shared" si="99"/>
        <v>ボンボンドロップシール</v>
      </c>
      <c r="BO81" s="33">
        <f t="shared" si="100"/>
        <v>1500</v>
      </c>
      <c r="BP81" s="9">
        <f t="shared" si="101"/>
        <v>4500</v>
      </c>
      <c r="BQ81" s="10">
        <f t="shared" si="102"/>
        <v>0.2848101265822785</v>
      </c>
      <c r="BR81" s="11"/>
    </row>
    <row r="82" spans="1:70" x14ac:dyDescent="0.2">
      <c r="A82" s="72"/>
      <c r="B82" s="63"/>
      <c r="C82" s="9">
        <v>19867</v>
      </c>
      <c r="D82" s="9">
        <f t="shared" si="103"/>
        <v>70</v>
      </c>
      <c r="E82" s="9">
        <v>642</v>
      </c>
      <c r="F82" s="9">
        <f t="shared" si="104"/>
        <v>1</v>
      </c>
      <c r="G82" s="9">
        <v>33</v>
      </c>
      <c r="H82" s="9">
        <f t="shared" si="105"/>
        <v>1</v>
      </c>
      <c r="I82" s="13">
        <v>5</v>
      </c>
      <c r="J82" s="113" t="str">
        <f>IF(C82="","",J78)</f>
        <v>電ブル</v>
      </c>
      <c r="K82" s="34">
        <f>IF(D82="","",K78)</f>
        <v>275</v>
      </c>
      <c r="L82" s="9">
        <f t="shared" si="106"/>
        <v>275</v>
      </c>
      <c r="M82" s="10">
        <f t="shared" si="107"/>
        <v>3.9285714285714285E-2</v>
      </c>
      <c r="N82" s="11"/>
      <c r="P82" s="72"/>
      <c r="Q82" s="9">
        <v>14831</v>
      </c>
      <c r="R82" s="9">
        <f t="shared" si="108"/>
        <v>13</v>
      </c>
      <c r="S82" s="9">
        <v>504</v>
      </c>
      <c r="T82" s="9">
        <f t="shared" si="109"/>
        <v>0</v>
      </c>
      <c r="U82" s="9">
        <v>7</v>
      </c>
      <c r="V82" s="9">
        <f t="shared" si="110"/>
        <v>0</v>
      </c>
      <c r="W82" s="13">
        <v>0</v>
      </c>
      <c r="X82" s="113" t="str">
        <f t="shared" si="111"/>
        <v>サンリオフェイスポーチ</v>
      </c>
      <c r="Y82" s="34">
        <f t="shared" si="111"/>
        <v>825</v>
      </c>
      <c r="Z82" s="9">
        <f t="shared" si="112"/>
        <v>0</v>
      </c>
      <c r="AA82" s="10">
        <f t="shared" si="113"/>
        <v>0</v>
      </c>
      <c r="AB82" s="11" t="s">
        <v>229</v>
      </c>
      <c r="AD82" s="72"/>
      <c r="AE82" s="9">
        <v>13014</v>
      </c>
      <c r="AF82" s="9">
        <f t="shared" si="114"/>
        <v>91</v>
      </c>
      <c r="AG82" s="9">
        <v>803</v>
      </c>
      <c r="AH82" s="9">
        <f t="shared" si="115"/>
        <v>2</v>
      </c>
      <c r="AI82" s="9">
        <v>16</v>
      </c>
      <c r="AJ82" s="9">
        <f t="shared" si="116"/>
        <v>2</v>
      </c>
      <c r="AK82" s="13">
        <v>4</v>
      </c>
      <c r="AL82" s="113" t="str">
        <f>IF(AE82="","",AL78)</f>
        <v>トイストーリー・ディズニーベアブリック</v>
      </c>
      <c r="AM82" s="34">
        <f>IF(AF82="","",AM78)</f>
        <v>748</v>
      </c>
      <c r="AN82" s="9">
        <f t="shared" si="117"/>
        <v>1496</v>
      </c>
      <c r="AO82" s="10">
        <f t="shared" si="118"/>
        <v>0.16439560439560438</v>
      </c>
      <c r="AP82" s="11"/>
      <c r="AR82" s="72"/>
      <c r="AS82" s="9">
        <v>11118</v>
      </c>
      <c r="AT82" s="9">
        <f t="shared" si="119"/>
        <v>30</v>
      </c>
      <c r="AU82" s="9">
        <v>557</v>
      </c>
      <c r="AV82" s="9">
        <f t="shared" si="120"/>
        <v>4</v>
      </c>
      <c r="AW82" s="9">
        <v>7</v>
      </c>
      <c r="AX82" s="9">
        <f t="shared" si="121"/>
        <v>5</v>
      </c>
      <c r="AY82" s="13">
        <v>7</v>
      </c>
      <c r="AZ82" s="113" t="s">
        <v>226</v>
      </c>
      <c r="BA82" s="34"/>
      <c r="BB82" s="9">
        <f t="shared" si="122"/>
        <v>0</v>
      </c>
      <c r="BC82" s="10">
        <f t="shared" si="123"/>
        <v>0</v>
      </c>
      <c r="BD82" s="11" t="s">
        <v>227</v>
      </c>
      <c r="BF82" s="96">
        <f>IF($A97="","",$A97)</f>
        <v>46150</v>
      </c>
      <c r="BG82" s="13">
        <v>7569</v>
      </c>
      <c r="BH82" s="9">
        <f t="shared" si="96"/>
        <v>150</v>
      </c>
      <c r="BI82" s="9">
        <v>84</v>
      </c>
      <c r="BJ82" s="9">
        <f t="shared" si="97"/>
        <v>2</v>
      </c>
      <c r="BK82" s="33">
        <v>19</v>
      </c>
      <c r="BL82" s="9">
        <f t="shared" si="98"/>
        <v>2</v>
      </c>
      <c r="BM82" s="33">
        <v>6</v>
      </c>
      <c r="BN82" s="126" t="str">
        <f t="shared" si="99"/>
        <v>ボンボンドロップシール</v>
      </c>
      <c r="BO82" s="33">
        <f t="shared" si="100"/>
        <v>1500</v>
      </c>
      <c r="BP82" s="9">
        <f t="shared" si="101"/>
        <v>3000</v>
      </c>
      <c r="BQ82" s="10">
        <f t="shared" si="102"/>
        <v>0.2</v>
      </c>
      <c r="BR82" s="11" t="s">
        <v>250</v>
      </c>
    </row>
    <row r="83" spans="1:70" x14ac:dyDescent="0.2">
      <c r="A83" s="72"/>
      <c r="B83" s="63"/>
      <c r="C83" s="23">
        <v>18376</v>
      </c>
      <c r="D83" s="9">
        <f t="shared" si="103"/>
        <v>27</v>
      </c>
      <c r="E83" s="9">
        <v>628</v>
      </c>
      <c r="F83" s="9">
        <f t="shared" si="104"/>
        <v>0</v>
      </c>
      <c r="G83" s="23">
        <v>9</v>
      </c>
      <c r="H83" s="9">
        <f t="shared" si="105"/>
        <v>0</v>
      </c>
      <c r="I83" s="30">
        <v>0</v>
      </c>
      <c r="J83" s="113" t="s">
        <v>224</v>
      </c>
      <c r="K83" s="9"/>
      <c r="L83" s="9">
        <f t="shared" si="106"/>
        <v>0</v>
      </c>
      <c r="M83" s="10">
        <f t="shared" si="107"/>
        <v>0</v>
      </c>
      <c r="N83" s="11"/>
      <c r="P83" s="72"/>
      <c r="Q83" s="23">
        <v>15393</v>
      </c>
      <c r="R83" s="9">
        <f t="shared" si="108"/>
        <v>14</v>
      </c>
      <c r="S83" s="9">
        <v>977</v>
      </c>
      <c r="T83" s="9">
        <f t="shared" si="109"/>
        <v>0</v>
      </c>
      <c r="U83" s="23">
        <v>22</v>
      </c>
      <c r="V83" s="9">
        <f t="shared" si="110"/>
        <v>0</v>
      </c>
      <c r="W83" s="30">
        <v>0</v>
      </c>
      <c r="X83" s="113" t="str">
        <f t="shared" si="111"/>
        <v>ボンボンドロップシール</v>
      </c>
      <c r="Y83" s="9">
        <f t="shared" si="111"/>
        <v>200</v>
      </c>
      <c r="Z83" s="9">
        <f t="shared" si="112"/>
        <v>0</v>
      </c>
      <c r="AA83" s="10">
        <f t="shared" si="113"/>
        <v>0</v>
      </c>
      <c r="AB83" s="11"/>
      <c r="AD83" s="72"/>
      <c r="AE83" s="23">
        <v>15206</v>
      </c>
      <c r="AF83" s="9">
        <f t="shared" si="114"/>
        <v>61</v>
      </c>
      <c r="AG83" s="9">
        <v>2413</v>
      </c>
      <c r="AH83" s="9">
        <f t="shared" si="115"/>
        <v>4</v>
      </c>
      <c r="AI83" s="23">
        <v>15</v>
      </c>
      <c r="AJ83" s="9">
        <f t="shared" si="116"/>
        <v>5</v>
      </c>
      <c r="AK83" s="30">
        <v>8</v>
      </c>
      <c r="AL83" s="113" t="s">
        <v>225</v>
      </c>
      <c r="AM83" s="9">
        <v>300</v>
      </c>
      <c r="AN83" s="9">
        <f t="shared" si="117"/>
        <v>1500</v>
      </c>
      <c r="AO83" s="10">
        <f t="shared" si="118"/>
        <v>0.24590163934426229</v>
      </c>
      <c r="AP83" s="11"/>
      <c r="AR83" s="72"/>
      <c r="AS83" s="23">
        <v>13227</v>
      </c>
      <c r="AT83" s="9">
        <f t="shared" si="119"/>
        <v>7</v>
      </c>
      <c r="AU83" s="9">
        <v>772</v>
      </c>
      <c r="AV83" s="9">
        <f t="shared" si="120"/>
        <v>0</v>
      </c>
      <c r="AW83" s="23">
        <v>53</v>
      </c>
      <c r="AX83" s="9">
        <f t="shared" si="121"/>
        <v>0</v>
      </c>
      <c r="AY83" s="30"/>
      <c r="AZ83" s="113" t="str">
        <f t="shared" ref="AZ83:BA87" si="124">IF(AS83="","",AZ79)</f>
        <v>ふわもちミニスクイーズ</v>
      </c>
      <c r="BA83" s="9">
        <f t="shared" si="124"/>
        <v>99</v>
      </c>
      <c r="BB83" s="9">
        <f t="shared" si="122"/>
        <v>0</v>
      </c>
      <c r="BC83" s="10">
        <f t="shared" si="123"/>
        <v>0</v>
      </c>
      <c r="BD83" s="11" t="s">
        <v>177</v>
      </c>
      <c r="BF83" s="96">
        <f>IF($A101="","",$A101)</f>
        <v>46153</v>
      </c>
      <c r="BG83" s="13">
        <v>7663</v>
      </c>
      <c r="BH83" s="9">
        <f t="shared" si="96"/>
        <v>94</v>
      </c>
      <c r="BI83" s="9">
        <v>84</v>
      </c>
      <c r="BJ83" s="9">
        <f t="shared" si="97"/>
        <v>0</v>
      </c>
      <c r="BK83" s="33">
        <v>25</v>
      </c>
      <c r="BL83" s="9">
        <f t="shared" si="98"/>
        <v>0</v>
      </c>
      <c r="BM83" s="33">
        <v>3</v>
      </c>
      <c r="BN83" s="126" t="str">
        <f t="shared" si="99"/>
        <v>ボンボンドロップシール</v>
      </c>
      <c r="BO83" s="33">
        <f t="shared" si="100"/>
        <v>1500</v>
      </c>
      <c r="BP83" s="9">
        <f t="shared" si="101"/>
        <v>0</v>
      </c>
      <c r="BQ83" s="10">
        <f t="shared" si="102"/>
        <v>0</v>
      </c>
      <c r="BR83" s="11"/>
    </row>
    <row r="84" spans="1:70" ht="15" customHeight="1" thickBot="1" x14ac:dyDescent="0.25">
      <c r="A84" s="75"/>
      <c r="B84" s="62"/>
      <c r="C84" s="17">
        <v>13639</v>
      </c>
      <c r="D84" s="37">
        <f t="shared" si="103"/>
        <v>44</v>
      </c>
      <c r="E84" s="17">
        <v>1247</v>
      </c>
      <c r="F84" s="17">
        <f t="shared" si="104"/>
        <v>1</v>
      </c>
      <c r="G84" s="17">
        <v>14</v>
      </c>
      <c r="H84" s="17">
        <f t="shared" si="105"/>
        <v>1</v>
      </c>
      <c r="I84" s="29">
        <v>1</v>
      </c>
      <c r="J84" s="114" t="str">
        <f t="shared" ref="J84:J115" si="125">IF(C84="","",J80)</f>
        <v>バタースクイーズ</v>
      </c>
      <c r="K84" s="37">
        <f t="shared" ref="K84:K115" si="126">IF(D84="","",K80)</f>
        <v>250</v>
      </c>
      <c r="L84" s="17">
        <f t="shared" si="106"/>
        <v>250</v>
      </c>
      <c r="M84" s="18">
        <f t="shared" si="107"/>
        <v>5.6818181818181816E-2</v>
      </c>
      <c r="N84" s="11"/>
      <c r="P84" s="75"/>
      <c r="Q84" s="17">
        <v>13169</v>
      </c>
      <c r="R84" s="37">
        <f t="shared" si="108"/>
        <v>57</v>
      </c>
      <c r="S84" s="17">
        <v>1088</v>
      </c>
      <c r="T84" s="17">
        <f t="shared" si="109"/>
        <v>0</v>
      </c>
      <c r="U84" s="17">
        <v>7</v>
      </c>
      <c r="V84" s="17">
        <f t="shared" si="110"/>
        <v>1</v>
      </c>
      <c r="W84" s="29">
        <v>2</v>
      </c>
      <c r="X84" s="114" t="str">
        <f t="shared" si="111"/>
        <v>たまごっちブロックシール</v>
      </c>
      <c r="Y84" s="37">
        <f t="shared" si="111"/>
        <v>648</v>
      </c>
      <c r="Z84" s="17">
        <f t="shared" si="112"/>
        <v>648</v>
      </c>
      <c r="AA84" s="18">
        <f t="shared" si="113"/>
        <v>0.11368421052631579</v>
      </c>
      <c r="AB84" s="11"/>
      <c r="AD84" s="75"/>
      <c r="AE84" s="17">
        <v>15557</v>
      </c>
      <c r="AF84" s="37">
        <f t="shared" si="114"/>
        <v>36</v>
      </c>
      <c r="AG84" s="17">
        <v>1555</v>
      </c>
      <c r="AH84" s="17">
        <f t="shared" si="115"/>
        <v>0</v>
      </c>
      <c r="AI84" s="17">
        <v>14</v>
      </c>
      <c r="AJ84" s="17">
        <f t="shared" si="116"/>
        <v>0</v>
      </c>
      <c r="AK84" s="29">
        <v>5</v>
      </c>
      <c r="AL84" s="114" t="str">
        <f t="shared" ref="AL84:AL92" si="127">IF(AE84="","",AL80)</f>
        <v>しばこ</v>
      </c>
      <c r="AM84" s="37">
        <f t="shared" ref="AM84:AM92" si="128">IF(AF84="","",AM80)</f>
        <v>350</v>
      </c>
      <c r="AN84" s="17">
        <f t="shared" si="117"/>
        <v>0</v>
      </c>
      <c r="AO84" s="18">
        <f t="shared" si="118"/>
        <v>0</v>
      </c>
      <c r="AP84" s="11"/>
      <c r="AR84" s="75"/>
      <c r="AS84" s="17">
        <v>11067</v>
      </c>
      <c r="AT84" s="37">
        <f t="shared" si="119"/>
        <v>9</v>
      </c>
      <c r="AU84" s="17">
        <v>812</v>
      </c>
      <c r="AV84" s="17">
        <f t="shared" si="120"/>
        <v>0</v>
      </c>
      <c r="AW84" s="17">
        <v>10</v>
      </c>
      <c r="AX84" s="17">
        <f t="shared" si="121"/>
        <v>0</v>
      </c>
      <c r="AY84" s="29">
        <v>36</v>
      </c>
      <c r="AZ84" s="114" t="str">
        <f t="shared" si="124"/>
        <v>キティ豹柄マスコット</v>
      </c>
      <c r="BA84" s="37">
        <f t="shared" si="124"/>
        <v>330</v>
      </c>
      <c r="BB84" s="17">
        <f t="shared" si="122"/>
        <v>0</v>
      </c>
      <c r="BC84" s="18">
        <f t="shared" si="123"/>
        <v>0</v>
      </c>
      <c r="BD84" s="11" t="s">
        <v>228</v>
      </c>
      <c r="BF84" s="96">
        <f>IF($A105="","",$A105)</f>
        <v>46157</v>
      </c>
      <c r="BG84" s="13">
        <v>7746</v>
      </c>
      <c r="BH84" s="9">
        <f t="shared" si="96"/>
        <v>83</v>
      </c>
      <c r="BI84" s="9">
        <v>85</v>
      </c>
      <c r="BJ84" s="9">
        <f t="shared" si="97"/>
        <v>1</v>
      </c>
      <c r="BK84" s="33">
        <v>26</v>
      </c>
      <c r="BL84" s="9">
        <f t="shared" si="98"/>
        <v>2</v>
      </c>
      <c r="BM84" s="33">
        <v>4</v>
      </c>
      <c r="BN84" s="126" t="str">
        <f t="shared" si="99"/>
        <v>ボンボンドロップシール</v>
      </c>
      <c r="BO84" s="33">
        <f t="shared" si="100"/>
        <v>1500</v>
      </c>
      <c r="BP84" s="9">
        <f t="shared" si="101"/>
        <v>3000</v>
      </c>
      <c r="BQ84" s="10">
        <f t="shared" si="102"/>
        <v>0.36144578313253012</v>
      </c>
      <c r="BR84" s="11" t="s">
        <v>267</v>
      </c>
    </row>
    <row r="85" spans="1:70" ht="15" customHeight="1" thickTop="1" x14ac:dyDescent="0.2">
      <c r="A85" s="71">
        <v>46139</v>
      </c>
      <c r="B85" s="61">
        <f>SUM(D85:D88)+SUM(R85:R88)+SUM(AF85:AF88)+SUM(AT85:AT88)+SUM(BH79)</f>
        <v>880</v>
      </c>
      <c r="C85" s="33">
        <v>15768</v>
      </c>
      <c r="D85" s="33">
        <f t="shared" si="103"/>
        <v>12</v>
      </c>
      <c r="E85" s="33">
        <v>1124</v>
      </c>
      <c r="F85" s="20">
        <f t="shared" si="104"/>
        <v>0</v>
      </c>
      <c r="G85" s="33">
        <v>7</v>
      </c>
      <c r="H85" s="33">
        <f t="shared" si="105"/>
        <v>-1</v>
      </c>
      <c r="I85" s="43">
        <v>0</v>
      </c>
      <c r="J85" s="112" t="str">
        <f t="shared" si="125"/>
        <v>モンチッチマスコット</v>
      </c>
      <c r="K85" s="40">
        <f t="shared" si="126"/>
        <v>572</v>
      </c>
      <c r="L85" s="20">
        <f t="shared" si="106"/>
        <v>-572</v>
      </c>
      <c r="M85" s="21">
        <f t="shared" si="107"/>
        <v>-0.47666666666666668</v>
      </c>
      <c r="N85" s="11"/>
      <c r="P85" s="76">
        <f>IF($A85="","",$A85)</f>
        <v>46139</v>
      </c>
      <c r="Q85" s="33">
        <v>15684</v>
      </c>
      <c r="R85" s="33">
        <f t="shared" si="108"/>
        <v>27</v>
      </c>
      <c r="S85" s="33">
        <v>1447</v>
      </c>
      <c r="T85" s="20">
        <f t="shared" si="109"/>
        <v>0</v>
      </c>
      <c r="U85" s="33">
        <v>2</v>
      </c>
      <c r="V85" s="33">
        <f t="shared" si="110"/>
        <v>0</v>
      </c>
      <c r="W85" s="43">
        <v>6</v>
      </c>
      <c r="X85" s="112" t="str">
        <f t="shared" si="111"/>
        <v>キティボアバンスクリップ</v>
      </c>
      <c r="Y85" s="40">
        <f t="shared" si="111"/>
        <v>1100</v>
      </c>
      <c r="Z85" s="20">
        <f t="shared" si="112"/>
        <v>0</v>
      </c>
      <c r="AA85" s="21">
        <f t="shared" si="113"/>
        <v>0</v>
      </c>
      <c r="AB85" s="11" t="s">
        <v>235</v>
      </c>
      <c r="AD85" s="76">
        <f>IF($A85="","",$A85)</f>
        <v>46139</v>
      </c>
      <c r="AE85" s="33">
        <v>12619</v>
      </c>
      <c r="AF85" s="33">
        <f t="shared" si="114"/>
        <v>16</v>
      </c>
      <c r="AG85" s="33">
        <v>916</v>
      </c>
      <c r="AH85" s="20">
        <f t="shared" si="115"/>
        <v>1</v>
      </c>
      <c r="AI85" s="33">
        <v>10</v>
      </c>
      <c r="AJ85" s="33">
        <f t="shared" si="116"/>
        <v>1</v>
      </c>
      <c r="AK85" s="43">
        <v>2</v>
      </c>
      <c r="AL85" s="112" t="str">
        <f t="shared" si="127"/>
        <v>ギャルキティマスコット</v>
      </c>
      <c r="AM85" s="40">
        <f t="shared" si="128"/>
        <v>660</v>
      </c>
      <c r="AN85" s="20">
        <f t="shared" si="117"/>
        <v>660</v>
      </c>
      <c r="AO85" s="21">
        <f t="shared" si="118"/>
        <v>0.41249999999999998</v>
      </c>
      <c r="AP85" s="11"/>
      <c r="AR85" s="76">
        <f>IF($A85="","",$A85)</f>
        <v>46139</v>
      </c>
      <c r="AS85" s="33">
        <v>9889</v>
      </c>
      <c r="AT85" s="33">
        <f t="shared" si="119"/>
        <v>83</v>
      </c>
      <c r="AU85" s="33">
        <v>535</v>
      </c>
      <c r="AV85" s="20">
        <f t="shared" si="120"/>
        <v>1</v>
      </c>
      <c r="AW85" s="33">
        <v>11</v>
      </c>
      <c r="AX85" s="33">
        <f t="shared" si="121"/>
        <v>2</v>
      </c>
      <c r="AY85" s="43">
        <v>2</v>
      </c>
      <c r="AZ85" s="112" t="str">
        <f t="shared" si="124"/>
        <v>サンリオカラビナ付きミニファン</v>
      </c>
      <c r="BA85" s="40">
        <f t="shared" si="124"/>
        <v>1100</v>
      </c>
      <c r="BB85" s="20">
        <f t="shared" si="122"/>
        <v>2200</v>
      </c>
      <c r="BC85" s="21">
        <f t="shared" si="123"/>
        <v>0.26506024096385544</v>
      </c>
      <c r="BD85" s="11"/>
      <c r="BF85" s="96" t="str">
        <f>IF($A109="","",$A109)</f>
        <v/>
      </c>
      <c r="BG85" s="13"/>
      <c r="BH85" s="9"/>
      <c r="BI85" s="9"/>
      <c r="BJ85" s="9"/>
      <c r="BK85" s="33"/>
      <c r="BL85" s="9"/>
      <c r="BM85" s="33"/>
      <c r="BN85" s="126"/>
      <c r="BO85" s="33"/>
      <c r="BP85" s="9"/>
      <c r="BQ85" s="10"/>
      <c r="BR85" s="91"/>
    </row>
    <row r="86" spans="1:70" x14ac:dyDescent="0.2">
      <c r="A86" s="72"/>
      <c r="B86" s="61"/>
      <c r="C86" s="33">
        <v>19908</v>
      </c>
      <c r="D86" s="9">
        <f t="shared" si="103"/>
        <v>41</v>
      </c>
      <c r="E86" s="9">
        <v>644</v>
      </c>
      <c r="F86" s="9">
        <f t="shared" si="104"/>
        <v>2</v>
      </c>
      <c r="G86" s="9">
        <v>36</v>
      </c>
      <c r="H86" s="9">
        <f t="shared" si="105"/>
        <v>2</v>
      </c>
      <c r="I86" s="13">
        <v>0</v>
      </c>
      <c r="J86" s="113" t="str">
        <f t="shared" si="125"/>
        <v>電ブル</v>
      </c>
      <c r="K86" s="34">
        <f t="shared" si="126"/>
        <v>275</v>
      </c>
      <c r="L86" s="9">
        <f t="shared" si="106"/>
        <v>550</v>
      </c>
      <c r="M86" s="10">
        <f t="shared" si="107"/>
        <v>0.13414634146341464</v>
      </c>
      <c r="N86" s="11"/>
      <c r="P86" s="72"/>
      <c r="Q86" s="33">
        <v>14879</v>
      </c>
      <c r="R86" s="9">
        <f t="shared" si="108"/>
        <v>48</v>
      </c>
      <c r="S86" s="9">
        <v>505</v>
      </c>
      <c r="T86" s="9">
        <f t="shared" si="109"/>
        <v>1</v>
      </c>
      <c r="U86" s="9">
        <v>6</v>
      </c>
      <c r="V86" s="9">
        <f t="shared" si="110"/>
        <v>1</v>
      </c>
      <c r="W86" s="13">
        <v>0</v>
      </c>
      <c r="X86" s="113" t="s">
        <v>232</v>
      </c>
      <c r="Y86" s="34">
        <v>181</v>
      </c>
      <c r="Z86" s="9">
        <f t="shared" si="112"/>
        <v>181</v>
      </c>
      <c r="AA86" s="10">
        <f t="shared" si="113"/>
        <v>3.7708333333333337E-2</v>
      </c>
      <c r="AB86" s="11"/>
      <c r="AD86" s="72"/>
      <c r="AE86" s="33">
        <v>13073</v>
      </c>
      <c r="AF86" s="9">
        <f t="shared" si="114"/>
        <v>59</v>
      </c>
      <c r="AG86" s="9">
        <v>807</v>
      </c>
      <c r="AH86" s="9">
        <f t="shared" si="115"/>
        <v>4</v>
      </c>
      <c r="AI86" s="9">
        <v>16</v>
      </c>
      <c r="AJ86" s="9">
        <f t="shared" si="116"/>
        <v>4</v>
      </c>
      <c r="AK86" s="13">
        <v>4</v>
      </c>
      <c r="AL86" s="113" t="str">
        <f t="shared" si="127"/>
        <v>トイストーリー・ディズニーベアブリック</v>
      </c>
      <c r="AM86" s="34">
        <f t="shared" si="128"/>
        <v>748</v>
      </c>
      <c r="AN86" s="9">
        <f t="shared" si="117"/>
        <v>2992</v>
      </c>
      <c r="AO86" s="10">
        <f t="shared" si="118"/>
        <v>0.50711864406779661</v>
      </c>
      <c r="AP86" s="11"/>
      <c r="AR86" s="72"/>
      <c r="AS86" s="33">
        <v>11135</v>
      </c>
      <c r="AT86" s="9">
        <f t="shared" si="119"/>
        <v>17</v>
      </c>
      <c r="AU86" s="9">
        <v>557</v>
      </c>
      <c r="AV86" s="9">
        <f t="shared" si="120"/>
        <v>0</v>
      </c>
      <c r="AW86" s="9">
        <v>12</v>
      </c>
      <c r="AX86" s="9">
        <f t="shared" si="121"/>
        <v>2</v>
      </c>
      <c r="AY86" s="13">
        <v>4</v>
      </c>
      <c r="AZ86" s="113" t="str">
        <f t="shared" si="124"/>
        <v>ジャグラーワイヤレスイヤホン</v>
      </c>
      <c r="BA86" s="34">
        <f t="shared" si="124"/>
        <v>0</v>
      </c>
      <c r="BB86" s="9">
        <f t="shared" si="122"/>
        <v>0</v>
      </c>
      <c r="BC86" s="10">
        <f t="shared" si="123"/>
        <v>0</v>
      </c>
      <c r="BD86" s="11" t="s">
        <v>234</v>
      </c>
      <c r="BF86" s="96" t="str">
        <f>IF($A113="","",$A113)</f>
        <v/>
      </c>
      <c r="BG86" s="13"/>
      <c r="BH86" s="9"/>
      <c r="BI86" s="9"/>
      <c r="BJ86" s="9"/>
      <c r="BK86" s="9"/>
      <c r="BL86" s="9"/>
      <c r="BM86" s="9"/>
      <c r="BN86" s="126"/>
      <c r="BO86" s="33"/>
      <c r="BP86" s="9"/>
      <c r="BQ86" s="10"/>
      <c r="BR86" s="91"/>
    </row>
    <row r="87" spans="1:70" x14ac:dyDescent="0.2">
      <c r="A87" s="72"/>
      <c r="B87" s="64"/>
      <c r="C87" s="38">
        <v>18404</v>
      </c>
      <c r="D87" s="9">
        <f t="shared" si="103"/>
        <v>28</v>
      </c>
      <c r="E87" s="9">
        <v>629</v>
      </c>
      <c r="F87" s="9">
        <f t="shared" si="104"/>
        <v>1</v>
      </c>
      <c r="G87" s="9">
        <v>8</v>
      </c>
      <c r="H87" s="9">
        <f t="shared" si="105"/>
        <v>1</v>
      </c>
      <c r="I87" s="13">
        <v>1</v>
      </c>
      <c r="J87" s="113" t="str">
        <f t="shared" si="125"/>
        <v>カラビナ付きぬいぐるみファスナーマスコット</v>
      </c>
      <c r="K87" s="9">
        <f t="shared" si="126"/>
        <v>0</v>
      </c>
      <c r="L87" s="9">
        <f t="shared" si="106"/>
        <v>0</v>
      </c>
      <c r="M87" s="10">
        <f t="shared" si="107"/>
        <v>0</v>
      </c>
      <c r="N87" s="11"/>
      <c r="P87" s="72"/>
      <c r="Q87" s="38">
        <v>15426</v>
      </c>
      <c r="R87" s="9">
        <f t="shared" si="108"/>
        <v>33</v>
      </c>
      <c r="S87" s="9">
        <v>979</v>
      </c>
      <c r="T87" s="9">
        <f t="shared" si="109"/>
        <v>2</v>
      </c>
      <c r="U87" s="9">
        <v>20</v>
      </c>
      <c r="V87" s="9">
        <f t="shared" si="110"/>
        <v>2</v>
      </c>
      <c r="W87" s="13">
        <v>-2</v>
      </c>
      <c r="X87" s="113" t="str">
        <f>IF(Q87="","",X83)</f>
        <v>ボンボンドロップシール</v>
      </c>
      <c r="Y87" s="9">
        <f>IF(R87="","",Y83)</f>
        <v>200</v>
      </c>
      <c r="Z87" s="9">
        <f t="shared" si="112"/>
        <v>400</v>
      </c>
      <c r="AA87" s="10">
        <f t="shared" si="113"/>
        <v>0.12121212121212122</v>
      </c>
      <c r="AB87" s="11" t="s">
        <v>231</v>
      </c>
      <c r="AD87" s="72"/>
      <c r="AE87" s="38">
        <v>15249</v>
      </c>
      <c r="AF87" s="9">
        <f t="shared" si="114"/>
        <v>43</v>
      </c>
      <c r="AG87" s="9">
        <v>2416</v>
      </c>
      <c r="AH87" s="9">
        <f t="shared" si="115"/>
        <v>3</v>
      </c>
      <c r="AI87" s="9">
        <v>15</v>
      </c>
      <c r="AJ87" s="9">
        <f t="shared" si="116"/>
        <v>8</v>
      </c>
      <c r="AK87" s="13">
        <v>6</v>
      </c>
      <c r="AL87" s="113" t="str">
        <f t="shared" si="127"/>
        <v>かえるがま口</v>
      </c>
      <c r="AM87" s="9">
        <f t="shared" si="128"/>
        <v>300</v>
      </c>
      <c r="AN87" s="9">
        <f t="shared" si="117"/>
        <v>2400</v>
      </c>
      <c r="AO87" s="10">
        <f t="shared" si="118"/>
        <v>0.55813953488372092</v>
      </c>
      <c r="AP87" s="11"/>
      <c r="AR87" s="72"/>
      <c r="AS87" s="38">
        <v>13251</v>
      </c>
      <c r="AT87" s="9">
        <f t="shared" si="119"/>
        <v>24</v>
      </c>
      <c r="AU87" s="9">
        <v>773</v>
      </c>
      <c r="AV87" s="9">
        <f t="shared" si="120"/>
        <v>1</v>
      </c>
      <c r="AW87" s="9">
        <v>52</v>
      </c>
      <c r="AX87" s="9">
        <f t="shared" si="121"/>
        <v>1</v>
      </c>
      <c r="AY87" s="13">
        <v>10</v>
      </c>
      <c r="AZ87" s="113" t="str">
        <f t="shared" si="124"/>
        <v>ふわもちミニスクイーズ</v>
      </c>
      <c r="BA87" s="9">
        <f t="shared" si="124"/>
        <v>99</v>
      </c>
      <c r="BB87" s="9">
        <f t="shared" si="122"/>
        <v>99</v>
      </c>
      <c r="BC87" s="10">
        <f t="shared" si="123"/>
        <v>4.1250000000000002E-2</v>
      </c>
      <c r="BD87" s="11"/>
      <c r="BF87" s="96" t="str">
        <f>IF($A117="","",$A117)</f>
        <v/>
      </c>
      <c r="BG87" s="13"/>
      <c r="BH87" s="9" t="str">
        <f t="shared" si="96"/>
        <v/>
      </c>
      <c r="BI87" s="9"/>
      <c r="BJ87" s="9" t="str">
        <f t="shared" si="97"/>
        <v/>
      </c>
      <c r="BK87" s="9"/>
      <c r="BL87" s="9" t="str">
        <f t="shared" si="98"/>
        <v/>
      </c>
      <c r="BM87" s="9"/>
      <c r="BN87" s="126" t="str">
        <f t="shared" si="99"/>
        <v/>
      </c>
      <c r="BO87" s="33" t="str">
        <f t="shared" si="100"/>
        <v/>
      </c>
      <c r="BP87" s="9" t="str">
        <f t="shared" si="101"/>
        <v/>
      </c>
      <c r="BQ87" s="10" t="str">
        <f t="shared" si="102"/>
        <v/>
      </c>
      <c r="BR87" s="91"/>
    </row>
    <row r="88" spans="1:70" ht="15" customHeight="1" thickBot="1" x14ac:dyDescent="0.25">
      <c r="A88" s="75"/>
      <c r="B88" s="65"/>
      <c r="C88" s="36">
        <v>13798</v>
      </c>
      <c r="D88" s="37">
        <f t="shared" si="103"/>
        <v>159</v>
      </c>
      <c r="E88" s="17">
        <v>1247</v>
      </c>
      <c r="F88" s="17">
        <f t="shared" si="104"/>
        <v>0</v>
      </c>
      <c r="G88" s="17">
        <v>15</v>
      </c>
      <c r="H88" s="17">
        <f t="shared" si="105"/>
        <v>0</v>
      </c>
      <c r="I88" s="29">
        <v>0</v>
      </c>
      <c r="J88" s="114" t="str">
        <f t="shared" si="125"/>
        <v>バタースクイーズ</v>
      </c>
      <c r="K88" s="37">
        <f t="shared" si="126"/>
        <v>250</v>
      </c>
      <c r="L88" s="17">
        <f t="shared" si="106"/>
        <v>0</v>
      </c>
      <c r="M88" s="18">
        <f t="shared" si="107"/>
        <v>0</v>
      </c>
      <c r="N88" s="11"/>
      <c r="P88" s="75"/>
      <c r="Q88" s="36">
        <v>13217</v>
      </c>
      <c r="R88" s="37">
        <f t="shared" si="108"/>
        <v>48</v>
      </c>
      <c r="S88" s="17">
        <v>1090</v>
      </c>
      <c r="T88" s="17">
        <f t="shared" si="109"/>
        <v>2</v>
      </c>
      <c r="U88" s="17">
        <v>5</v>
      </c>
      <c r="V88" s="17">
        <f t="shared" si="110"/>
        <v>4</v>
      </c>
      <c r="W88" s="29">
        <v>4</v>
      </c>
      <c r="X88" s="114" t="str">
        <f>IF(Q88="","",X84)</f>
        <v>たまごっちブロックシール</v>
      </c>
      <c r="Y88" s="37">
        <f>IF(R88="","",Y84)</f>
        <v>648</v>
      </c>
      <c r="Z88" s="17">
        <f t="shared" si="112"/>
        <v>2592</v>
      </c>
      <c r="AA88" s="18">
        <f t="shared" si="113"/>
        <v>0.54</v>
      </c>
      <c r="AB88" s="11"/>
      <c r="AD88" s="75"/>
      <c r="AE88" s="36">
        <v>15592</v>
      </c>
      <c r="AF88" s="37">
        <f t="shared" si="114"/>
        <v>35</v>
      </c>
      <c r="AG88" s="17">
        <v>1555</v>
      </c>
      <c r="AH88" s="17">
        <f t="shared" si="115"/>
        <v>0</v>
      </c>
      <c r="AI88" s="17">
        <v>19</v>
      </c>
      <c r="AJ88" s="17">
        <f t="shared" si="116"/>
        <v>0</v>
      </c>
      <c r="AK88" s="29">
        <v>0</v>
      </c>
      <c r="AL88" s="114" t="str">
        <f t="shared" si="127"/>
        <v>しばこ</v>
      </c>
      <c r="AM88" s="37">
        <f t="shared" si="128"/>
        <v>350</v>
      </c>
      <c r="AN88" s="17">
        <f t="shared" si="117"/>
        <v>0</v>
      </c>
      <c r="AO88" s="18">
        <f t="shared" si="118"/>
        <v>0</v>
      </c>
      <c r="AP88" s="11"/>
      <c r="AR88" s="75"/>
      <c r="AS88" s="36">
        <v>11071</v>
      </c>
      <c r="AT88" s="37">
        <f t="shared" si="119"/>
        <v>4</v>
      </c>
      <c r="AU88" s="17">
        <v>812</v>
      </c>
      <c r="AV88" s="17">
        <f t="shared" si="120"/>
        <v>0</v>
      </c>
      <c r="AW88" s="17">
        <v>45</v>
      </c>
      <c r="AX88" s="17">
        <f t="shared" si="121"/>
        <v>1</v>
      </c>
      <c r="AY88" s="29">
        <v>-33</v>
      </c>
      <c r="AZ88" s="114" t="s">
        <v>230</v>
      </c>
      <c r="BA88" s="37">
        <f t="shared" ref="BA88:BA97" si="129">IF(AT88="","",BA84)</f>
        <v>330</v>
      </c>
      <c r="BB88" s="17">
        <f t="shared" si="122"/>
        <v>330</v>
      </c>
      <c r="BC88" s="18">
        <f t="shared" si="123"/>
        <v>0.82499999999999996</v>
      </c>
      <c r="BD88" s="11" t="s">
        <v>233</v>
      </c>
      <c r="BF88" s="96" t="str">
        <f>IF($A121="","",$A121)</f>
        <v/>
      </c>
      <c r="BG88" s="13"/>
      <c r="BH88" s="9" t="str">
        <f t="shared" si="96"/>
        <v/>
      </c>
      <c r="BI88" s="9"/>
      <c r="BJ88" s="9" t="str">
        <f t="shared" si="97"/>
        <v/>
      </c>
      <c r="BK88" s="9"/>
      <c r="BL88" s="9" t="str">
        <f t="shared" si="98"/>
        <v/>
      </c>
      <c r="BM88" s="9"/>
      <c r="BN88" s="126" t="str">
        <f t="shared" si="99"/>
        <v/>
      </c>
      <c r="BO88" s="33" t="str">
        <f t="shared" si="100"/>
        <v/>
      </c>
      <c r="BP88" s="9" t="str">
        <f t="shared" si="101"/>
        <v/>
      </c>
      <c r="BQ88" s="10" t="str">
        <f t="shared" si="102"/>
        <v/>
      </c>
      <c r="BR88" s="11"/>
    </row>
    <row r="89" spans="1:70" ht="15" customHeight="1" thickTop="1" x14ac:dyDescent="0.2">
      <c r="A89" s="71">
        <v>46143</v>
      </c>
      <c r="B89" s="61">
        <f>SUM(D89:D92)+SUM(R89:R92)+SUM(AF89:AF92)+SUM(AT89:AT92)+SUM(BH80)</f>
        <v>948</v>
      </c>
      <c r="C89" s="33">
        <v>15836</v>
      </c>
      <c r="D89" s="33">
        <f t="shared" si="103"/>
        <v>68</v>
      </c>
      <c r="E89" s="33">
        <v>1125</v>
      </c>
      <c r="F89" s="20">
        <f t="shared" si="104"/>
        <v>1</v>
      </c>
      <c r="G89" s="33">
        <v>5</v>
      </c>
      <c r="H89" s="33">
        <f t="shared" si="105"/>
        <v>2</v>
      </c>
      <c r="I89" s="43">
        <v>8</v>
      </c>
      <c r="J89" s="112" t="str">
        <f t="shared" si="125"/>
        <v>モンチッチマスコット</v>
      </c>
      <c r="K89" s="34">
        <f t="shared" si="126"/>
        <v>572</v>
      </c>
      <c r="L89" s="20">
        <f t="shared" si="106"/>
        <v>1144</v>
      </c>
      <c r="M89" s="21">
        <f t="shared" si="107"/>
        <v>0.16823529411764707</v>
      </c>
      <c r="N89" s="11"/>
      <c r="O89" s="1"/>
      <c r="P89" s="76">
        <f>IF($A89="","",$A89)</f>
        <v>46143</v>
      </c>
      <c r="Q89" s="33">
        <v>15754</v>
      </c>
      <c r="R89" s="33">
        <f t="shared" si="108"/>
        <v>70</v>
      </c>
      <c r="S89" s="33">
        <v>1451</v>
      </c>
      <c r="T89" s="20">
        <f t="shared" si="109"/>
        <v>4</v>
      </c>
      <c r="U89" s="33">
        <v>4</v>
      </c>
      <c r="V89" s="33">
        <f t="shared" si="110"/>
        <v>4</v>
      </c>
      <c r="W89" s="43">
        <v>4</v>
      </c>
      <c r="X89" s="112" t="s">
        <v>238</v>
      </c>
      <c r="Y89" s="34">
        <v>792</v>
      </c>
      <c r="Z89" s="20">
        <f t="shared" si="112"/>
        <v>3168</v>
      </c>
      <c r="AA89" s="21">
        <f t="shared" si="113"/>
        <v>0.45257142857142857</v>
      </c>
      <c r="AB89" s="11"/>
      <c r="AD89" s="76">
        <f>IF($A89="","",$A89)</f>
        <v>46143</v>
      </c>
      <c r="AE89" s="33">
        <v>12627</v>
      </c>
      <c r="AF89" s="33">
        <f t="shared" si="114"/>
        <v>8</v>
      </c>
      <c r="AG89" s="33">
        <v>916</v>
      </c>
      <c r="AH89" s="20">
        <f t="shared" si="115"/>
        <v>0</v>
      </c>
      <c r="AI89" s="33">
        <v>12</v>
      </c>
      <c r="AJ89" s="33">
        <f t="shared" si="116"/>
        <v>0</v>
      </c>
      <c r="AK89" s="43">
        <v>-7</v>
      </c>
      <c r="AL89" s="112" t="str">
        <f t="shared" si="127"/>
        <v>ギャルキティマスコット</v>
      </c>
      <c r="AM89" s="34">
        <f t="shared" si="128"/>
        <v>660</v>
      </c>
      <c r="AN89" s="20">
        <f t="shared" si="117"/>
        <v>0</v>
      </c>
      <c r="AO89" s="21">
        <f t="shared" si="118"/>
        <v>0</v>
      </c>
      <c r="AP89" s="11" t="s">
        <v>240</v>
      </c>
      <c r="AR89" s="76">
        <f>IF($A89="","",$A89)</f>
        <v>46143</v>
      </c>
      <c r="AS89" s="33">
        <v>9945</v>
      </c>
      <c r="AT89" s="33">
        <f t="shared" si="119"/>
        <v>56</v>
      </c>
      <c r="AU89" s="33">
        <v>535</v>
      </c>
      <c r="AV89" s="20">
        <f t="shared" si="120"/>
        <v>0</v>
      </c>
      <c r="AW89" s="33">
        <v>13</v>
      </c>
      <c r="AX89" s="33">
        <f t="shared" si="121"/>
        <v>0</v>
      </c>
      <c r="AY89" s="43">
        <v>0</v>
      </c>
      <c r="AZ89" s="112" t="str">
        <f>IF(AS89="","",AZ85)</f>
        <v>サンリオカラビナ付きミニファン</v>
      </c>
      <c r="BA89" s="34">
        <f t="shared" si="129"/>
        <v>1100</v>
      </c>
      <c r="BB89" s="20">
        <f t="shared" si="122"/>
        <v>0</v>
      </c>
      <c r="BC89" s="21">
        <f t="shared" si="123"/>
        <v>0</v>
      </c>
      <c r="BD89" s="11"/>
      <c r="BF89" s="96" t="str">
        <f>IF($A125="","",$A125)</f>
        <v/>
      </c>
      <c r="BG89" s="13"/>
      <c r="BH89" s="9" t="str">
        <f t="shared" si="96"/>
        <v/>
      </c>
      <c r="BI89" s="9"/>
      <c r="BJ89" s="9" t="str">
        <f t="shared" si="97"/>
        <v/>
      </c>
      <c r="BK89" s="9"/>
      <c r="BL89" s="9" t="str">
        <f t="shared" si="98"/>
        <v/>
      </c>
      <c r="BM89" s="9"/>
      <c r="BN89" s="126" t="str">
        <f t="shared" si="99"/>
        <v/>
      </c>
      <c r="BO89" s="33" t="str">
        <f t="shared" si="100"/>
        <v/>
      </c>
      <c r="BP89" s="9" t="str">
        <f t="shared" si="101"/>
        <v/>
      </c>
      <c r="BQ89" s="10" t="str">
        <f t="shared" si="102"/>
        <v/>
      </c>
      <c r="BR89" s="11"/>
    </row>
    <row r="90" spans="1:70" x14ac:dyDescent="0.2">
      <c r="A90" s="72"/>
      <c r="B90" s="8"/>
      <c r="C90" s="9">
        <v>19986</v>
      </c>
      <c r="D90" s="9">
        <f t="shared" si="103"/>
        <v>78</v>
      </c>
      <c r="E90" s="9">
        <v>647</v>
      </c>
      <c r="F90" s="9">
        <f t="shared" si="104"/>
        <v>3</v>
      </c>
      <c r="G90" s="9">
        <v>33</v>
      </c>
      <c r="H90" s="9">
        <f t="shared" si="105"/>
        <v>3</v>
      </c>
      <c r="I90" s="13">
        <v>0</v>
      </c>
      <c r="J90" s="113" t="str">
        <f t="shared" si="125"/>
        <v>電ブル</v>
      </c>
      <c r="K90" s="34">
        <f t="shared" si="126"/>
        <v>275</v>
      </c>
      <c r="L90" s="9">
        <f t="shared" si="106"/>
        <v>825</v>
      </c>
      <c r="M90" s="10">
        <f t="shared" si="107"/>
        <v>0.10576923076923077</v>
      </c>
      <c r="N90" s="11"/>
      <c r="O90" s="1"/>
      <c r="P90" s="72"/>
      <c r="Q90" s="9">
        <v>14934</v>
      </c>
      <c r="R90" s="9">
        <f t="shared" si="108"/>
        <v>55</v>
      </c>
      <c r="S90" s="9">
        <v>505</v>
      </c>
      <c r="T90" s="9">
        <f t="shared" si="109"/>
        <v>0</v>
      </c>
      <c r="U90" s="9">
        <v>6</v>
      </c>
      <c r="V90" s="9">
        <f t="shared" si="110"/>
        <v>0</v>
      </c>
      <c r="W90" s="13">
        <v>3</v>
      </c>
      <c r="X90" s="113" t="str">
        <f>IF(Q90="","",X86)</f>
        <v>パンケーキスクイーズ</v>
      </c>
      <c r="Y90" s="34">
        <f>IF(R90="","",Y86)</f>
        <v>181</v>
      </c>
      <c r="Z90" s="9">
        <f t="shared" si="112"/>
        <v>0</v>
      </c>
      <c r="AA90" s="10">
        <f t="shared" si="113"/>
        <v>0</v>
      </c>
      <c r="AB90" s="11"/>
      <c r="AD90" s="72"/>
      <c r="AE90" s="9">
        <v>13113</v>
      </c>
      <c r="AF90" s="9">
        <f t="shared" si="114"/>
        <v>40</v>
      </c>
      <c r="AG90" s="9">
        <v>808</v>
      </c>
      <c r="AH90" s="9">
        <f t="shared" si="115"/>
        <v>1</v>
      </c>
      <c r="AI90" s="9">
        <v>19</v>
      </c>
      <c r="AJ90" s="9">
        <f t="shared" si="116"/>
        <v>1</v>
      </c>
      <c r="AK90" s="13">
        <v>0</v>
      </c>
      <c r="AL90" s="113" t="str">
        <f t="shared" si="127"/>
        <v>トイストーリー・ディズニーベアブリック</v>
      </c>
      <c r="AM90" s="34">
        <f t="shared" si="128"/>
        <v>748</v>
      </c>
      <c r="AN90" s="9">
        <f t="shared" si="117"/>
        <v>748</v>
      </c>
      <c r="AO90" s="10">
        <f t="shared" si="118"/>
        <v>0.187</v>
      </c>
      <c r="AP90" s="11"/>
      <c r="AR90" s="72"/>
      <c r="AS90" s="9">
        <v>11151</v>
      </c>
      <c r="AT90" s="9">
        <f t="shared" si="119"/>
        <v>16</v>
      </c>
      <c r="AU90" s="9">
        <v>557</v>
      </c>
      <c r="AV90" s="9">
        <f t="shared" si="120"/>
        <v>0</v>
      </c>
      <c r="AW90" s="9">
        <v>16</v>
      </c>
      <c r="AX90" s="9">
        <f t="shared" si="121"/>
        <v>0</v>
      </c>
      <c r="AY90" s="13">
        <v>0</v>
      </c>
      <c r="AZ90" s="113" t="s">
        <v>236</v>
      </c>
      <c r="BA90" s="34">
        <f t="shared" si="129"/>
        <v>0</v>
      </c>
      <c r="BB90" s="9">
        <f t="shared" si="122"/>
        <v>0</v>
      </c>
      <c r="BC90" s="10">
        <f t="shared" si="123"/>
        <v>0</v>
      </c>
      <c r="BD90" s="11"/>
      <c r="BF90" s="96" t="str">
        <f>IF($A$425="","",$A$425)</f>
        <v/>
      </c>
      <c r="BG90" s="9"/>
      <c r="BH90" s="9" t="str">
        <f t="shared" si="96"/>
        <v/>
      </c>
      <c r="BI90" s="9"/>
      <c r="BJ90" s="9" t="str">
        <f t="shared" si="97"/>
        <v/>
      </c>
      <c r="BK90" s="9"/>
      <c r="BL90" s="9" t="str">
        <f t="shared" si="98"/>
        <v/>
      </c>
      <c r="BM90" s="9"/>
      <c r="BN90" s="126" t="str">
        <f t="shared" si="99"/>
        <v/>
      </c>
      <c r="BO90" s="33" t="str">
        <f t="shared" si="100"/>
        <v/>
      </c>
      <c r="BP90" s="9" t="str">
        <f t="shared" si="101"/>
        <v/>
      </c>
      <c r="BQ90" s="10" t="str">
        <f>IF(BP90="","",BP90/(BG90*100))</f>
        <v/>
      </c>
      <c r="BR90" s="90"/>
    </row>
    <row r="91" spans="1:70" x14ac:dyDescent="0.2">
      <c r="A91" s="74"/>
      <c r="B91" s="66"/>
      <c r="C91" s="23">
        <v>18446</v>
      </c>
      <c r="D91" s="9">
        <f t="shared" si="103"/>
        <v>42</v>
      </c>
      <c r="E91" s="9">
        <v>629</v>
      </c>
      <c r="F91" s="9">
        <f t="shared" si="104"/>
        <v>0</v>
      </c>
      <c r="G91" s="23">
        <v>9</v>
      </c>
      <c r="H91" s="9">
        <f t="shared" si="105"/>
        <v>0</v>
      </c>
      <c r="I91" s="30">
        <v>0</v>
      </c>
      <c r="J91" s="113" t="str">
        <f t="shared" si="125"/>
        <v>カラビナ付きぬいぐるみファスナーマスコット</v>
      </c>
      <c r="K91" s="34">
        <f t="shared" si="126"/>
        <v>0</v>
      </c>
      <c r="L91" s="9">
        <f t="shared" si="106"/>
        <v>0</v>
      </c>
      <c r="M91" s="10">
        <f t="shared" si="107"/>
        <v>0</v>
      </c>
      <c r="N91" s="11"/>
      <c r="P91" s="74"/>
      <c r="Q91" s="23">
        <v>15528</v>
      </c>
      <c r="R91" s="9">
        <f t="shared" si="108"/>
        <v>102</v>
      </c>
      <c r="S91" s="9">
        <v>981</v>
      </c>
      <c r="T91" s="9">
        <f t="shared" si="109"/>
        <v>2</v>
      </c>
      <c r="U91" s="23">
        <v>16</v>
      </c>
      <c r="V91" s="9">
        <f t="shared" si="110"/>
        <v>2</v>
      </c>
      <c r="W91" s="30">
        <v>4</v>
      </c>
      <c r="X91" s="113" t="s">
        <v>239</v>
      </c>
      <c r="Y91" s="34">
        <v>200</v>
      </c>
      <c r="Z91" s="9">
        <f t="shared" si="112"/>
        <v>400</v>
      </c>
      <c r="AA91" s="10">
        <f t="shared" si="113"/>
        <v>3.9215686274509803E-2</v>
      </c>
      <c r="AB91" s="11"/>
      <c r="AD91" s="74"/>
      <c r="AE91" s="23">
        <v>15259</v>
      </c>
      <c r="AF91" s="9">
        <f t="shared" si="114"/>
        <v>10</v>
      </c>
      <c r="AG91" s="9">
        <v>2419</v>
      </c>
      <c r="AH91" s="9">
        <f t="shared" si="115"/>
        <v>3</v>
      </c>
      <c r="AI91" s="23">
        <v>18</v>
      </c>
      <c r="AJ91" s="9">
        <f t="shared" si="116"/>
        <v>3</v>
      </c>
      <c r="AK91" s="30">
        <v>3</v>
      </c>
      <c r="AL91" s="113" t="str">
        <f t="shared" si="127"/>
        <v>かえるがま口</v>
      </c>
      <c r="AM91" s="34">
        <f t="shared" si="128"/>
        <v>300</v>
      </c>
      <c r="AN91" s="9">
        <f t="shared" si="117"/>
        <v>900</v>
      </c>
      <c r="AO91" s="10">
        <f t="shared" si="118"/>
        <v>0.9</v>
      </c>
      <c r="AP91" s="11"/>
      <c r="AR91" s="74"/>
      <c r="AS91" s="23">
        <v>13272</v>
      </c>
      <c r="AT91" s="9">
        <f t="shared" si="119"/>
        <v>21</v>
      </c>
      <c r="AU91" s="9">
        <v>774</v>
      </c>
      <c r="AV91" s="9">
        <f t="shared" si="120"/>
        <v>1</v>
      </c>
      <c r="AW91" s="23">
        <v>61</v>
      </c>
      <c r="AX91" s="9">
        <f t="shared" si="121"/>
        <v>1</v>
      </c>
      <c r="AY91" s="30">
        <v>0</v>
      </c>
      <c r="AZ91" s="113" t="str">
        <f>IF(AS91="","",AZ87)</f>
        <v>ふわもちミニスクイーズ</v>
      </c>
      <c r="BA91" s="34">
        <f t="shared" si="129"/>
        <v>99</v>
      </c>
      <c r="BB91" s="9">
        <f t="shared" si="122"/>
        <v>99</v>
      </c>
      <c r="BC91" s="10">
        <f t="shared" si="123"/>
        <v>4.7142857142857146E-2</v>
      </c>
      <c r="BD91" s="11"/>
      <c r="BF91" s="96"/>
      <c r="BG91" s="9"/>
      <c r="BH91" s="9"/>
      <c r="BI91" s="9"/>
      <c r="BJ91" s="9"/>
      <c r="BK91" s="9"/>
      <c r="BL91" s="9"/>
      <c r="BM91" s="9"/>
      <c r="BN91" s="126" t="str">
        <f t="shared" si="99"/>
        <v/>
      </c>
      <c r="BO91" s="33"/>
      <c r="BP91" s="9"/>
      <c r="BQ91" s="10" t="str">
        <f>IF(BP91="","",BP91/(BG91*100))</f>
        <v/>
      </c>
      <c r="BR91" s="90"/>
    </row>
    <row r="92" spans="1:70" ht="15" customHeight="1" thickBot="1" x14ac:dyDescent="0.25">
      <c r="A92" s="75"/>
      <c r="B92" s="67"/>
      <c r="C92" s="17">
        <v>13861</v>
      </c>
      <c r="D92" s="37">
        <f t="shared" si="103"/>
        <v>63</v>
      </c>
      <c r="E92" s="17">
        <v>1247</v>
      </c>
      <c r="F92" s="17">
        <f t="shared" si="104"/>
        <v>0</v>
      </c>
      <c r="G92" s="17">
        <v>15</v>
      </c>
      <c r="H92" s="17">
        <f t="shared" si="105"/>
        <v>0</v>
      </c>
      <c r="I92" s="29">
        <v>0</v>
      </c>
      <c r="J92" s="114" t="str">
        <f t="shared" si="125"/>
        <v>バタースクイーズ</v>
      </c>
      <c r="K92" s="37">
        <f t="shared" si="126"/>
        <v>250</v>
      </c>
      <c r="L92" s="17">
        <f t="shared" si="106"/>
        <v>0</v>
      </c>
      <c r="M92" s="18">
        <f t="shared" si="107"/>
        <v>0</v>
      </c>
      <c r="N92" s="11"/>
      <c r="P92" s="75"/>
      <c r="Q92" s="17">
        <v>13240</v>
      </c>
      <c r="R92" s="37">
        <f t="shared" si="108"/>
        <v>23</v>
      </c>
      <c r="S92" s="17">
        <v>1093</v>
      </c>
      <c r="T92" s="17">
        <f t="shared" si="109"/>
        <v>3</v>
      </c>
      <c r="U92" s="17">
        <v>7</v>
      </c>
      <c r="V92" s="17">
        <f t="shared" si="110"/>
        <v>2</v>
      </c>
      <c r="W92" s="29">
        <v>1</v>
      </c>
      <c r="X92" s="114" t="str">
        <f t="shared" ref="X92:X132" si="130">IF(Q92="","",X88)</f>
        <v>たまごっちブロックシール</v>
      </c>
      <c r="Y92" s="37">
        <f t="shared" ref="Y92:Y132" si="131">IF(R92="","",Y88)</f>
        <v>648</v>
      </c>
      <c r="Z92" s="17">
        <f t="shared" si="112"/>
        <v>1296</v>
      </c>
      <c r="AA92" s="18">
        <f t="shared" si="113"/>
        <v>0.56347826086956521</v>
      </c>
      <c r="AB92" s="11"/>
      <c r="AD92" s="75"/>
      <c r="AE92" s="17">
        <v>15601</v>
      </c>
      <c r="AF92" s="37">
        <f t="shared" si="114"/>
        <v>9</v>
      </c>
      <c r="AG92" s="17">
        <v>1555</v>
      </c>
      <c r="AH92" s="17">
        <f t="shared" si="115"/>
        <v>0</v>
      </c>
      <c r="AI92" s="17">
        <v>19</v>
      </c>
      <c r="AJ92" s="17">
        <f t="shared" si="116"/>
        <v>0</v>
      </c>
      <c r="AK92" s="29">
        <v>0</v>
      </c>
      <c r="AL92" s="114" t="str">
        <f t="shared" si="127"/>
        <v>しばこ</v>
      </c>
      <c r="AM92" s="37">
        <f t="shared" si="128"/>
        <v>350</v>
      </c>
      <c r="AN92" s="17">
        <f t="shared" si="117"/>
        <v>0</v>
      </c>
      <c r="AO92" s="18">
        <f t="shared" si="118"/>
        <v>0</v>
      </c>
      <c r="AP92" s="11"/>
      <c r="AR92" s="75"/>
      <c r="AS92" s="17">
        <v>11091</v>
      </c>
      <c r="AT92" s="37">
        <f t="shared" si="119"/>
        <v>20</v>
      </c>
      <c r="AU92" s="17">
        <v>812</v>
      </c>
      <c r="AV92" s="17">
        <f t="shared" si="120"/>
        <v>0</v>
      </c>
      <c r="AW92" s="17">
        <v>12</v>
      </c>
      <c r="AX92" s="17">
        <f t="shared" si="121"/>
        <v>0</v>
      </c>
      <c r="AY92" s="29">
        <v>0</v>
      </c>
      <c r="AZ92" s="114" t="s">
        <v>237</v>
      </c>
      <c r="BA92" s="37">
        <f t="shared" si="129"/>
        <v>330</v>
      </c>
      <c r="BB92" s="17">
        <f t="shared" si="122"/>
        <v>0</v>
      </c>
      <c r="BC92" s="18">
        <f t="shared" si="123"/>
        <v>0</v>
      </c>
      <c r="BD92" s="11"/>
      <c r="BF92" s="96"/>
      <c r="BG92" s="9"/>
      <c r="BH92" s="9" t="str">
        <f>IF(BG92="","",BG92-BG93)</f>
        <v/>
      </c>
      <c r="BI92" s="9"/>
      <c r="BJ92" s="9" t="str">
        <f>IF(BI92="","",BI92-BI93)</f>
        <v/>
      </c>
      <c r="BK92" s="9"/>
      <c r="BL92" s="9" t="str">
        <f>IF(BK92="","",BK93+BM93-BK92)</f>
        <v/>
      </c>
      <c r="BM92" s="9"/>
      <c r="BN92" s="126" t="str">
        <f t="shared" si="99"/>
        <v/>
      </c>
      <c r="BO92" s="33" t="str">
        <f>IF(BG92="","",BO93)</f>
        <v/>
      </c>
      <c r="BP92" s="9" t="str">
        <f t="shared" ref="BP92:BP124" si="132">IF(BO92="","",BL92*BO92)</f>
        <v/>
      </c>
      <c r="BQ92" s="10" t="str">
        <f t="shared" ref="BQ92:BQ124" si="133">IF(BP92="","",BP92/(BH92*100))</f>
        <v/>
      </c>
      <c r="BR92" s="90"/>
    </row>
    <row r="93" spans="1:70" ht="15" customHeight="1" thickTop="1" x14ac:dyDescent="0.2">
      <c r="A93" s="71">
        <v>46146</v>
      </c>
      <c r="B93" s="61">
        <f>SUM(D93:D96)+SUM(R93:R96)+SUM(AF93:AF96)+SUM(AT93:AT96)+SUM(BH81)</f>
        <v>776</v>
      </c>
      <c r="C93" s="33">
        <v>15862</v>
      </c>
      <c r="D93" s="33">
        <f t="shared" si="103"/>
        <v>26</v>
      </c>
      <c r="E93" s="33">
        <v>1126</v>
      </c>
      <c r="F93" s="20">
        <f t="shared" si="104"/>
        <v>1</v>
      </c>
      <c r="G93" s="33">
        <v>12</v>
      </c>
      <c r="H93" s="33">
        <f t="shared" si="105"/>
        <v>1</v>
      </c>
      <c r="I93" s="43">
        <v>1</v>
      </c>
      <c r="J93" s="112" t="str">
        <f t="shared" si="125"/>
        <v>モンチッチマスコット</v>
      </c>
      <c r="K93" s="34">
        <f t="shared" si="126"/>
        <v>572</v>
      </c>
      <c r="L93" s="20">
        <f t="shared" si="106"/>
        <v>572</v>
      </c>
      <c r="M93" s="21">
        <f t="shared" si="107"/>
        <v>0.22</v>
      </c>
      <c r="N93" s="11"/>
      <c r="P93" s="76">
        <f>IF($A93="","",$A93)</f>
        <v>46146</v>
      </c>
      <c r="Q93" s="33">
        <v>15808</v>
      </c>
      <c r="R93" s="33">
        <f t="shared" si="108"/>
        <v>54</v>
      </c>
      <c r="S93" s="33">
        <v>1455</v>
      </c>
      <c r="T93" s="20">
        <f t="shared" si="109"/>
        <v>4</v>
      </c>
      <c r="U93" s="33">
        <v>4</v>
      </c>
      <c r="V93" s="33">
        <f t="shared" si="110"/>
        <v>4</v>
      </c>
      <c r="W93" s="43">
        <v>4</v>
      </c>
      <c r="X93" s="112" t="str">
        <f t="shared" si="130"/>
        <v>マリオカートマスコット</v>
      </c>
      <c r="Y93" s="34">
        <f t="shared" si="131"/>
        <v>792</v>
      </c>
      <c r="Z93" s="20">
        <f t="shared" si="112"/>
        <v>3168</v>
      </c>
      <c r="AA93" s="21">
        <f t="shared" si="113"/>
        <v>0.58666666666666667</v>
      </c>
      <c r="AB93" s="11"/>
      <c r="AD93" s="76">
        <f>IF($A93="","",$A93)</f>
        <v>46146</v>
      </c>
      <c r="AE93" s="33">
        <v>12645</v>
      </c>
      <c r="AF93" s="33">
        <f t="shared" si="114"/>
        <v>18</v>
      </c>
      <c r="AG93" s="33">
        <v>916</v>
      </c>
      <c r="AH93" s="20">
        <f t="shared" si="115"/>
        <v>0</v>
      </c>
      <c r="AI93" s="33">
        <v>5</v>
      </c>
      <c r="AJ93" s="33">
        <f t="shared" si="116"/>
        <v>0</v>
      </c>
      <c r="AK93" s="43">
        <v>5</v>
      </c>
      <c r="AL93" s="112" t="s">
        <v>241</v>
      </c>
      <c r="AM93" s="34">
        <f>IF(AF93="","",AM89)</f>
        <v>660</v>
      </c>
      <c r="AN93" s="20">
        <f t="shared" si="117"/>
        <v>0</v>
      </c>
      <c r="AO93" s="21">
        <f t="shared" si="118"/>
        <v>0</v>
      </c>
      <c r="AP93" s="11" t="s">
        <v>242</v>
      </c>
      <c r="AR93" s="76">
        <f>IF($A93="","",$A93)</f>
        <v>46146</v>
      </c>
      <c r="AS93" s="33">
        <v>9965</v>
      </c>
      <c r="AT93" s="33">
        <f t="shared" si="119"/>
        <v>20</v>
      </c>
      <c r="AU93" s="33">
        <v>536</v>
      </c>
      <c r="AV93" s="20">
        <f t="shared" si="120"/>
        <v>1</v>
      </c>
      <c r="AW93" s="33">
        <v>12</v>
      </c>
      <c r="AX93" s="33">
        <f t="shared" si="121"/>
        <v>1</v>
      </c>
      <c r="AY93" s="43">
        <v>0</v>
      </c>
      <c r="AZ93" s="112" t="str">
        <f>IF(AS93="","",AZ89)</f>
        <v>サンリオカラビナ付きミニファン</v>
      </c>
      <c r="BA93" s="34">
        <f t="shared" si="129"/>
        <v>1100</v>
      </c>
      <c r="BB93" s="20">
        <f t="shared" si="122"/>
        <v>1100</v>
      </c>
      <c r="BC93" s="21">
        <f t="shared" si="123"/>
        <v>0.55000000000000004</v>
      </c>
      <c r="BD93" s="11"/>
      <c r="BF93" s="96"/>
      <c r="BG93" s="9"/>
      <c r="BH93" s="9" t="str">
        <f>IF(BG93="","",BG93-BG90)</f>
        <v/>
      </c>
      <c r="BI93" s="9"/>
      <c r="BJ93" s="9" t="str">
        <f>IF(BI93="","",BI93-BI90)</f>
        <v/>
      </c>
      <c r="BK93" s="9"/>
      <c r="BL93" s="9" t="str">
        <f>IF(BK93="","",BK90+BM90-BK93)</f>
        <v/>
      </c>
      <c r="BM93" s="9"/>
      <c r="BN93" s="126" t="str">
        <f t="shared" si="99"/>
        <v/>
      </c>
      <c r="BO93" s="33" t="str">
        <f>IF(BG93="","",BO90)</f>
        <v/>
      </c>
      <c r="BP93" s="9" t="str">
        <f t="shared" si="132"/>
        <v/>
      </c>
      <c r="BQ93" s="10" t="str">
        <f t="shared" si="133"/>
        <v/>
      </c>
      <c r="BR93" s="90"/>
    </row>
    <row r="94" spans="1:70" x14ac:dyDescent="0.2">
      <c r="A94" s="71"/>
      <c r="B94" s="61"/>
      <c r="C94" s="33">
        <v>20041</v>
      </c>
      <c r="D94" s="9">
        <f t="shared" si="103"/>
        <v>55</v>
      </c>
      <c r="E94" s="9">
        <v>648</v>
      </c>
      <c r="F94" s="9">
        <f t="shared" si="104"/>
        <v>1</v>
      </c>
      <c r="G94" s="9">
        <v>32</v>
      </c>
      <c r="H94" s="9">
        <f t="shared" si="105"/>
        <v>1</v>
      </c>
      <c r="I94" s="13">
        <v>5</v>
      </c>
      <c r="J94" s="113" t="str">
        <f t="shared" si="125"/>
        <v>電ブル</v>
      </c>
      <c r="K94" s="34">
        <f t="shared" si="126"/>
        <v>275</v>
      </c>
      <c r="L94" s="9">
        <f t="shared" si="106"/>
        <v>275</v>
      </c>
      <c r="M94" s="10">
        <f t="shared" si="107"/>
        <v>0.05</v>
      </c>
      <c r="N94" s="11"/>
      <c r="P94" s="71"/>
      <c r="Q94" s="33">
        <v>14978</v>
      </c>
      <c r="R94" s="9">
        <f t="shared" si="108"/>
        <v>44</v>
      </c>
      <c r="S94" s="9">
        <v>505</v>
      </c>
      <c r="T94" s="9">
        <f t="shared" si="109"/>
        <v>0</v>
      </c>
      <c r="U94" s="9">
        <v>9</v>
      </c>
      <c r="V94" s="9">
        <f t="shared" si="110"/>
        <v>0</v>
      </c>
      <c r="W94" s="13">
        <v>0</v>
      </c>
      <c r="X94" s="113" t="str">
        <f t="shared" si="130"/>
        <v>パンケーキスクイーズ</v>
      </c>
      <c r="Y94" s="34">
        <f t="shared" si="131"/>
        <v>181</v>
      </c>
      <c r="Z94" s="9">
        <f t="shared" si="112"/>
        <v>0</v>
      </c>
      <c r="AA94" s="10">
        <f t="shared" si="113"/>
        <v>0</v>
      </c>
      <c r="AB94" s="11"/>
      <c r="AD94" s="71"/>
      <c r="AE94" s="33">
        <v>13168</v>
      </c>
      <c r="AF94" s="9">
        <f t="shared" si="114"/>
        <v>55</v>
      </c>
      <c r="AG94" s="9">
        <v>809</v>
      </c>
      <c r="AH94" s="9">
        <f t="shared" si="115"/>
        <v>1</v>
      </c>
      <c r="AI94" s="9">
        <v>17</v>
      </c>
      <c r="AJ94" s="9">
        <f t="shared" si="116"/>
        <v>2</v>
      </c>
      <c r="AK94" s="13">
        <v>3</v>
      </c>
      <c r="AL94" s="113" t="str">
        <f>IF(AE94="","",AL90)</f>
        <v>トイストーリー・ディズニーベアブリック</v>
      </c>
      <c r="AM94" s="34">
        <f>IF(AF94="","",AM90)</f>
        <v>748</v>
      </c>
      <c r="AN94" s="9">
        <f t="shared" si="117"/>
        <v>1496</v>
      </c>
      <c r="AO94" s="10">
        <f t="shared" si="118"/>
        <v>0.27200000000000002</v>
      </c>
      <c r="AP94" s="11"/>
      <c r="AR94" s="71"/>
      <c r="AS94" s="33">
        <v>11172</v>
      </c>
      <c r="AT94" s="9">
        <f t="shared" si="119"/>
        <v>21</v>
      </c>
      <c r="AU94" s="9">
        <v>558</v>
      </c>
      <c r="AV94" s="9">
        <f t="shared" si="120"/>
        <v>1</v>
      </c>
      <c r="AW94" s="9">
        <v>15</v>
      </c>
      <c r="AX94" s="9">
        <f t="shared" si="121"/>
        <v>1</v>
      </c>
      <c r="AY94" s="13">
        <v>0</v>
      </c>
      <c r="AZ94" s="113" t="str">
        <f>IF(AS94="","",AZ90)</f>
        <v>ドーナツスクイーズ</v>
      </c>
      <c r="BA94" s="34">
        <f t="shared" si="129"/>
        <v>0</v>
      </c>
      <c r="BB94" s="9">
        <f t="shared" si="122"/>
        <v>0</v>
      </c>
      <c r="BC94" s="10">
        <f t="shared" si="123"/>
        <v>0</v>
      </c>
      <c r="BD94" s="11" t="s">
        <v>244</v>
      </c>
      <c r="BF94" s="97"/>
      <c r="BG94" s="9"/>
      <c r="BH94" s="9" t="str">
        <f>IF(BG94="","",BG94-BG92)</f>
        <v/>
      </c>
      <c r="BI94" s="9"/>
      <c r="BJ94" s="9" t="str">
        <f>IF(BI94="","",BI94-BI92)</f>
        <v/>
      </c>
      <c r="BK94" s="9"/>
      <c r="BL94" s="9" t="str">
        <f>IF(BK94="","",BK92+BM92-BK94)</f>
        <v/>
      </c>
      <c r="BM94" s="9"/>
      <c r="BN94" s="126" t="str">
        <f t="shared" si="99"/>
        <v/>
      </c>
      <c r="BO94" s="33" t="str">
        <f>IF(BG94="","",BO92)</f>
        <v/>
      </c>
      <c r="BP94" s="9" t="str">
        <f t="shared" si="132"/>
        <v/>
      </c>
      <c r="BQ94" s="10" t="str">
        <f t="shared" si="133"/>
        <v/>
      </c>
      <c r="BR94" s="11"/>
    </row>
    <row r="95" spans="1:70" ht="15" customHeight="1" x14ac:dyDescent="0.2">
      <c r="A95" s="71"/>
      <c r="B95" s="64"/>
      <c r="C95" s="38">
        <v>18475</v>
      </c>
      <c r="D95" s="9">
        <f t="shared" si="103"/>
        <v>29</v>
      </c>
      <c r="E95" s="9">
        <v>630</v>
      </c>
      <c r="F95" s="9">
        <f t="shared" si="104"/>
        <v>1</v>
      </c>
      <c r="G95" s="9">
        <v>8</v>
      </c>
      <c r="H95" s="9">
        <f t="shared" si="105"/>
        <v>1</v>
      </c>
      <c r="I95" s="13">
        <v>1</v>
      </c>
      <c r="J95" s="113" t="str">
        <f t="shared" si="125"/>
        <v>カラビナ付きぬいぐるみファスナーマスコット</v>
      </c>
      <c r="K95" s="34">
        <f t="shared" si="126"/>
        <v>0</v>
      </c>
      <c r="L95" s="9">
        <f t="shared" si="106"/>
        <v>0</v>
      </c>
      <c r="M95" s="10">
        <f t="shared" si="107"/>
        <v>0</v>
      </c>
      <c r="N95" s="11"/>
      <c r="P95" s="71"/>
      <c r="Q95" s="38">
        <v>15594</v>
      </c>
      <c r="R95" s="9">
        <f t="shared" si="108"/>
        <v>66</v>
      </c>
      <c r="S95" s="9">
        <v>983</v>
      </c>
      <c r="T95" s="9">
        <f t="shared" si="109"/>
        <v>2</v>
      </c>
      <c r="U95" s="9">
        <v>17</v>
      </c>
      <c r="V95" s="9">
        <f t="shared" si="110"/>
        <v>3</v>
      </c>
      <c r="W95" s="13">
        <v>3</v>
      </c>
      <c r="X95" s="113" t="str">
        <f t="shared" si="130"/>
        <v>フルーツスクイーズ</v>
      </c>
      <c r="Y95" s="34">
        <f t="shared" si="131"/>
        <v>200</v>
      </c>
      <c r="Z95" s="9">
        <f t="shared" si="112"/>
        <v>600</v>
      </c>
      <c r="AA95" s="10">
        <f t="shared" si="113"/>
        <v>9.0909090909090912E-2</v>
      </c>
      <c r="AB95" s="11"/>
      <c r="AD95" s="71"/>
      <c r="AE95" s="38">
        <v>15285</v>
      </c>
      <c r="AF95" s="9">
        <f t="shared" si="114"/>
        <v>26</v>
      </c>
      <c r="AG95" s="9">
        <v>2423</v>
      </c>
      <c r="AH95" s="9">
        <f t="shared" si="115"/>
        <v>4</v>
      </c>
      <c r="AI95" s="9">
        <v>20</v>
      </c>
      <c r="AJ95" s="9">
        <f t="shared" si="116"/>
        <v>1</v>
      </c>
      <c r="AK95" s="13">
        <v>3</v>
      </c>
      <c r="AL95" s="113" t="str">
        <f>IF(AE95="","",AL91)</f>
        <v>かえるがま口</v>
      </c>
      <c r="AM95" s="34">
        <f>IF(AF95="","",AM91)</f>
        <v>300</v>
      </c>
      <c r="AN95" s="9">
        <f t="shared" si="117"/>
        <v>300</v>
      </c>
      <c r="AO95" s="10">
        <f t="shared" si="118"/>
        <v>0.11538461538461539</v>
      </c>
      <c r="AP95" s="11"/>
      <c r="AR95" s="71"/>
      <c r="AS95" s="38">
        <v>13309</v>
      </c>
      <c r="AT95" s="9">
        <f t="shared" si="119"/>
        <v>37</v>
      </c>
      <c r="AU95" s="9">
        <v>775</v>
      </c>
      <c r="AV95" s="9">
        <f t="shared" si="120"/>
        <v>1</v>
      </c>
      <c r="AW95" s="9">
        <v>60</v>
      </c>
      <c r="AX95" s="9">
        <f t="shared" si="121"/>
        <v>1</v>
      </c>
      <c r="AY95" s="13">
        <v>0</v>
      </c>
      <c r="AZ95" s="113" t="str">
        <f>IF(AS95="","",AZ91)</f>
        <v>ふわもちミニスクイーズ</v>
      </c>
      <c r="BA95" s="34">
        <f t="shared" si="129"/>
        <v>99</v>
      </c>
      <c r="BB95" s="9">
        <f t="shared" si="122"/>
        <v>99</v>
      </c>
      <c r="BC95" s="10">
        <f t="shared" si="123"/>
        <v>2.6756756756756758E-2</v>
      </c>
      <c r="BD95" s="11"/>
      <c r="BF95" s="97" t="str">
        <f>IF($A95="","",$A95)</f>
        <v/>
      </c>
      <c r="BG95" s="9"/>
      <c r="BH95" s="9" t="str">
        <f>IF(BG95="","",BG95-#REF!)</f>
        <v/>
      </c>
      <c r="BI95" s="9"/>
      <c r="BJ95" s="9" t="str">
        <f>IF(BI95="","",BI95-#REF!)</f>
        <v/>
      </c>
      <c r="BK95" s="9"/>
      <c r="BL95" s="9" t="str">
        <f>IF(BK95="","",#REF!+#REF!-BK95)</f>
        <v/>
      </c>
      <c r="BM95" s="9"/>
      <c r="BN95" s="126" t="str">
        <f t="shared" si="99"/>
        <v/>
      </c>
      <c r="BO95" s="33" t="str">
        <f>IF(BG95="","",#REF!)</f>
        <v/>
      </c>
      <c r="BP95" s="9" t="str">
        <f t="shared" si="132"/>
        <v/>
      </c>
      <c r="BQ95" s="10" t="str">
        <f t="shared" si="133"/>
        <v/>
      </c>
      <c r="BR95" s="11"/>
    </row>
    <row r="96" spans="1:70" ht="15" customHeight="1" thickBot="1" x14ac:dyDescent="0.25">
      <c r="A96" s="75"/>
      <c r="B96" s="67"/>
      <c r="C96" s="36">
        <v>13910</v>
      </c>
      <c r="D96" s="37">
        <f t="shared" si="103"/>
        <v>49</v>
      </c>
      <c r="E96" s="17">
        <v>1247</v>
      </c>
      <c r="F96" s="17">
        <f t="shared" si="104"/>
        <v>0</v>
      </c>
      <c r="G96" s="17">
        <v>15</v>
      </c>
      <c r="H96" s="17">
        <f t="shared" si="105"/>
        <v>0</v>
      </c>
      <c r="I96" s="29">
        <v>0</v>
      </c>
      <c r="J96" s="114" t="str">
        <f t="shared" si="125"/>
        <v>バタースクイーズ</v>
      </c>
      <c r="K96" s="37">
        <f t="shared" si="126"/>
        <v>250</v>
      </c>
      <c r="L96" s="17">
        <f t="shared" si="106"/>
        <v>0</v>
      </c>
      <c r="M96" s="18">
        <f t="shared" si="107"/>
        <v>0</v>
      </c>
      <c r="N96" s="11"/>
      <c r="P96" s="75"/>
      <c r="Q96" s="36">
        <v>13329</v>
      </c>
      <c r="R96" s="37">
        <f t="shared" si="108"/>
        <v>89</v>
      </c>
      <c r="S96" s="17">
        <v>1095</v>
      </c>
      <c r="T96" s="17">
        <f t="shared" si="109"/>
        <v>2</v>
      </c>
      <c r="U96" s="17">
        <v>6</v>
      </c>
      <c r="V96" s="17">
        <f t="shared" si="110"/>
        <v>2</v>
      </c>
      <c r="W96" s="29">
        <v>3</v>
      </c>
      <c r="X96" s="114" t="str">
        <f t="shared" si="130"/>
        <v>たまごっちブロックシール</v>
      </c>
      <c r="Y96" s="37">
        <f t="shared" si="131"/>
        <v>648</v>
      </c>
      <c r="Z96" s="17">
        <f t="shared" si="112"/>
        <v>1296</v>
      </c>
      <c r="AA96" s="18">
        <f t="shared" si="113"/>
        <v>0.14561797752808989</v>
      </c>
      <c r="AB96" s="11"/>
      <c r="AD96" s="75"/>
      <c r="AE96" s="36">
        <v>15626</v>
      </c>
      <c r="AF96" s="37">
        <f t="shared" si="114"/>
        <v>25</v>
      </c>
      <c r="AG96" s="17">
        <v>1555</v>
      </c>
      <c r="AH96" s="17">
        <f t="shared" si="115"/>
        <v>0</v>
      </c>
      <c r="AI96" s="17">
        <v>15</v>
      </c>
      <c r="AJ96" s="17">
        <f t="shared" si="116"/>
        <v>4</v>
      </c>
      <c r="AK96" s="29">
        <v>0</v>
      </c>
      <c r="AL96" s="114" t="str">
        <f>IF(AE96="","",AL92)</f>
        <v>しばこ</v>
      </c>
      <c r="AM96" s="37">
        <f>IF(AF96="","",AM92)</f>
        <v>350</v>
      </c>
      <c r="AN96" s="17">
        <f t="shared" si="117"/>
        <v>1400</v>
      </c>
      <c r="AO96" s="18">
        <f t="shared" si="118"/>
        <v>0.56000000000000005</v>
      </c>
      <c r="AP96" s="11"/>
      <c r="AR96" s="75"/>
      <c r="AS96" s="36">
        <v>11095</v>
      </c>
      <c r="AT96" s="37">
        <f t="shared" si="119"/>
        <v>4</v>
      </c>
      <c r="AU96" s="17">
        <v>812</v>
      </c>
      <c r="AV96" s="17">
        <f t="shared" si="120"/>
        <v>0</v>
      </c>
      <c r="AW96" s="17">
        <v>12</v>
      </c>
      <c r="AX96" s="17">
        <f t="shared" si="121"/>
        <v>0</v>
      </c>
      <c r="AY96" s="29">
        <v>-5</v>
      </c>
      <c r="AZ96" s="114" t="str">
        <f>IF(AS96="","",AZ92)</f>
        <v>アンパンマン指人形</v>
      </c>
      <c r="BA96" s="37">
        <f t="shared" si="129"/>
        <v>330</v>
      </c>
      <c r="BB96" s="17">
        <f t="shared" si="122"/>
        <v>0</v>
      </c>
      <c r="BC96" s="18">
        <f t="shared" si="123"/>
        <v>0</v>
      </c>
      <c r="BD96" s="11" t="s">
        <v>243</v>
      </c>
      <c r="BF96" s="97" t="str">
        <f>IF($A96="","",$A96)</f>
        <v/>
      </c>
      <c r="BG96" s="9"/>
      <c r="BH96" s="9" t="str">
        <f>IF(BG96="","",BG96-BG95)</f>
        <v/>
      </c>
      <c r="BI96" s="9"/>
      <c r="BJ96" s="9" t="str">
        <f>IF(BI96="","",BI96-BI95)</f>
        <v/>
      </c>
      <c r="BK96" s="9"/>
      <c r="BL96" s="9" t="str">
        <f>IF(BK96="","",BK95+BM95-BK96)</f>
        <v/>
      </c>
      <c r="BM96" s="9"/>
      <c r="BN96" s="126" t="str">
        <f t="shared" si="99"/>
        <v/>
      </c>
      <c r="BO96" s="33" t="str">
        <f>IF(BG96="","",BO95)</f>
        <v/>
      </c>
      <c r="BP96" s="9" t="str">
        <f t="shared" si="132"/>
        <v/>
      </c>
      <c r="BQ96" s="10" t="str">
        <f t="shared" si="133"/>
        <v/>
      </c>
      <c r="BR96" s="11"/>
    </row>
    <row r="97" spans="1:70" ht="15" customHeight="1" thickTop="1" x14ac:dyDescent="0.2">
      <c r="A97" s="71">
        <v>46150</v>
      </c>
      <c r="B97" s="61">
        <f>SUM(D97:D100)+SUM(R97:R100)+SUM(AF97:AF100)+SUM(AT97:AT100)+SUM(BH82)</f>
        <v>1075</v>
      </c>
      <c r="C97" s="33">
        <v>16037</v>
      </c>
      <c r="D97" s="33">
        <f t="shared" si="103"/>
        <v>175</v>
      </c>
      <c r="E97" s="33">
        <v>1129</v>
      </c>
      <c r="F97" s="20">
        <f t="shared" si="104"/>
        <v>3</v>
      </c>
      <c r="G97" s="33">
        <v>12</v>
      </c>
      <c r="H97" s="33">
        <f t="shared" si="105"/>
        <v>1</v>
      </c>
      <c r="I97" s="43"/>
      <c r="J97" s="112" t="str">
        <f t="shared" si="125"/>
        <v>モンチッチマスコット</v>
      </c>
      <c r="K97" s="40">
        <f t="shared" si="126"/>
        <v>572</v>
      </c>
      <c r="L97" s="20">
        <f t="shared" si="106"/>
        <v>572</v>
      </c>
      <c r="M97" s="21">
        <f t="shared" si="107"/>
        <v>3.2685714285714283E-2</v>
      </c>
      <c r="N97" s="11"/>
      <c r="P97" s="76">
        <f>IF($A97="","",$A97)</f>
        <v>46150</v>
      </c>
      <c r="Q97" s="33">
        <v>15884</v>
      </c>
      <c r="R97" s="33">
        <f t="shared" si="108"/>
        <v>76</v>
      </c>
      <c r="S97" s="33">
        <v>1459</v>
      </c>
      <c r="T97" s="20">
        <f t="shared" si="109"/>
        <v>4</v>
      </c>
      <c r="U97" s="33">
        <v>4</v>
      </c>
      <c r="V97" s="33">
        <f t="shared" si="110"/>
        <v>4</v>
      </c>
      <c r="W97" s="43">
        <v>2</v>
      </c>
      <c r="X97" s="112" t="str">
        <f t="shared" si="130"/>
        <v>マリオカートマスコット</v>
      </c>
      <c r="Y97" s="40">
        <f t="shared" si="131"/>
        <v>792</v>
      </c>
      <c r="Z97" s="20">
        <f t="shared" si="112"/>
        <v>3168</v>
      </c>
      <c r="AA97" s="21">
        <f t="shared" si="113"/>
        <v>0.4168421052631579</v>
      </c>
      <c r="AB97" s="11" t="s">
        <v>245</v>
      </c>
      <c r="AD97" s="76">
        <f>IF($A97="","",$A97)</f>
        <v>46150</v>
      </c>
      <c r="AE97" s="33">
        <v>12701</v>
      </c>
      <c r="AF97" s="33">
        <f t="shared" si="114"/>
        <v>56</v>
      </c>
      <c r="AG97" s="33">
        <v>920</v>
      </c>
      <c r="AH97" s="20">
        <f t="shared" si="115"/>
        <v>4</v>
      </c>
      <c r="AI97" s="33">
        <v>5</v>
      </c>
      <c r="AJ97" s="33">
        <f t="shared" si="116"/>
        <v>5</v>
      </c>
      <c r="AK97" s="43"/>
      <c r="AL97" s="112" t="s">
        <v>246</v>
      </c>
      <c r="AM97" s="40">
        <v>1100</v>
      </c>
      <c r="AN97" s="20">
        <f t="shared" si="117"/>
        <v>5500</v>
      </c>
      <c r="AO97" s="21">
        <f t="shared" si="118"/>
        <v>0.9821428571428571</v>
      </c>
      <c r="AP97" s="11" t="s">
        <v>252</v>
      </c>
      <c r="AR97" s="76">
        <f>IF($A97="","",$A97)</f>
        <v>46150</v>
      </c>
      <c r="AS97" s="33">
        <v>10084</v>
      </c>
      <c r="AT97" s="33">
        <f t="shared" si="119"/>
        <v>119</v>
      </c>
      <c r="AU97" s="33">
        <v>538</v>
      </c>
      <c r="AV97" s="20">
        <f t="shared" si="120"/>
        <v>2</v>
      </c>
      <c r="AW97" s="33">
        <v>10</v>
      </c>
      <c r="AX97" s="33">
        <f t="shared" si="121"/>
        <v>2</v>
      </c>
      <c r="AY97" s="43">
        <v>1</v>
      </c>
      <c r="AZ97" s="112" t="str">
        <f>IF(AS97="","",AZ93)</f>
        <v>サンリオカラビナ付きミニファン</v>
      </c>
      <c r="BA97" s="40">
        <f t="shared" si="129"/>
        <v>1100</v>
      </c>
      <c r="BB97" s="20">
        <f t="shared" si="122"/>
        <v>2200</v>
      </c>
      <c r="BC97" s="21">
        <f t="shared" si="123"/>
        <v>0.18487394957983194</v>
      </c>
      <c r="BD97" s="11"/>
      <c r="BF97" s="97"/>
      <c r="BG97" s="9"/>
      <c r="BH97" s="9" t="str">
        <f>IF(BG97="","",BG97-BG96)</f>
        <v/>
      </c>
      <c r="BI97" s="9"/>
      <c r="BJ97" s="9" t="str">
        <f>IF(BI97="","",BI97-BI96)</f>
        <v/>
      </c>
      <c r="BK97" s="9"/>
      <c r="BL97" s="9" t="str">
        <f>IF(BK97="","",BK96+BM96-BK97)</f>
        <v/>
      </c>
      <c r="BM97" s="9"/>
      <c r="BN97" s="126" t="str">
        <f t="shared" si="99"/>
        <v/>
      </c>
      <c r="BO97" s="33" t="str">
        <f>IF(BG97="","",BO96)</f>
        <v/>
      </c>
      <c r="BP97" s="9" t="str">
        <f t="shared" si="132"/>
        <v/>
      </c>
      <c r="BQ97" s="10" t="str">
        <f t="shared" si="133"/>
        <v/>
      </c>
      <c r="BR97" s="11"/>
    </row>
    <row r="98" spans="1:70" ht="15" customHeight="1" x14ac:dyDescent="0.2">
      <c r="A98" s="72"/>
      <c r="B98" s="8"/>
      <c r="C98" s="9">
        <v>20129</v>
      </c>
      <c r="D98" s="9">
        <f t="shared" si="103"/>
        <v>88</v>
      </c>
      <c r="E98" s="9">
        <v>652</v>
      </c>
      <c r="F98" s="9">
        <f t="shared" si="104"/>
        <v>4</v>
      </c>
      <c r="G98" s="9">
        <v>33</v>
      </c>
      <c r="H98" s="9">
        <f t="shared" si="105"/>
        <v>4</v>
      </c>
      <c r="I98" s="13"/>
      <c r="J98" s="113" t="str">
        <f t="shared" si="125"/>
        <v>電ブル</v>
      </c>
      <c r="K98" s="34">
        <f t="shared" si="126"/>
        <v>275</v>
      </c>
      <c r="L98" s="9">
        <f t="shared" si="106"/>
        <v>1100</v>
      </c>
      <c r="M98" s="10">
        <f t="shared" si="107"/>
        <v>0.125</v>
      </c>
      <c r="N98" s="11"/>
      <c r="P98" s="72"/>
      <c r="Q98" s="9">
        <v>15013</v>
      </c>
      <c r="R98" s="9">
        <f t="shared" si="108"/>
        <v>35</v>
      </c>
      <c r="S98" s="9">
        <v>507</v>
      </c>
      <c r="T98" s="9">
        <f t="shared" si="109"/>
        <v>2</v>
      </c>
      <c r="U98" s="9">
        <v>7</v>
      </c>
      <c r="V98" s="9">
        <f t="shared" si="110"/>
        <v>2</v>
      </c>
      <c r="W98" s="13">
        <v>2</v>
      </c>
      <c r="X98" s="113" t="str">
        <f t="shared" si="130"/>
        <v>パンケーキスクイーズ</v>
      </c>
      <c r="Y98" s="34">
        <f t="shared" si="131"/>
        <v>181</v>
      </c>
      <c r="Z98" s="9">
        <f t="shared" si="112"/>
        <v>362</v>
      </c>
      <c r="AA98" s="10">
        <f t="shared" si="113"/>
        <v>0.10342857142857143</v>
      </c>
      <c r="AB98" s="11"/>
      <c r="AD98" s="72"/>
      <c r="AE98" s="9">
        <v>13213</v>
      </c>
      <c r="AF98" s="9">
        <f t="shared" si="114"/>
        <v>45</v>
      </c>
      <c r="AG98" s="9">
        <v>809</v>
      </c>
      <c r="AH98" s="9">
        <f t="shared" si="115"/>
        <v>0</v>
      </c>
      <c r="AI98" s="9">
        <v>20</v>
      </c>
      <c r="AJ98" s="9">
        <f t="shared" si="116"/>
        <v>0</v>
      </c>
      <c r="AK98" s="13">
        <v>0</v>
      </c>
      <c r="AL98" s="113" t="str">
        <f t="shared" ref="AL98:AL132" si="134">IF(AE98="","",AL94)</f>
        <v>トイストーリー・ディズニーベアブリック</v>
      </c>
      <c r="AM98" s="34">
        <f t="shared" ref="AM98:AM132" si="135">IF(AF98="","",AM94)</f>
        <v>748</v>
      </c>
      <c r="AN98" s="9">
        <f t="shared" si="117"/>
        <v>0</v>
      </c>
      <c r="AO98" s="10">
        <f t="shared" si="118"/>
        <v>0</v>
      </c>
      <c r="AP98" s="11"/>
      <c r="AR98" s="72"/>
      <c r="AS98" s="9">
        <v>11178</v>
      </c>
      <c r="AT98" s="9">
        <f t="shared" si="119"/>
        <v>6</v>
      </c>
      <c r="AU98" s="9">
        <v>559</v>
      </c>
      <c r="AV98" s="9">
        <f t="shared" si="120"/>
        <v>1</v>
      </c>
      <c r="AW98" s="9">
        <v>14</v>
      </c>
      <c r="AX98" s="9">
        <f t="shared" si="121"/>
        <v>1</v>
      </c>
      <c r="AY98" s="13">
        <v>-3</v>
      </c>
      <c r="AZ98" s="113" t="s">
        <v>249</v>
      </c>
      <c r="BA98" s="34">
        <v>170</v>
      </c>
      <c r="BB98" s="9">
        <f t="shared" si="122"/>
        <v>170</v>
      </c>
      <c r="BC98" s="10">
        <f t="shared" si="123"/>
        <v>0.28333333333333333</v>
      </c>
      <c r="BD98" s="11" t="s">
        <v>251</v>
      </c>
      <c r="BF98" s="7"/>
      <c r="BG98" s="34"/>
      <c r="BH98" s="9" t="str">
        <f>IF(BG98="","",BG98-BG97)</f>
        <v/>
      </c>
      <c r="BI98" s="9"/>
      <c r="BJ98" s="9" t="str">
        <f>IF(BI98="","",BI98-BI97)</f>
        <v/>
      </c>
      <c r="BK98" s="9"/>
      <c r="BL98" s="9" t="str">
        <f>IF(BK98="","",BK97+BM97-BK98)</f>
        <v/>
      </c>
      <c r="BM98" s="9"/>
      <c r="BN98" s="126" t="str">
        <f t="shared" si="99"/>
        <v/>
      </c>
      <c r="BO98" s="9"/>
      <c r="BP98" s="9" t="str">
        <f t="shared" si="132"/>
        <v/>
      </c>
      <c r="BQ98" s="10" t="str">
        <f t="shared" si="133"/>
        <v/>
      </c>
      <c r="BR98" s="11"/>
    </row>
    <row r="99" spans="1:70" ht="15" customHeight="1" x14ac:dyDescent="0.2">
      <c r="A99" s="72"/>
      <c r="B99" s="66"/>
      <c r="C99" s="23">
        <v>18526</v>
      </c>
      <c r="D99" s="9">
        <f t="shared" si="103"/>
        <v>51</v>
      </c>
      <c r="E99" s="9">
        <v>630</v>
      </c>
      <c r="F99" s="9">
        <f t="shared" si="104"/>
        <v>0</v>
      </c>
      <c r="G99" s="23">
        <v>9</v>
      </c>
      <c r="H99" s="9">
        <f t="shared" si="105"/>
        <v>0</v>
      </c>
      <c r="I99" s="30"/>
      <c r="J99" s="113" t="str">
        <f t="shared" si="125"/>
        <v>カラビナ付きぬいぐるみファスナーマスコット</v>
      </c>
      <c r="K99" s="9">
        <f t="shared" si="126"/>
        <v>0</v>
      </c>
      <c r="L99" s="9">
        <f t="shared" si="106"/>
        <v>0</v>
      </c>
      <c r="M99" s="10">
        <f t="shared" si="107"/>
        <v>0</v>
      </c>
      <c r="N99" s="11"/>
      <c r="P99" s="72"/>
      <c r="Q99" s="23">
        <v>15636</v>
      </c>
      <c r="R99" s="9">
        <f t="shared" si="108"/>
        <v>42</v>
      </c>
      <c r="S99" s="9">
        <v>985</v>
      </c>
      <c r="T99" s="9">
        <f t="shared" si="109"/>
        <v>2</v>
      </c>
      <c r="U99" s="23">
        <v>18</v>
      </c>
      <c r="V99" s="9">
        <f t="shared" si="110"/>
        <v>2</v>
      </c>
      <c r="W99" s="30">
        <v>2</v>
      </c>
      <c r="X99" s="113" t="str">
        <f t="shared" si="130"/>
        <v>フルーツスクイーズ</v>
      </c>
      <c r="Y99" s="9">
        <f t="shared" si="131"/>
        <v>200</v>
      </c>
      <c r="Z99" s="9">
        <f t="shared" si="112"/>
        <v>400</v>
      </c>
      <c r="AA99" s="10">
        <f t="shared" si="113"/>
        <v>9.5238095238095233E-2</v>
      </c>
      <c r="AB99" s="11"/>
      <c r="AD99" s="72"/>
      <c r="AE99" s="23">
        <v>15316</v>
      </c>
      <c r="AF99" s="9">
        <f t="shared" si="114"/>
        <v>31</v>
      </c>
      <c r="AG99" s="9">
        <v>2429</v>
      </c>
      <c r="AH99" s="9">
        <f t="shared" si="115"/>
        <v>6</v>
      </c>
      <c r="AI99" s="23">
        <v>19</v>
      </c>
      <c r="AJ99" s="9">
        <f t="shared" si="116"/>
        <v>4</v>
      </c>
      <c r="AK99" s="30">
        <v>6</v>
      </c>
      <c r="AL99" s="113" t="str">
        <f t="shared" si="134"/>
        <v>かえるがま口</v>
      </c>
      <c r="AM99" s="9">
        <f t="shared" si="135"/>
        <v>300</v>
      </c>
      <c r="AN99" s="9">
        <f t="shared" si="117"/>
        <v>1200</v>
      </c>
      <c r="AO99" s="10">
        <f t="shared" si="118"/>
        <v>0.38709677419354838</v>
      </c>
      <c r="AP99" s="11"/>
      <c r="AR99" s="72"/>
      <c r="AS99" s="23">
        <v>13336</v>
      </c>
      <c r="AT99" s="9">
        <f t="shared" si="119"/>
        <v>27</v>
      </c>
      <c r="AU99" s="9">
        <v>776</v>
      </c>
      <c r="AV99" s="9">
        <f t="shared" si="120"/>
        <v>1</v>
      </c>
      <c r="AW99" s="23">
        <v>59</v>
      </c>
      <c r="AX99" s="9">
        <f t="shared" si="121"/>
        <v>1</v>
      </c>
      <c r="AY99" s="30">
        <v>0</v>
      </c>
      <c r="AZ99" s="113" t="str">
        <f>IF(AS99="","",AZ95)</f>
        <v>ふわもちミニスクイーズ</v>
      </c>
      <c r="BA99" s="9">
        <f>IF(AT99="","",BA95)</f>
        <v>99</v>
      </c>
      <c r="BB99" s="9">
        <f t="shared" si="122"/>
        <v>99</v>
      </c>
      <c r="BC99" s="10">
        <f t="shared" si="123"/>
        <v>3.6666666666666667E-2</v>
      </c>
      <c r="BD99" s="11"/>
      <c r="BF99" s="7"/>
      <c r="BG99" s="34"/>
      <c r="BH99" s="9" t="str">
        <f>IF(BG99="","",BG99-BG98)</f>
        <v/>
      </c>
      <c r="BI99" s="9"/>
      <c r="BJ99" s="9" t="str">
        <f>IF(BI99="","",BI99-BI98)</f>
        <v/>
      </c>
      <c r="BK99" s="9"/>
      <c r="BL99" s="9" t="str">
        <f>IF(BK99="","",BK98+BM98-BK99)</f>
        <v/>
      </c>
      <c r="BM99" s="9"/>
      <c r="BN99" s="126" t="str">
        <f t="shared" si="99"/>
        <v/>
      </c>
      <c r="BO99" s="9"/>
      <c r="BP99" s="9" t="str">
        <f t="shared" si="132"/>
        <v/>
      </c>
      <c r="BQ99" s="10" t="str">
        <f t="shared" si="133"/>
        <v/>
      </c>
      <c r="BR99" s="11"/>
    </row>
    <row r="100" spans="1:70" ht="15" customHeight="1" thickBot="1" x14ac:dyDescent="0.25">
      <c r="A100" s="75"/>
      <c r="B100" s="67"/>
      <c r="C100" s="17">
        <v>13971</v>
      </c>
      <c r="D100" s="37">
        <f t="shared" si="103"/>
        <v>61</v>
      </c>
      <c r="E100" s="17">
        <v>1247</v>
      </c>
      <c r="F100" s="17">
        <f t="shared" si="104"/>
        <v>0</v>
      </c>
      <c r="G100" s="17">
        <v>15</v>
      </c>
      <c r="H100" s="17">
        <f t="shared" si="105"/>
        <v>0</v>
      </c>
      <c r="I100" s="29"/>
      <c r="J100" s="114" t="str">
        <f t="shared" si="125"/>
        <v>バタースクイーズ</v>
      </c>
      <c r="K100" s="37">
        <f t="shared" si="126"/>
        <v>250</v>
      </c>
      <c r="L100" s="17">
        <f t="shared" si="106"/>
        <v>0</v>
      </c>
      <c r="M100" s="18">
        <f t="shared" si="107"/>
        <v>0</v>
      </c>
      <c r="N100" s="11"/>
      <c r="P100" s="75"/>
      <c r="Q100" s="17">
        <v>13393</v>
      </c>
      <c r="R100" s="37">
        <f t="shared" si="108"/>
        <v>64</v>
      </c>
      <c r="S100" s="17">
        <v>1095</v>
      </c>
      <c r="T100" s="17">
        <f t="shared" si="109"/>
        <v>0</v>
      </c>
      <c r="U100" s="17">
        <v>9</v>
      </c>
      <c r="V100" s="17">
        <f t="shared" si="110"/>
        <v>0</v>
      </c>
      <c r="W100" s="29">
        <v>0</v>
      </c>
      <c r="X100" s="114" t="str">
        <f t="shared" si="130"/>
        <v>たまごっちブロックシール</v>
      </c>
      <c r="Y100" s="37">
        <f t="shared" si="131"/>
        <v>648</v>
      </c>
      <c r="Z100" s="17">
        <f t="shared" si="112"/>
        <v>0</v>
      </c>
      <c r="AA100" s="18">
        <f t="shared" si="113"/>
        <v>0</v>
      </c>
      <c r="AB100" s="11"/>
      <c r="AD100" s="75"/>
      <c r="AE100" s="17">
        <v>15654</v>
      </c>
      <c r="AF100" s="37">
        <f t="shared" si="114"/>
        <v>28</v>
      </c>
      <c r="AG100" s="17">
        <v>1556</v>
      </c>
      <c r="AH100" s="17">
        <f t="shared" si="115"/>
        <v>1</v>
      </c>
      <c r="AI100" s="17">
        <v>19</v>
      </c>
      <c r="AJ100" s="17">
        <f t="shared" si="116"/>
        <v>-4</v>
      </c>
      <c r="AK100" s="29">
        <v>0</v>
      </c>
      <c r="AL100" s="114" t="str">
        <f t="shared" si="134"/>
        <v>しばこ</v>
      </c>
      <c r="AM100" s="37">
        <f t="shared" si="135"/>
        <v>350</v>
      </c>
      <c r="AN100" s="17">
        <f t="shared" si="117"/>
        <v>-1400</v>
      </c>
      <c r="AO100" s="18">
        <f t="shared" si="118"/>
        <v>-0.5</v>
      </c>
      <c r="AP100" s="11"/>
      <c r="AR100" s="75"/>
      <c r="AS100" s="17">
        <v>11116</v>
      </c>
      <c r="AT100" s="37">
        <f t="shared" si="119"/>
        <v>21</v>
      </c>
      <c r="AU100" s="17">
        <v>816</v>
      </c>
      <c r="AV100" s="17">
        <f t="shared" si="120"/>
        <v>4</v>
      </c>
      <c r="AW100" s="17">
        <v>3</v>
      </c>
      <c r="AX100" s="17">
        <f t="shared" si="121"/>
        <v>4</v>
      </c>
      <c r="AY100" s="29">
        <v>3</v>
      </c>
      <c r="AZ100" s="114" t="s">
        <v>247</v>
      </c>
      <c r="BA100" s="37">
        <v>640</v>
      </c>
      <c r="BB100" s="17">
        <f t="shared" si="122"/>
        <v>2560</v>
      </c>
      <c r="BC100" s="18">
        <f t="shared" si="123"/>
        <v>1.2190476190476192</v>
      </c>
      <c r="BD100" s="11" t="s">
        <v>248</v>
      </c>
      <c r="BF100" s="7"/>
      <c r="BG100" s="34"/>
      <c r="BH100" s="9" t="str">
        <f>IF(BG100="","",BG100-BG99)</f>
        <v/>
      </c>
      <c r="BI100" s="9"/>
      <c r="BJ100" s="9"/>
      <c r="BK100" s="9"/>
      <c r="BL100" s="9" t="str">
        <f>IF(BK100="","",BK99+BM99-BK100)</f>
        <v/>
      </c>
      <c r="BM100" s="9"/>
      <c r="BN100" s="126" t="str">
        <f t="shared" si="99"/>
        <v/>
      </c>
      <c r="BO100" s="9"/>
      <c r="BP100" s="9" t="str">
        <f t="shared" si="132"/>
        <v/>
      </c>
      <c r="BQ100" s="10" t="str">
        <f t="shared" si="133"/>
        <v/>
      </c>
      <c r="BR100" s="11"/>
    </row>
    <row r="101" spans="1:70" ht="15" customHeight="1" thickTop="1" x14ac:dyDescent="0.2">
      <c r="A101" s="71">
        <v>46153</v>
      </c>
      <c r="B101" s="61">
        <f>SUM(D101:D104)+SUM(R101:R104)+SUM(AF101:AF104)+SUM(AT101:AT104)+SUM(BH83)</f>
        <v>732</v>
      </c>
      <c r="C101" s="33">
        <v>16056</v>
      </c>
      <c r="D101" s="33">
        <f t="shared" si="103"/>
        <v>19</v>
      </c>
      <c r="E101" s="33">
        <v>1130</v>
      </c>
      <c r="F101" s="20">
        <f t="shared" si="104"/>
        <v>1</v>
      </c>
      <c r="G101" s="33">
        <v>11</v>
      </c>
      <c r="H101" s="33">
        <f t="shared" si="105"/>
        <v>1</v>
      </c>
      <c r="I101" s="43"/>
      <c r="J101" s="112" t="str">
        <f t="shared" si="125"/>
        <v>モンチッチマスコット</v>
      </c>
      <c r="K101" s="40">
        <f t="shared" si="126"/>
        <v>572</v>
      </c>
      <c r="L101" s="20">
        <f t="shared" si="106"/>
        <v>572</v>
      </c>
      <c r="M101" s="21">
        <f t="shared" si="107"/>
        <v>0.30105263157894735</v>
      </c>
      <c r="N101" s="11" t="s">
        <v>261</v>
      </c>
      <c r="P101" s="76">
        <f>IF($A101="","",$A101)</f>
        <v>46153</v>
      </c>
      <c r="Q101" s="33">
        <v>15987</v>
      </c>
      <c r="R101" s="33">
        <f t="shared" si="108"/>
        <v>103</v>
      </c>
      <c r="S101" s="33">
        <v>1461</v>
      </c>
      <c r="T101" s="20">
        <f t="shared" si="109"/>
        <v>2</v>
      </c>
      <c r="U101" s="33">
        <v>4</v>
      </c>
      <c r="V101" s="33">
        <f t="shared" si="110"/>
        <v>2</v>
      </c>
      <c r="W101" s="43">
        <v>2</v>
      </c>
      <c r="X101" s="112" t="str">
        <f t="shared" si="130"/>
        <v>マリオカートマスコット</v>
      </c>
      <c r="Y101" s="40">
        <f t="shared" si="131"/>
        <v>792</v>
      </c>
      <c r="Z101" s="20">
        <f t="shared" si="112"/>
        <v>1584</v>
      </c>
      <c r="AA101" s="21">
        <f t="shared" si="113"/>
        <v>0.15378640776699029</v>
      </c>
      <c r="AB101" s="11" t="s">
        <v>263</v>
      </c>
      <c r="AD101" s="76">
        <f>IF($A101="","",$A101)</f>
        <v>46153</v>
      </c>
      <c r="AE101" s="33">
        <v>12742</v>
      </c>
      <c r="AF101" s="33">
        <f t="shared" si="114"/>
        <v>41</v>
      </c>
      <c r="AG101" s="33">
        <v>920</v>
      </c>
      <c r="AH101" s="20">
        <f t="shared" si="115"/>
        <v>0</v>
      </c>
      <c r="AI101" s="33">
        <v>3</v>
      </c>
      <c r="AJ101" s="33">
        <f t="shared" si="116"/>
        <v>2</v>
      </c>
      <c r="AK101" s="43">
        <v>4</v>
      </c>
      <c r="AL101" s="112" t="str">
        <f t="shared" si="134"/>
        <v>ジャグラーDXボタン</v>
      </c>
      <c r="AM101" s="40">
        <f t="shared" si="135"/>
        <v>1100</v>
      </c>
      <c r="AN101" s="20">
        <f t="shared" si="117"/>
        <v>2200</v>
      </c>
      <c r="AO101" s="21">
        <f t="shared" si="118"/>
        <v>0.53658536585365857</v>
      </c>
      <c r="AP101" s="11" t="s">
        <v>253</v>
      </c>
      <c r="AR101" s="76">
        <f>IF($A101="","",$A101)</f>
        <v>46153</v>
      </c>
      <c r="AS101" s="33">
        <v>10116</v>
      </c>
      <c r="AT101" s="33">
        <f t="shared" si="119"/>
        <v>32</v>
      </c>
      <c r="AU101" s="33">
        <v>541</v>
      </c>
      <c r="AV101" s="20">
        <f t="shared" si="120"/>
        <v>3</v>
      </c>
      <c r="AW101" s="33">
        <v>7</v>
      </c>
      <c r="AX101" s="33">
        <f t="shared" si="121"/>
        <v>4</v>
      </c>
      <c r="AY101" s="43"/>
      <c r="AZ101" s="112" t="str">
        <f t="shared" ref="AZ101:AZ132" si="136">IF(AS101="","",AZ97)</f>
        <v>サンリオカラビナ付きミニファン</v>
      </c>
      <c r="BA101" s="40">
        <f t="shared" ref="BA101:BA132" si="137">IF(AT101="","",BA97)</f>
        <v>1100</v>
      </c>
      <c r="BB101" s="20">
        <f t="shared" si="122"/>
        <v>4400</v>
      </c>
      <c r="BC101" s="21">
        <f t="shared" si="123"/>
        <v>1.375</v>
      </c>
      <c r="BD101" s="11"/>
      <c r="BF101" s="7"/>
      <c r="BG101" s="9"/>
      <c r="BH101" s="9" t="str">
        <f>IF(BG101="","",BG101-BG102)</f>
        <v/>
      </c>
      <c r="BI101" s="9"/>
      <c r="BJ101" s="9" t="str">
        <f>IF(BI101="","",BI101-BI102)</f>
        <v/>
      </c>
      <c r="BK101" s="9"/>
      <c r="BL101" s="9" t="str">
        <f>IF(BK101="","",BK102+BM102-BK101)</f>
        <v/>
      </c>
      <c r="BM101" s="9"/>
      <c r="BN101" s="126" t="str">
        <f t="shared" si="99"/>
        <v/>
      </c>
      <c r="BO101" s="9"/>
      <c r="BP101" s="9" t="str">
        <f t="shared" si="132"/>
        <v/>
      </c>
      <c r="BQ101" s="10" t="str">
        <f t="shared" si="133"/>
        <v/>
      </c>
      <c r="BR101" s="11"/>
    </row>
    <row r="102" spans="1:70" ht="15" customHeight="1" x14ac:dyDescent="0.2">
      <c r="A102" s="71"/>
      <c r="B102" s="61"/>
      <c r="C102" s="33">
        <v>20160</v>
      </c>
      <c r="D102" s="9">
        <f t="shared" si="103"/>
        <v>31</v>
      </c>
      <c r="E102" s="9">
        <v>654</v>
      </c>
      <c r="F102" s="9">
        <f t="shared" si="104"/>
        <v>2</v>
      </c>
      <c r="G102" s="9">
        <v>31</v>
      </c>
      <c r="H102" s="9">
        <f t="shared" si="105"/>
        <v>2</v>
      </c>
      <c r="I102" s="13"/>
      <c r="J102" s="113" t="str">
        <f t="shared" si="125"/>
        <v>電ブル</v>
      </c>
      <c r="K102" s="34">
        <f t="shared" si="126"/>
        <v>275</v>
      </c>
      <c r="L102" s="9">
        <f t="shared" si="106"/>
        <v>550</v>
      </c>
      <c r="M102" s="10">
        <f t="shared" si="107"/>
        <v>0.17741935483870969</v>
      </c>
      <c r="N102" s="11" t="s">
        <v>262</v>
      </c>
      <c r="P102" s="71"/>
      <c r="Q102" s="33">
        <v>15039</v>
      </c>
      <c r="R102" s="9">
        <f t="shared" si="108"/>
        <v>26</v>
      </c>
      <c r="S102" s="9">
        <v>507</v>
      </c>
      <c r="T102" s="9">
        <f t="shared" si="109"/>
        <v>0</v>
      </c>
      <c r="U102" s="9">
        <v>9</v>
      </c>
      <c r="V102" s="9">
        <f t="shared" si="110"/>
        <v>0</v>
      </c>
      <c r="W102" s="13">
        <v>0</v>
      </c>
      <c r="X102" s="113" t="str">
        <f t="shared" si="130"/>
        <v>パンケーキスクイーズ</v>
      </c>
      <c r="Y102" s="34">
        <f t="shared" si="131"/>
        <v>181</v>
      </c>
      <c r="Z102" s="9">
        <f t="shared" si="112"/>
        <v>0</v>
      </c>
      <c r="AA102" s="10">
        <f t="shared" si="113"/>
        <v>0</v>
      </c>
      <c r="AB102" s="11" t="s">
        <v>264</v>
      </c>
      <c r="AD102" s="71"/>
      <c r="AE102" s="33">
        <v>13291</v>
      </c>
      <c r="AF102" s="9">
        <f t="shared" si="114"/>
        <v>78</v>
      </c>
      <c r="AG102" s="9">
        <v>811</v>
      </c>
      <c r="AH102" s="9">
        <f t="shared" si="115"/>
        <v>2</v>
      </c>
      <c r="AI102" s="9">
        <v>19</v>
      </c>
      <c r="AJ102" s="9">
        <f t="shared" si="116"/>
        <v>1</v>
      </c>
      <c r="AK102" s="13">
        <v>0</v>
      </c>
      <c r="AL102" s="113" t="str">
        <f t="shared" si="134"/>
        <v>トイストーリー・ディズニーベアブリック</v>
      </c>
      <c r="AM102" s="34">
        <f t="shared" si="135"/>
        <v>748</v>
      </c>
      <c r="AN102" s="9">
        <f t="shared" si="117"/>
        <v>748</v>
      </c>
      <c r="AO102" s="10">
        <f t="shared" si="118"/>
        <v>9.5897435897435893E-2</v>
      </c>
      <c r="AP102" s="11" t="s">
        <v>254</v>
      </c>
      <c r="AR102" s="71"/>
      <c r="AS102" s="33">
        <v>11217</v>
      </c>
      <c r="AT102" s="9">
        <f t="shared" si="119"/>
        <v>39</v>
      </c>
      <c r="AU102" s="9">
        <v>560</v>
      </c>
      <c r="AV102" s="9">
        <f t="shared" si="120"/>
        <v>1</v>
      </c>
      <c r="AW102" s="9">
        <v>10</v>
      </c>
      <c r="AX102" s="9">
        <f t="shared" si="121"/>
        <v>1</v>
      </c>
      <c r="AY102" s="13"/>
      <c r="AZ102" s="113" t="s">
        <v>272</v>
      </c>
      <c r="BA102" s="34">
        <f t="shared" si="137"/>
        <v>170</v>
      </c>
      <c r="BB102" s="9">
        <f t="shared" si="122"/>
        <v>170</v>
      </c>
      <c r="BC102" s="10">
        <f t="shared" si="123"/>
        <v>4.3589743589743588E-2</v>
      </c>
      <c r="BD102" s="11"/>
      <c r="BF102" s="7"/>
      <c r="BG102" s="9"/>
      <c r="BH102" s="9" t="str">
        <f>IF(BG102="","",BG102-BG100)</f>
        <v/>
      </c>
      <c r="BI102" s="9"/>
      <c r="BJ102" s="9" t="str">
        <f>IF(BI102="","",BI102-BI100)</f>
        <v/>
      </c>
      <c r="BK102" s="9"/>
      <c r="BL102" s="9" t="str">
        <f>IF(BK102="","",BK100+BM100-BK102)</f>
        <v/>
      </c>
      <c r="BM102" s="9"/>
      <c r="BN102" s="126" t="str">
        <f t="shared" si="99"/>
        <v/>
      </c>
      <c r="BO102" s="9"/>
      <c r="BP102" s="9" t="str">
        <f t="shared" si="132"/>
        <v/>
      </c>
      <c r="BQ102" s="10" t="str">
        <f t="shared" si="133"/>
        <v/>
      </c>
      <c r="BR102" s="11"/>
    </row>
    <row r="103" spans="1:70" ht="15" customHeight="1" x14ac:dyDescent="0.2">
      <c r="A103" s="72"/>
      <c r="B103" s="8"/>
      <c r="C103" s="38">
        <v>18551</v>
      </c>
      <c r="D103" s="9">
        <f t="shared" si="103"/>
        <v>25</v>
      </c>
      <c r="E103" s="9">
        <v>630</v>
      </c>
      <c r="F103" s="9">
        <f t="shared" si="104"/>
        <v>0</v>
      </c>
      <c r="G103" s="9">
        <v>9</v>
      </c>
      <c r="H103" s="9">
        <f t="shared" si="105"/>
        <v>0</v>
      </c>
      <c r="I103" s="13">
        <v>-6</v>
      </c>
      <c r="J103" s="113" t="str">
        <f t="shared" si="125"/>
        <v>カラビナ付きぬいぐるみファスナーマスコット</v>
      </c>
      <c r="K103" s="9">
        <f t="shared" si="126"/>
        <v>0</v>
      </c>
      <c r="L103" s="9">
        <f t="shared" si="106"/>
        <v>0</v>
      </c>
      <c r="M103" s="10">
        <f t="shared" si="107"/>
        <v>0</v>
      </c>
      <c r="N103" s="11" t="s">
        <v>260</v>
      </c>
      <c r="P103" s="72"/>
      <c r="Q103" s="38">
        <v>15687</v>
      </c>
      <c r="R103" s="9">
        <f t="shared" si="108"/>
        <v>51</v>
      </c>
      <c r="S103" s="9">
        <v>986</v>
      </c>
      <c r="T103" s="9">
        <f t="shared" si="109"/>
        <v>1</v>
      </c>
      <c r="U103" s="9">
        <v>19</v>
      </c>
      <c r="V103" s="9">
        <f t="shared" si="110"/>
        <v>1</v>
      </c>
      <c r="W103" s="13">
        <v>0</v>
      </c>
      <c r="X103" s="113" t="str">
        <f t="shared" si="130"/>
        <v>フルーツスクイーズ</v>
      </c>
      <c r="Y103" s="9">
        <f t="shared" si="131"/>
        <v>200</v>
      </c>
      <c r="Z103" s="9">
        <f t="shared" si="112"/>
        <v>200</v>
      </c>
      <c r="AA103" s="10">
        <f t="shared" si="113"/>
        <v>3.9215686274509803E-2</v>
      </c>
      <c r="AB103" s="11" t="s">
        <v>265</v>
      </c>
      <c r="AD103" s="72"/>
      <c r="AE103" s="38">
        <v>15350</v>
      </c>
      <c r="AF103" s="9">
        <f t="shared" si="114"/>
        <v>34</v>
      </c>
      <c r="AG103" s="9">
        <v>2433</v>
      </c>
      <c r="AH103" s="9">
        <f t="shared" si="115"/>
        <v>4</v>
      </c>
      <c r="AI103" s="9">
        <v>21</v>
      </c>
      <c r="AJ103" s="9">
        <f t="shared" si="116"/>
        <v>4</v>
      </c>
      <c r="AK103" s="13"/>
      <c r="AL103" s="113" t="str">
        <f t="shared" si="134"/>
        <v>かえるがま口</v>
      </c>
      <c r="AM103" s="9">
        <f t="shared" si="135"/>
        <v>300</v>
      </c>
      <c r="AN103" s="9">
        <f t="shared" si="117"/>
        <v>1200</v>
      </c>
      <c r="AO103" s="10">
        <f t="shared" si="118"/>
        <v>0.35294117647058826</v>
      </c>
      <c r="AP103" s="11" t="s">
        <v>256</v>
      </c>
      <c r="AR103" s="72"/>
      <c r="AS103" s="38">
        <v>13357</v>
      </c>
      <c r="AT103" s="9">
        <f t="shared" si="119"/>
        <v>21</v>
      </c>
      <c r="AU103" s="9">
        <v>777</v>
      </c>
      <c r="AV103" s="9">
        <f t="shared" si="120"/>
        <v>1</v>
      </c>
      <c r="AW103" s="9">
        <v>58</v>
      </c>
      <c r="AX103" s="9">
        <f t="shared" si="121"/>
        <v>1</v>
      </c>
      <c r="AY103" s="13"/>
      <c r="AZ103" s="113" t="str">
        <f t="shared" si="136"/>
        <v>ふわもちミニスクイーズ</v>
      </c>
      <c r="BA103" s="9">
        <f t="shared" si="137"/>
        <v>99</v>
      </c>
      <c r="BB103" s="9">
        <f t="shared" si="122"/>
        <v>99</v>
      </c>
      <c r="BC103" s="10">
        <f t="shared" si="123"/>
        <v>4.7142857142857146E-2</v>
      </c>
      <c r="BD103" s="11"/>
      <c r="BF103" s="7"/>
      <c r="BG103" s="34"/>
      <c r="BH103" s="9" t="str">
        <f>IF(BG103="","",BG103-BG101)</f>
        <v/>
      </c>
      <c r="BI103" s="9"/>
      <c r="BJ103" s="9"/>
      <c r="BK103" s="9"/>
      <c r="BL103" s="9" t="str">
        <f>IF(BK103="","",BK101+BM101-BK103)</f>
        <v/>
      </c>
      <c r="BM103" s="9"/>
      <c r="BN103" s="126" t="str">
        <f t="shared" si="99"/>
        <v/>
      </c>
      <c r="BO103" s="9"/>
      <c r="BP103" s="9" t="str">
        <f t="shared" si="132"/>
        <v/>
      </c>
      <c r="BQ103" s="10" t="str">
        <f t="shared" si="133"/>
        <v/>
      </c>
      <c r="BR103" s="11"/>
    </row>
    <row r="104" spans="1:70" ht="15" customHeight="1" thickBot="1" x14ac:dyDescent="0.25">
      <c r="A104" s="75"/>
      <c r="B104" s="67"/>
      <c r="C104" s="36">
        <v>13990</v>
      </c>
      <c r="D104" s="37">
        <f t="shared" si="103"/>
        <v>19</v>
      </c>
      <c r="E104" s="17">
        <v>1247</v>
      </c>
      <c r="F104" s="17">
        <f t="shared" si="104"/>
        <v>0</v>
      </c>
      <c r="G104" s="17">
        <v>15</v>
      </c>
      <c r="H104" s="17">
        <f t="shared" si="105"/>
        <v>0</v>
      </c>
      <c r="I104" s="29"/>
      <c r="J104" s="114" t="str">
        <f t="shared" si="125"/>
        <v>バタースクイーズ</v>
      </c>
      <c r="K104" s="37">
        <f t="shared" si="126"/>
        <v>250</v>
      </c>
      <c r="L104" s="17">
        <f t="shared" si="106"/>
        <v>0</v>
      </c>
      <c r="M104" s="18">
        <f t="shared" si="107"/>
        <v>0</v>
      </c>
      <c r="N104" s="11" t="s">
        <v>259</v>
      </c>
      <c r="P104" s="75"/>
      <c r="Q104" s="36">
        <v>13427</v>
      </c>
      <c r="R104" s="37">
        <f t="shared" si="108"/>
        <v>34</v>
      </c>
      <c r="S104" s="17">
        <v>1096</v>
      </c>
      <c r="T104" s="17">
        <f t="shared" si="109"/>
        <v>1</v>
      </c>
      <c r="U104" s="17">
        <v>8</v>
      </c>
      <c r="V104" s="17">
        <f t="shared" si="110"/>
        <v>1</v>
      </c>
      <c r="W104" s="29">
        <v>1</v>
      </c>
      <c r="X104" s="114" t="str">
        <f t="shared" si="130"/>
        <v>たまごっちブロックシール</v>
      </c>
      <c r="Y104" s="37">
        <f t="shared" si="131"/>
        <v>648</v>
      </c>
      <c r="Z104" s="17">
        <f t="shared" si="112"/>
        <v>648</v>
      </c>
      <c r="AA104" s="18">
        <f t="shared" si="113"/>
        <v>0.19058823529411764</v>
      </c>
      <c r="AB104" s="11" t="s">
        <v>258</v>
      </c>
      <c r="AD104" s="75"/>
      <c r="AE104" s="36">
        <v>15680</v>
      </c>
      <c r="AF104" s="37">
        <f t="shared" si="114"/>
        <v>26</v>
      </c>
      <c r="AG104" s="17">
        <v>1556</v>
      </c>
      <c r="AH104" s="17">
        <f t="shared" si="115"/>
        <v>0</v>
      </c>
      <c r="AI104" s="17">
        <v>18</v>
      </c>
      <c r="AJ104" s="17">
        <f t="shared" si="116"/>
        <v>1</v>
      </c>
      <c r="AK104" s="29">
        <v>-1</v>
      </c>
      <c r="AL104" s="114" t="str">
        <f t="shared" si="134"/>
        <v>しばこ</v>
      </c>
      <c r="AM104" s="37">
        <f t="shared" si="135"/>
        <v>350</v>
      </c>
      <c r="AN104" s="17">
        <f t="shared" si="117"/>
        <v>350</v>
      </c>
      <c r="AO104" s="18">
        <f t="shared" si="118"/>
        <v>0.13461538461538461</v>
      </c>
      <c r="AP104" s="11" t="s">
        <v>257</v>
      </c>
      <c r="AR104" s="75"/>
      <c r="AS104" s="36">
        <v>11175</v>
      </c>
      <c r="AT104" s="37">
        <f t="shared" si="119"/>
        <v>59</v>
      </c>
      <c r="AU104" s="17">
        <v>817</v>
      </c>
      <c r="AV104" s="17">
        <f t="shared" si="120"/>
        <v>1</v>
      </c>
      <c r="AW104" s="17">
        <v>3</v>
      </c>
      <c r="AX104" s="17">
        <f t="shared" si="121"/>
        <v>3</v>
      </c>
      <c r="AY104" s="29"/>
      <c r="AZ104" s="114" t="str">
        <f t="shared" si="136"/>
        <v>たまごっちカスタムキーリング</v>
      </c>
      <c r="BA104" s="37">
        <f t="shared" si="137"/>
        <v>640</v>
      </c>
      <c r="BB104" s="17">
        <f t="shared" si="122"/>
        <v>1920</v>
      </c>
      <c r="BC104" s="18">
        <f t="shared" si="123"/>
        <v>0.3254237288135593</v>
      </c>
      <c r="BD104" s="11" t="s">
        <v>255</v>
      </c>
      <c r="BF104" s="7"/>
      <c r="BG104" s="34"/>
      <c r="BH104" s="9" t="str">
        <f t="shared" ref="BH104:BH124" si="138">IF(BG104="","",BG104-BG103)</f>
        <v/>
      </c>
      <c r="BI104" s="9"/>
      <c r="BJ104" s="9"/>
      <c r="BK104" s="9"/>
      <c r="BL104" s="9" t="str">
        <f t="shared" ref="BL104:BL124" si="139">IF(BK104="","",BK103+BM103-BK104)</f>
        <v/>
      </c>
      <c r="BM104" s="9"/>
      <c r="BN104" s="126" t="str">
        <f t="shared" si="99"/>
        <v/>
      </c>
      <c r="BO104" s="9"/>
      <c r="BP104" s="9" t="str">
        <f t="shared" si="132"/>
        <v/>
      </c>
      <c r="BQ104" s="10" t="str">
        <f t="shared" si="133"/>
        <v/>
      </c>
      <c r="BR104" s="11"/>
    </row>
    <row r="105" spans="1:70" ht="15" customHeight="1" thickTop="1" x14ac:dyDescent="0.2">
      <c r="A105" s="71">
        <v>46157</v>
      </c>
      <c r="B105" s="61">
        <f>SUM(D105:D108)+SUM(R105:R108)+SUM(AF105:AF108)+SUM(AT105:AT108)+SUM(BH84)</f>
        <v>880</v>
      </c>
      <c r="C105" s="33">
        <v>62</v>
      </c>
      <c r="D105" s="33">
        <v>62</v>
      </c>
      <c r="E105" s="33">
        <v>995</v>
      </c>
      <c r="F105" s="20">
        <v>5</v>
      </c>
      <c r="G105" s="33">
        <v>7</v>
      </c>
      <c r="H105" s="33">
        <f t="shared" si="105"/>
        <v>4</v>
      </c>
      <c r="I105" s="43">
        <v>0</v>
      </c>
      <c r="J105" s="112" t="str">
        <f t="shared" si="125"/>
        <v>モンチッチマスコット</v>
      </c>
      <c r="K105" s="34">
        <f t="shared" si="126"/>
        <v>572</v>
      </c>
      <c r="L105" s="20">
        <f t="shared" si="106"/>
        <v>2288</v>
      </c>
      <c r="M105" s="21">
        <f t="shared" si="107"/>
        <v>0.36903225806451612</v>
      </c>
      <c r="N105" s="11"/>
      <c r="P105" s="76">
        <f>IF($A105="","",$A105)</f>
        <v>46157</v>
      </c>
      <c r="Q105" s="33">
        <v>3961</v>
      </c>
      <c r="R105" s="33">
        <v>115</v>
      </c>
      <c r="S105" s="33">
        <v>71</v>
      </c>
      <c r="T105" s="20"/>
      <c r="U105" s="33">
        <v>5</v>
      </c>
      <c r="V105" s="33">
        <f t="shared" si="110"/>
        <v>1</v>
      </c>
      <c r="W105" s="43">
        <v>0</v>
      </c>
      <c r="X105" s="112" t="str">
        <f t="shared" si="130"/>
        <v>マリオカートマスコット</v>
      </c>
      <c r="Y105" s="34">
        <f t="shared" si="131"/>
        <v>792</v>
      </c>
      <c r="Z105" s="20">
        <f t="shared" si="112"/>
        <v>792</v>
      </c>
      <c r="AA105" s="21">
        <f t="shared" si="113"/>
        <v>6.8869565217391307E-2</v>
      </c>
      <c r="AB105" s="11"/>
      <c r="AD105" s="76">
        <f>IF($A105="","",$A105)</f>
        <v>46157</v>
      </c>
      <c r="AE105" s="33">
        <v>15013</v>
      </c>
      <c r="AF105" s="33">
        <f>AE105-14935</f>
        <v>78</v>
      </c>
      <c r="AG105" s="33">
        <v>545</v>
      </c>
      <c r="AH105" s="20">
        <v>3</v>
      </c>
      <c r="AI105" s="33">
        <v>2</v>
      </c>
      <c r="AJ105" s="33">
        <f t="shared" si="116"/>
        <v>5</v>
      </c>
      <c r="AK105" s="43">
        <v>3</v>
      </c>
      <c r="AL105" s="112" t="str">
        <f t="shared" si="134"/>
        <v>ジャグラーDXボタン</v>
      </c>
      <c r="AM105" s="34">
        <f t="shared" si="135"/>
        <v>1100</v>
      </c>
      <c r="AN105" s="20">
        <f t="shared" si="117"/>
        <v>5500</v>
      </c>
      <c r="AO105" s="21">
        <f t="shared" si="118"/>
        <v>0.70512820512820518</v>
      </c>
      <c r="AP105" s="11"/>
      <c r="AR105" s="76">
        <f>IF($A105="","",$A105)</f>
        <v>46157</v>
      </c>
      <c r="AS105" s="33">
        <v>10144</v>
      </c>
      <c r="AT105" s="33">
        <f t="shared" si="119"/>
        <v>28</v>
      </c>
      <c r="AU105" s="33">
        <v>545</v>
      </c>
      <c r="AV105" s="20">
        <f t="shared" si="120"/>
        <v>4</v>
      </c>
      <c r="AW105" s="33">
        <v>2</v>
      </c>
      <c r="AX105" s="33">
        <f t="shared" si="121"/>
        <v>5</v>
      </c>
      <c r="AY105" s="43">
        <v>0</v>
      </c>
      <c r="AZ105" s="112" t="str">
        <f t="shared" si="136"/>
        <v>サンリオカラビナ付きミニファン</v>
      </c>
      <c r="BA105" s="34">
        <f t="shared" si="137"/>
        <v>1100</v>
      </c>
      <c r="BB105" s="20">
        <f t="shared" si="122"/>
        <v>5500</v>
      </c>
      <c r="BC105" s="21">
        <f t="shared" si="123"/>
        <v>1.9642857142857142</v>
      </c>
      <c r="BD105" s="11"/>
      <c r="BF105" s="7"/>
      <c r="BG105" s="34"/>
      <c r="BH105" s="9" t="str">
        <f t="shared" si="138"/>
        <v/>
      </c>
      <c r="BI105" s="9"/>
      <c r="BJ105" s="9"/>
      <c r="BK105" s="9"/>
      <c r="BL105" s="9" t="str">
        <f t="shared" si="139"/>
        <v/>
      </c>
      <c r="BM105" s="9"/>
      <c r="BN105" s="126" t="str">
        <f t="shared" si="99"/>
        <v/>
      </c>
      <c r="BO105" s="9"/>
      <c r="BP105" s="9" t="str">
        <f t="shared" si="132"/>
        <v/>
      </c>
      <c r="BQ105" s="10" t="str">
        <f t="shared" si="133"/>
        <v/>
      </c>
      <c r="BR105" s="11"/>
    </row>
    <row r="106" spans="1:70" ht="15" customHeight="1" x14ac:dyDescent="0.2">
      <c r="A106" s="72"/>
      <c r="B106" s="61"/>
      <c r="C106" s="9">
        <v>63</v>
      </c>
      <c r="D106" s="9">
        <v>63</v>
      </c>
      <c r="E106" s="9">
        <v>0</v>
      </c>
      <c r="F106" s="9">
        <v>0</v>
      </c>
      <c r="G106" s="9">
        <v>31</v>
      </c>
      <c r="H106" s="9">
        <f t="shared" si="105"/>
        <v>0</v>
      </c>
      <c r="I106" s="13">
        <v>10</v>
      </c>
      <c r="J106" s="113" t="str">
        <f t="shared" si="125"/>
        <v>電ブル</v>
      </c>
      <c r="K106" s="34">
        <f t="shared" si="126"/>
        <v>275</v>
      </c>
      <c r="L106" s="9">
        <f t="shared" si="106"/>
        <v>0</v>
      </c>
      <c r="M106" s="10">
        <f t="shared" si="107"/>
        <v>0</v>
      </c>
      <c r="N106" s="11"/>
      <c r="P106" s="72"/>
      <c r="Q106" s="9">
        <v>3813</v>
      </c>
      <c r="R106" s="9">
        <v>100</v>
      </c>
      <c r="S106" s="9">
        <v>104</v>
      </c>
      <c r="T106" s="9"/>
      <c r="U106" s="9">
        <v>6</v>
      </c>
      <c r="V106" s="9">
        <f t="shared" si="110"/>
        <v>3</v>
      </c>
      <c r="W106" s="13">
        <v>6</v>
      </c>
      <c r="X106" s="113" t="str">
        <f t="shared" si="130"/>
        <v>パンケーキスクイーズ</v>
      </c>
      <c r="Y106" s="34">
        <f t="shared" si="131"/>
        <v>181</v>
      </c>
      <c r="Z106" s="9">
        <f t="shared" si="112"/>
        <v>543</v>
      </c>
      <c r="AA106" s="10">
        <f t="shared" si="113"/>
        <v>5.4300000000000001E-2</v>
      </c>
      <c r="AB106" s="11"/>
      <c r="AD106" s="72"/>
      <c r="AE106" s="9">
        <v>12218</v>
      </c>
      <c r="AF106" s="9">
        <f>AE106-12167</f>
        <v>51</v>
      </c>
      <c r="AG106" s="9">
        <v>360</v>
      </c>
      <c r="AH106" s="9">
        <v>2</v>
      </c>
      <c r="AI106" s="9">
        <v>16</v>
      </c>
      <c r="AJ106" s="9">
        <f t="shared" si="116"/>
        <v>3</v>
      </c>
      <c r="AK106" s="13">
        <v>0</v>
      </c>
      <c r="AL106" s="113" t="str">
        <f t="shared" si="134"/>
        <v>トイストーリー・ディズニーベアブリック</v>
      </c>
      <c r="AM106" s="34">
        <f t="shared" si="135"/>
        <v>748</v>
      </c>
      <c r="AN106" s="9">
        <f t="shared" si="117"/>
        <v>2244</v>
      </c>
      <c r="AO106" s="10">
        <f t="shared" si="118"/>
        <v>0.44</v>
      </c>
      <c r="AP106" s="11">
        <v>18500</v>
      </c>
      <c r="AR106" s="72"/>
      <c r="AS106" s="9">
        <v>11225</v>
      </c>
      <c r="AT106" s="9">
        <f t="shared" si="119"/>
        <v>8</v>
      </c>
      <c r="AU106" s="9">
        <v>560</v>
      </c>
      <c r="AV106" s="9">
        <f t="shared" si="120"/>
        <v>0</v>
      </c>
      <c r="AW106" s="9">
        <v>10</v>
      </c>
      <c r="AX106" s="9">
        <f t="shared" si="121"/>
        <v>0</v>
      </c>
      <c r="AY106" s="13">
        <v>0</v>
      </c>
      <c r="AZ106" s="113" t="str">
        <f t="shared" si="136"/>
        <v>ポケモンファスナーマスコット</v>
      </c>
      <c r="BA106" s="34">
        <f t="shared" si="137"/>
        <v>170</v>
      </c>
      <c r="BB106" s="9">
        <f t="shared" si="122"/>
        <v>0</v>
      </c>
      <c r="BC106" s="10">
        <f t="shared" si="123"/>
        <v>0</v>
      </c>
      <c r="BD106" s="11"/>
      <c r="BF106" s="7"/>
      <c r="BG106" s="34"/>
      <c r="BH106" s="9" t="str">
        <f t="shared" si="138"/>
        <v/>
      </c>
      <c r="BI106" s="9"/>
      <c r="BJ106" s="9"/>
      <c r="BK106" s="9"/>
      <c r="BL106" s="9" t="str">
        <f t="shared" si="139"/>
        <v/>
      </c>
      <c r="BM106" s="9"/>
      <c r="BN106" s="126" t="str">
        <f t="shared" si="99"/>
        <v/>
      </c>
      <c r="BO106" s="9"/>
      <c r="BP106" s="9" t="str">
        <f t="shared" si="132"/>
        <v/>
      </c>
      <c r="BQ106" s="10" t="str">
        <f t="shared" si="133"/>
        <v/>
      </c>
      <c r="BR106" s="11"/>
    </row>
    <row r="107" spans="1:70" ht="15" customHeight="1" x14ac:dyDescent="0.2">
      <c r="A107" s="72"/>
      <c r="B107" s="8"/>
      <c r="C107" s="23">
        <v>120</v>
      </c>
      <c r="D107" s="9">
        <v>120</v>
      </c>
      <c r="E107" s="9">
        <v>1</v>
      </c>
      <c r="F107" s="9">
        <v>1</v>
      </c>
      <c r="G107" s="23">
        <v>1</v>
      </c>
      <c r="H107" s="9">
        <f t="shared" si="105"/>
        <v>2</v>
      </c>
      <c r="I107" s="30">
        <v>2</v>
      </c>
      <c r="J107" s="113" t="s">
        <v>247</v>
      </c>
      <c r="K107" s="34">
        <f t="shared" si="126"/>
        <v>0</v>
      </c>
      <c r="L107" s="9">
        <f t="shared" si="106"/>
        <v>0</v>
      </c>
      <c r="M107" s="10">
        <f t="shared" si="107"/>
        <v>0</v>
      </c>
      <c r="N107" s="11"/>
      <c r="P107" s="72"/>
      <c r="Q107" s="23">
        <v>4952</v>
      </c>
      <c r="R107" s="9">
        <v>40</v>
      </c>
      <c r="S107" s="9">
        <v>156</v>
      </c>
      <c r="T107" s="9"/>
      <c r="U107" s="23">
        <v>19</v>
      </c>
      <c r="V107" s="9">
        <f t="shared" si="110"/>
        <v>0</v>
      </c>
      <c r="W107" s="30">
        <v>0</v>
      </c>
      <c r="X107" s="113" t="str">
        <f t="shared" si="130"/>
        <v>フルーツスクイーズ</v>
      </c>
      <c r="Y107" s="34">
        <f t="shared" si="131"/>
        <v>200</v>
      </c>
      <c r="Z107" s="9">
        <f t="shared" si="112"/>
        <v>0</v>
      </c>
      <c r="AA107" s="10">
        <f t="shared" si="113"/>
        <v>0</v>
      </c>
      <c r="AB107" s="11" t="s">
        <v>268</v>
      </c>
      <c r="AD107" s="72"/>
      <c r="AE107" s="23">
        <v>15280</v>
      </c>
      <c r="AF107" s="9">
        <f>AE107-15266</f>
        <v>14</v>
      </c>
      <c r="AG107" s="9">
        <v>793</v>
      </c>
      <c r="AH107" s="9">
        <v>4</v>
      </c>
      <c r="AI107" s="23">
        <v>16</v>
      </c>
      <c r="AJ107" s="9">
        <f t="shared" si="116"/>
        <v>5</v>
      </c>
      <c r="AK107" s="30">
        <v>5</v>
      </c>
      <c r="AL107" s="113" t="str">
        <f t="shared" si="134"/>
        <v>かえるがま口</v>
      </c>
      <c r="AM107" s="34">
        <f t="shared" si="135"/>
        <v>300</v>
      </c>
      <c r="AN107" s="9">
        <f t="shared" si="117"/>
        <v>1500</v>
      </c>
      <c r="AO107" s="10">
        <f t="shared" si="118"/>
        <v>1.0714285714285714</v>
      </c>
      <c r="AP107" s="11"/>
      <c r="AR107" s="72"/>
      <c r="AS107" s="23">
        <v>13383</v>
      </c>
      <c r="AT107" s="9">
        <f t="shared" si="119"/>
        <v>26</v>
      </c>
      <c r="AU107" s="9">
        <v>778</v>
      </c>
      <c r="AV107" s="9">
        <f t="shared" si="120"/>
        <v>1</v>
      </c>
      <c r="AW107" s="23">
        <v>57</v>
      </c>
      <c r="AX107" s="9">
        <f t="shared" si="121"/>
        <v>1</v>
      </c>
      <c r="AY107" s="30">
        <v>13</v>
      </c>
      <c r="AZ107" s="113" t="str">
        <f t="shared" si="136"/>
        <v>ふわもちミニスクイーズ</v>
      </c>
      <c r="BA107" s="34">
        <f t="shared" si="137"/>
        <v>99</v>
      </c>
      <c r="BB107" s="9">
        <f t="shared" si="122"/>
        <v>99</v>
      </c>
      <c r="BC107" s="10">
        <f t="shared" si="123"/>
        <v>3.8076923076923078E-2</v>
      </c>
      <c r="BD107" s="11" t="s">
        <v>269</v>
      </c>
      <c r="BF107" s="7"/>
      <c r="BG107" s="34"/>
      <c r="BH107" s="9" t="str">
        <f t="shared" si="138"/>
        <v/>
      </c>
      <c r="BI107" s="9"/>
      <c r="BJ107" s="9"/>
      <c r="BK107" s="9"/>
      <c r="BL107" s="9" t="str">
        <f t="shared" si="139"/>
        <v/>
      </c>
      <c r="BM107" s="9"/>
      <c r="BN107" s="126" t="str">
        <f t="shared" si="99"/>
        <v/>
      </c>
      <c r="BO107" s="9"/>
      <c r="BP107" s="9" t="str">
        <f t="shared" si="132"/>
        <v/>
      </c>
      <c r="BQ107" s="10" t="str">
        <f t="shared" si="133"/>
        <v/>
      </c>
      <c r="BR107" s="11"/>
    </row>
    <row r="108" spans="1:70" ht="15" customHeight="1" thickBot="1" x14ac:dyDescent="0.25">
      <c r="A108" s="75"/>
      <c r="B108" s="67"/>
      <c r="C108" s="17">
        <v>33</v>
      </c>
      <c r="D108" s="37">
        <v>32</v>
      </c>
      <c r="E108" s="17">
        <v>0</v>
      </c>
      <c r="F108" s="17">
        <v>0</v>
      </c>
      <c r="G108" s="17">
        <v>15</v>
      </c>
      <c r="H108" s="17">
        <f t="shared" si="105"/>
        <v>0</v>
      </c>
      <c r="I108" s="29">
        <v>0</v>
      </c>
      <c r="J108" s="114" t="str">
        <f t="shared" si="125"/>
        <v>バタースクイーズ</v>
      </c>
      <c r="K108" s="37">
        <f t="shared" si="126"/>
        <v>250</v>
      </c>
      <c r="L108" s="17">
        <f t="shared" si="106"/>
        <v>0</v>
      </c>
      <c r="M108" s="18">
        <f t="shared" si="107"/>
        <v>0</v>
      </c>
      <c r="N108" s="11"/>
      <c r="P108" s="75"/>
      <c r="Q108" s="17">
        <v>5774</v>
      </c>
      <c r="R108" s="37">
        <v>8</v>
      </c>
      <c r="S108" s="17">
        <v>167</v>
      </c>
      <c r="T108" s="17"/>
      <c r="U108" s="17">
        <v>8</v>
      </c>
      <c r="V108" s="17">
        <f t="shared" si="110"/>
        <v>1</v>
      </c>
      <c r="W108" s="29">
        <v>2</v>
      </c>
      <c r="X108" s="114" t="str">
        <f t="shared" si="130"/>
        <v>たまごっちブロックシール</v>
      </c>
      <c r="Y108" s="37">
        <f t="shared" si="131"/>
        <v>648</v>
      </c>
      <c r="Z108" s="17">
        <f t="shared" si="112"/>
        <v>648</v>
      </c>
      <c r="AA108" s="18">
        <f t="shared" si="113"/>
        <v>0.81</v>
      </c>
      <c r="AB108" s="11"/>
      <c r="AD108" s="75"/>
      <c r="AE108" s="17">
        <v>16168</v>
      </c>
      <c r="AF108" s="37">
        <f>AE108-16159</f>
        <v>9</v>
      </c>
      <c r="AG108" s="17">
        <v>938</v>
      </c>
      <c r="AH108" s="17">
        <v>1</v>
      </c>
      <c r="AI108" s="17">
        <v>16</v>
      </c>
      <c r="AJ108" s="17">
        <f t="shared" si="116"/>
        <v>1</v>
      </c>
      <c r="AK108" s="29">
        <v>-3</v>
      </c>
      <c r="AL108" s="114" t="str">
        <f t="shared" si="134"/>
        <v>しばこ</v>
      </c>
      <c r="AM108" s="37">
        <f t="shared" si="135"/>
        <v>350</v>
      </c>
      <c r="AN108" s="17">
        <f t="shared" si="117"/>
        <v>350</v>
      </c>
      <c r="AO108" s="18">
        <f t="shared" si="118"/>
        <v>0.3888888888888889</v>
      </c>
      <c r="AP108" s="11" t="s">
        <v>270</v>
      </c>
      <c r="AR108" s="75"/>
      <c r="AS108" s="17">
        <v>11218</v>
      </c>
      <c r="AT108" s="37">
        <f t="shared" si="119"/>
        <v>43</v>
      </c>
      <c r="AU108" s="17">
        <v>818</v>
      </c>
      <c r="AV108" s="17">
        <f t="shared" si="120"/>
        <v>1</v>
      </c>
      <c r="AW108" s="17">
        <v>8</v>
      </c>
      <c r="AX108" s="17">
        <f t="shared" si="121"/>
        <v>-5</v>
      </c>
      <c r="AY108" s="29">
        <v>0</v>
      </c>
      <c r="AZ108" s="114" t="s">
        <v>266</v>
      </c>
      <c r="BA108" s="37">
        <f t="shared" si="137"/>
        <v>640</v>
      </c>
      <c r="BB108" s="17">
        <f t="shared" si="122"/>
        <v>-3200</v>
      </c>
      <c r="BC108" s="18">
        <f t="shared" si="123"/>
        <v>-0.7441860465116279</v>
      </c>
      <c r="BD108" s="11"/>
      <c r="BF108" s="7"/>
      <c r="BG108" s="34"/>
      <c r="BH108" s="9" t="str">
        <f t="shared" si="138"/>
        <v/>
      </c>
      <c r="BI108" s="9"/>
      <c r="BJ108" s="9"/>
      <c r="BK108" s="9"/>
      <c r="BL108" s="9" t="str">
        <f t="shared" si="139"/>
        <v/>
      </c>
      <c r="BM108" s="9"/>
      <c r="BN108" s="126" t="str">
        <f t="shared" si="99"/>
        <v/>
      </c>
      <c r="BO108" s="9"/>
      <c r="BP108" s="9" t="str">
        <f t="shared" si="132"/>
        <v/>
      </c>
      <c r="BQ108" s="10" t="str">
        <f t="shared" si="133"/>
        <v/>
      </c>
      <c r="BR108" s="11"/>
    </row>
    <row r="109" spans="1:70" ht="15" customHeight="1" thickTop="1" x14ac:dyDescent="0.2">
      <c r="A109" s="71"/>
      <c r="B109" s="61"/>
      <c r="C109" s="33"/>
      <c r="D109" s="33"/>
      <c r="E109" s="33"/>
      <c r="F109" s="20"/>
      <c r="G109" s="33"/>
      <c r="H109" s="33"/>
      <c r="I109" s="43"/>
      <c r="J109" s="112"/>
      <c r="K109" s="34"/>
      <c r="L109" s="20"/>
      <c r="M109" s="21"/>
      <c r="N109" s="11"/>
      <c r="P109" s="76"/>
      <c r="Q109" s="33"/>
      <c r="R109" s="33"/>
      <c r="S109" s="33"/>
      <c r="T109" s="20"/>
      <c r="U109" s="33"/>
      <c r="V109" s="33"/>
      <c r="W109" s="43"/>
      <c r="X109" s="112"/>
      <c r="Y109" s="34"/>
      <c r="Z109" s="20"/>
      <c r="AA109" s="21"/>
      <c r="AB109" s="11"/>
      <c r="AD109" s="76"/>
      <c r="AE109" s="33"/>
      <c r="AF109" s="33"/>
      <c r="AG109" s="33"/>
      <c r="AH109" s="20"/>
      <c r="AI109" s="33"/>
      <c r="AJ109" s="33"/>
      <c r="AK109" s="43"/>
      <c r="AL109" s="112"/>
      <c r="AM109" s="34"/>
      <c r="AN109" s="20"/>
      <c r="AO109" s="21"/>
      <c r="AP109" s="11"/>
      <c r="AR109" s="76"/>
      <c r="AS109" s="33"/>
      <c r="AT109" s="33"/>
      <c r="AU109" s="33"/>
      <c r="AV109" s="20"/>
      <c r="AW109" s="33"/>
      <c r="AX109" s="33"/>
      <c r="AY109" s="43"/>
      <c r="AZ109" s="112"/>
      <c r="BA109" s="34"/>
      <c r="BB109" s="20"/>
      <c r="BC109" s="21"/>
      <c r="BD109" s="11"/>
      <c r="BF109" s="7"/>
      <c r="BG109" s="34"/>
      <c r="BH109" s="9" t="str">
        <f t="shared" si="138"/>
        <v/>
      </c>
      <c r="BI109" s="9"/>
      <c r="BJ109" s="9"/>
      <c r="BK109" s="9"/>
      <c r="BL109" s="9" t="str">
        <f t="shared" si="139"/>
        <v/>
      </c>
      <c r="BM109" s="9"/>
      <c r="BN109" s="126" t="str">
        <f t="shared" si="99"/>
        <v/>
      </c>
      <c r="BO109" s="9"/>
      <c r="BP109" s="9" t="str">
        <f t="shared" si="132"/>
        <v/>
      </c>
      <c r="BQ109" s="10" t="str">
        <f t="shared" si="133"/>
        <v/>
      </c>
      <c r="BR109" s="11"/>
    </row>
    <row r="110" spans="1:70" ht="15" customHeight="1" x14ac:dyDescent="0.2">
      <c r="A110" s="72"/>
      <c r="B110" s="61"/>
      <c r="C110" s="33"/>
      <c r="D110" s="9"/>
      <c r="E110" s="9"/>
      <c r="F110" s="9"/>
      <c r="G110" s="9"/>
      <c r="H110" s="9"/>
      <c r="I110" s="13"/>
      <c r="J110" s="113"/>
      <c r="K110" s="34"/>
      <c r="L110" s="9"/>
      <c r="M110" s="10"/>
      <c r="N110" s="11"/>
      <c r="P110" s="72"/>
      <c r="Q110" s="33"/>
      <c r="R110" s="9"/>
      <c r="S110" s="9"/>
      <c r="T110" s="9"/>
      <c r="U110" s="9"/>
      <c r="V110" s="9"/>
      <c r="W110" s="13"/>
      <c r="X110" s="113"/>
      <c r="Y110" s="34"/>
      <c r="Z110" s="9"/>
      <c r="AA110" s="10"/>
      <c r="AB110" s="11"/>
      <c r="AD110" s="72"/>
      <c r="AE110" s="33"/>
      <c r="AF110" s="9"/>
      <c r="AG110" s="9"/>
      <c r="AH110" s="9"/>
      <c r="AI110" s="9"/>
      <c r="AJ110" s="9"/>
      <c r="AK110" s="13"/>
      <c r="AL110" s="113"/>
      <c r="AM110" s="34"/>
      <c r="AN110" s="9"/>
      <c r="AO110" s="10"/>
      <c r="AP110" s="11"/>
      <c r="AR110" s="72"/>
      <c r="AS110" s="33"/>
      <c r="AT110" s="9"/>
      <c r="AU110" s="9"/>
      <c r="AV110" s="9"/>
      <c r="AW110" s="9"/>
      <c r="AX110" s="9"/>
      <c r="AY110" s="13"/>
      <c r="AZ110" s="113"/>
      <c r="BA110" s="34"/>
      <c r="BB110" s="9"/>
      <c r="BC110" s="10"/>
      <c r="BD110" s="11"/>
      <c r="BF110" s="7"/>
      <c r="BG110" s="34"/>
      <c r="BH110" s="9" t="str">
        <f t="shared" si="138"/>
        <v/>
      </c>
      <c r="BI110" s="9"/>
      <c r="BJ110" s="9"/>
      <c r="BK110" s="9"/>
      <c r="BL110" s="9" t="str">
        <f t="shared" si="139"/>
        <v/>
      </c>
      <c r="BM110" s="9"/>
      <c r="BN110" s="126" t="str">
        <f t="shared" si="99"/>
        <v/>
      </c>
      <c r="BO110" s="9"/>
      <c r="BP110" s="9" t="str">
        <f t="shared" si="132"/>
        <v/>
      </c>
      <c r="BQ110" s="10" t="str">
        <f t="shared" si="133"/>
        <v/>
      </c>
      <c r="BR110" s="11"/>
    </row>
    <row r="111" spans="1:70" ht="15" customHeight="1" x14ac:dyDescent="0.2">
      <c r="A111" s="72"/>
      <c r="B111" s="8"/>
      <c r="C111" s="38"/>
      <c r="D111" s="9"/>
      <c r="E111" s="9"/>
      <c r="F111" s="9"/>
      <c r="G111" s="9"/>
      <c r="H111" s="9"/>
      <c r="I111" s="13"/>
      <c r="J111" s="113"/>
      <c r="K111" s="34"/>
      <c r="L111" s="9"/>
      <c r="M111" s="10"/>
      <c r="N111" s="11"/>
      <c r="P111" s="72"/>
      <c r="Q111" s="38"/>
      <c r="R111" s="9"/>
      <c r="S111" s="9"/>
      <c r="T111" s="9"/>
      <c r="U111" s="9"/>
      <c r="V111" s="9"/>
      <c r="W111" s="13"/>
      <c r="X111" s="113"/>
      <c r="Y111" s="34"/>
      <c r="Z111" s="9"/>
      <c r="AA111" s="10"/>
      <c r="AB111" s="11"/>
      <c r="AD111" s="72"/>
      <c r="AE111" s="38"/>
      <c r="AF111" s="9"/>
      <c r="AG111" s="9"/>
      <c r="AH111" s="9"/>
      <c r="AI111" s="9"/>
      <c r="AJ111" s="9"/>
      <c r="AK111" s="13"/>
      <c r="AL111" s="113"/>
      <c r="AM111" s="34"/>
      <c r="AN111" s="9"/>
      <c r="AO111" s="10"/>
      <c r="AP111" s="11"/>
      <c r="AR111" s="72"/>
      <c r="AS111" s="38"/>
      <c r="AT111" s="9"/>
      <c r="AU111" s="9"/>
      <c r="AV111" s="9"/>
      <c r="AW111" s="9"/>
      <c r="AX111" s="9"/>
      <c r="AY111" s="13"/>
      <c r="AZ111" s="113"/>
      <c r="BA111" s="34"/>
      <c r="BB111" s="9"/>
      <c r="BC111" s="10"/>
      <c r="BD111" s="11"/>
      <c r="BF111" s="7"/>
      <c r="BG111" s="34"/>
      <c r="BH111" s="9" t="str">
        <f t="shared" si="138"/>
        <v/>
      </c>
      <c r="BI111" s="9"/>
      <c r="BJ111" s="9"/>
      <c r="BK111" s="9"/>
      <c r="BL111" s="9" t="str">
        <f t="shared" si="139"/>
        <v/>
      </c>
      <c r="BM111" s="9"/>
      <c r="BN111" s="126" t="str">
        <f t="shared" si="99"/>
        <v/>
      </c>
      <c r="BO111" s="9"/>
      <c r="BP111" s="9" t="str">
        <f t="shared" si="132"/>
        <v/>
      </c>
      <c r="BQ111" s="10" t="str">
        <f t="shared" si="133"/>
        <v/>
      </c>
      <c r="BR111" s="11"/>
    </row>
    <row r="112" spans="1:70" ht="15" customHeight="1" thickBot="1" x14ac:dyDescent="0.25">
      <c r="A112" s="75"/>
      <c r="B112" s="67"/>
      <c r="C112" s="36"/>
      <c r="D112" s="37"/>
      <c r="E112" s="17"/>
      <c r="F112" s="17"/>
      <c r="G112" s="17"/>
      <c r="H112" s="17"/>
      <c r="I112" s="29"/>
      <c r="J112" s="114"/>
      <c r="K112" s="37"/>
      <c r="L112" s="17"/>
      <c r="M112" s="18"/>
      <c r="N112" s="11"/>
      <c r="P112" s="75"/>
      <c r="Q112" s="36"/>
      <c r="R112" s="37"/>
      <c r="S112" s="17"/>
      <c r="T112" s="17"/>
      <c r="U112" s="17"/>
      <c r="V112" s="17"/>
      <c r="W112" s="29"/>
      <c r="X112" s="114"/>
      <c r="Y112" s="37"/>
      <c r="Z112" s="17"/>
      <c r="AA112" s="18"/>
      <c r="AB112" s="11"/>
      <c r="AD112" s="75"/>
      <c r="AE112" s="36"/>
      <c r="AF112" s="37"/>
      <c r="AG112" s="17"/>
      <c r="AH112" s="17"/>
      <c r="AI112" s="17"/>
      <c r="AJ112" s="17"/>
      <c r="AK112" s="29"/>
      <c r="AL112" s="114"/>
      <c r="AM112" s="37"/>
      <c r="AN112" s="17"/>
      <c r="AO112" s="18"/>
      <c r="AP112" s="11"/>
      <c r="AR112" s="75"/>
      <c r="AS112" s="36"/>
      <c r="AT112" s="37"/>
      <c r="AU112" s="17"/>
      <c r="AV112" s="17"/>
      <c r="AW112" s="17"/>
      <c r="AX112" s="17"/>
      <c r="AY112" s="29"/>
      <c r="AZ112" s="114"/>
      <c r="BA112" s="37"/>
      <c r="BB112" s="17"/>
      <c r="BC112" s="18"/>
      <c r="BD112" s="11"/>
      <c r="BF112" s="7"/>
      <c r="BG112" s="34"/>
      <c r="BH112" s="9" t="str">
        <f t="shared" si="138"/>
        <v/>
      </c>
      <c r="BI112" s="9"/>
      <c r="BJ112" s="9"/>
      <c r="BK112" s="9"/>
      <c r="BL112" s="9" t="str">
        <f t="shared" si="139"/>
        <v/>
      </c>
      <c r="BM112" s="9"/>
      <c r="BN112" s="126" t="str">
        <f t="shared" si="99"/>
        <v/>
      </c>
      <c r="BO112" s="9"/>
      <c r="BP112" s="9" t="str">
        <f t="shared" si="132"/>
        <v/>
      </c>
      <c r="BQ112" s="10" t="str">
        <f t="shared" si="133"/>
        <v/>
      </c>
      <c r="BR112" s="11"/>
    </row>
    <row r="113" spans="1:70" ht="15" customHeight="1" thickTop="1" x14ac:dyDescent="0.2">
      <c r="A113" s="71"/>
      <c r="B113" s="61"/>
      <c r="C113" s="33"/>
      <c r="D113" s="33"/>
      <c r="E113" s="33"/>
      <c r="F113" s="20"/>
      <c r="G113" s="33"/>
      <c r="H113" s="33"/>
      <c r="I113" s="43"/>
      <c r="J113" s="112"/>
      <c r="K113" s="40"/>
      <c r="L113" s="20"/>
      <c r="M113" s="21"/>
      <c r="N113" s="11"/>
      <c r="P113" s="76"/>
      <c r="Q113" s="33"/>
      <c r="R113" s="33"/>
      <c r="S113" s="33"/>
      <c r="T113" s="20"/>
      <c r="U113" s="33"/>
      <c r="V113" s="33"/>
      <c r="W113" s="43"/>
      <c r="X113" s="112"/>
      <c r="Y113" s="40"/>
      <c r="Z113" s="20"/>
      <c r="AA113" s="21"/>
      <c r="AB113" s="11"/>
      <c r="AD113" s="76"/>
      <c r="AE113" s="33"/>
      <c r="AF113" s="33"/>
      <c r="AG113" s="33"/>
      <c r="AH113" s="20"/>
      <c r="AI113" s="33"/>
      <c r="AJ113" s="33"/>
      <c r="AK113" s="43"/>
      <c r="AL113" s="112"/>
      <c r="AM113" s="40"/>
      <c r="AN113" s="20"/>
      <c r="AO113" s="21"/>
      <c r="AP113" s="11"/>
      <c r="AR113" s="76"/>
      <c r="AS113" s="33"/>
      <c r="AT113" s="33"/>
      <c r="AU113" s="33"/>
      <c r="AV113" s="20"/>
      <c r="AW113" s="33"/>
      <c r="AX113" s="33"/>
      <c r="AY113" s="43"/>
      <c r="AZ113" s="112"/>
      <c r="BA113" s="40"/>
      <c r="BB113" s="20"/>
      <c r="BC113" s="21"/>
      <c r="BD113" s="11"/>
      <c r="BF113" s="7"/>
      <c r="BG113" s="34"/>
      <c r="BH113" s="9" t="str">
        <f t="shared" si="138"/>
        <v/>
      </c>
      <c r="BI113" s="9"/>
      <c r="BJ113" s="9"/>
      <c r="BK113" s="9"/>
      <c r="BL113" s="9" t="str">
        <f t="shared" si="139"/>
        <v/>
      </c>
      <c r="BM113" s="9"/>
      <c r="BN113" s="126" t="str">
        <f t="shared" si="99"/>
        <v/>
      </c>
      <c r="BO113" s="9"/>
      <c r="BP113" s="9" t="str">
        <f t="shared" si="132"/>
        <v/>
      </c>
      <c r="BQ113" s="10" t="str">
        <f t="shared" si="133"/>
        <v/>
      </c>
      <c r="BR113" s="11"/>
    </row>
    <row r="114" spans="1:70" ht="15" customHeight="1" x14ac:dyDescent="0.2">
      <c r="A114" s="72"/>
      <c r="B114" s="8"/>
      <c r="C114" s="9"/>
      <c r="D114" s="9"/>
      <c r="E114" s="9"/>
      <c r="F114" s="9"/>
      <c r="G114" s="9"/>
      <c r="H114" s="9"/>
      <c r="I114" s="13"/>
      <c r="J114" s="113"/>
      <c r="K114" s="34"/>
      <c r="L114" s="9"/>
      <c r="M114" s="10"/>
      <c r="N114" s="11"/>
      <c r="P114" s="72"/>
      <c r="Q114" s="9"/>
      <c r="R114" s="9"/>
      <c r="S114" s="9"/>
      <c r="T114" s="9"/>
      <c r="U114" s="9"/>
      <c r="V114" s="9"/>
      <c r="W114" s="13"/>
      <c r="X114" s="113"/>
      <c r="Y114" s="34"/>
      <c r="Z114" s="9"/>
      <c r="AA114" s="10"/>
      <c r="AB114" s="11"/>
      <c r="AD114" s="72"/>
      <c r="AE114" s="9"/>
      <c r="AF114" s="9"/>
      <c r="AG114" s="9"/>
      <c r="AH114" s="9"/>
      <c r="AI114" s="9"/>
      <c r="AJ114" s="9"/>
      <c r="AK114" s="13"/>
      <c r="AL114" s="113"/>
      <c r="AM114" s="34"/>
      <c r="AN114" s="9"/>
      <c r="AO114" s="10"/>
      <c r="AP114" s="11"/>
      <c r="AR114" s="72"/>
      <c r="AS114" s="9"/>
      <c r="AT114" s="9"/>
      <c r="AU114" s="9"/>
      <c r="AV114" s="9"/>
      <c r="AW114" s="9"/>
      <c r="AX114" s="9"/>
      <c r="AY114" s="13"/>
      <c r="AZ114" s="113"/>
      <c r="BA114" s="34"/>
      <c r="BB114" s="9"/>
      <c r="BC114" s="10"/>
      <c r="BD114" s="11"/>
      <c r="BF114" s="7"/>
      <c r="BG114" s="34"/>
      <c r="BH114" s="9" t="str">
        <f t="shared" si="138"/>
        <v/>
      </c>
      <c r="BI114" s="9"/>
      <c r="BJ114" s="9"/>
      <c r="BK114" s="9"/>
      <c r="BL114" s="9" t="str">
        <f t="shared" si="139"/>
        <v/>
      </c>
      <c r="BM114" s="9"/>
      <c r="BN114" s="126" t="str">
        <f t="shared" si="99"/>
        <v/>
      </c>
      <c r="BO114" s="9"/>
      <c r="BP114" s="9" t="str">
        <f t="shared" si="132"/>
        <v/>
      </c>
      <c r="BQ114" s="10" t="str">
        <f t="shared" si="133"/>
        <v/>
      </c>
      <c r="BR114" s="11"/>
    </row>
    <row r="115" spans="1:70" ht="15" customHeight="1" x14ac:dyDescent="0.2">
      <c r="A115" s="72"/>
      <c r="B115" s="8"/>
      <c r="C115" s="23"/>
      <c r="D115" s="9"/>
      <c r="E115" s="9"/>
      <c r="F115" s="9"/>
      <c r="G115" s="23"/>
      <c r="H115" s="9"/>
      <c r="I115" s="30"/>
      <c r="J115" s="113"/>
      <c r="K115" s="9"/>
      <c r="L115" s="9"/>
      <c r="M115" s="10"/>
      <c r="N115" s="11"/>
      <c r="P115" s="72"/>
      <c r="Q115" s="23"/>
      <c r="R115" s="9"/>
      <c r="S115" s="9"/>
      <c r="T115" s="9"/>
      <c r="U115" s="23"/>
      <c r="V115" s="9"/>
      <c r="W115" s="30"/>
      <c r="X115" s="113"/>
      <c r="Y115" s="9"/>
      <c r="Z115" s="9"/>
      <c r="AA115" s="10"/>
      <c r="AB115" s="11"/>
      <c r="AD115" s="72"/>
      <c r="AE115" s="23"/>
      <c r="AF115" s="9"/>
      <c r="AG115" s="9"/>
      <c r="AH115" s="9"/>
      <c r="AI115" s="23"/>
      <c r="AJ115" s="9"/>
      <c r="AK115" s="30"/>
      <c r="AL115" s="113"/>
      <c r="AM115" s="9"/>
      <c r="AN115" s="9"/>
      <c r="AO115" s="10"/>
      <c r="AP115" s="11"/>
      <c r="AR115" s="72"/>
      <c r="AS115" s="23"/>
      <c r="AT115" s="9"/>
      <c r="AU115" s="9"/>
      <c r="AV115" s="9"/>
      <c r="AW115" s="23"/>
      <c r="AX115" s="9"/>
      <c r="AY115" s="30"/>
      <c r="AZ115" s="113"/>
      <c r="BA115" s="9"/>
      <c r="BB115" s="9"/>
      <c r="BC115" s="10"/>
      <c r="BD115" s="11"/>
      <c r="BF115" s="7"/>
      <c r="BG115" s="34"/>
      <c r="BH115" s="9" t="str">
        <f t="shared" si="138"/>
        <v/>
      </c>
      <c r="BI115" s="9"/>
      <c r="BJ115" s="9"/>
      <c r="BK115" s="9"/>
      <c r="BL115" s="9" t="str">
        <f t="shared" si="139"/>
        <v/>
      </c>
      <c r="BM115" s="9"/>
      <c r="BN115" s="126" t="str">
        <f t="shared" si="99"/>
        <v/>
      </c>
      <c r="BO115" s="9"/>
      <c r="BP115" s="9" t="str">
        <f t="shared" si="132"/>
        <v/>
      </c>
      <c r="BQ115" s="10" t="str">
        <f t="shared" si="133"/>
        <v/>
      </c>
      <c r="BR115" s="11"/>
    </row>
    <row r="116" spans="1:70" ht="15" customHeight="1" thickBot="1" x14ac:dyDescent="0.25">
      <c r="A116" s="75"/>
      <c r="B116" s="62"/>
      <c r="C116" s="17"/>
      <c r="D116" s="37"/>
      <c r="E116" s="17"/>
      <c r="F116" s="17"/>
      <c r="G116" s="17"/>
      <c r="H116" s="17"/>
      <c r="I116" s="29"/>
      <c r="J116" s="114"/>
      <c r="K116" s="37"/>
      <c r="L116" s="17"/>
      <c r="M116" s="18"/>
      <c r="N116" s="11"/>
      <c r="P116" s="75"/>
      <c r="Q116" s="17"/>
      <c r="R116" s="37"/>
      <c r="S116" s="17"/>
      <c r="T116" s="17"/>
      <c r="U116" s="17"/>
      <c r="V116" s="17"/>
      <c r="W116" s="29"/>
      <c r="X116" s="114"/>
      <c r="Y116" s="37"/>
      <c r="Z116" s="17"/>
      <c r="AA116" s="18"/>
      <c r="AB116" s="11"/>
      <c r="AD116" s="75"/>
      <c r="AE116" s="17"/>
      <c r="AF116" s="37"/>
      <c r="AG116" s="17"/>
      <c r="AH116" s="17"/>
      <c r="AI116" s="17"/>
      <c r="AJ116" s="17"/>
      <c r="AK116" s="29"/>
      <c r="AL116" s="114"/>
      <c r="AM116" s="37"/>
      <c r="AN116" s="17"/>
      <c r="AO116" s="18"/>
      <c r="AP116" s="11"/>
      <c r="AR116" s="75"/>
      <c r="AS116" s="17"/>
      <c r="AT116" s="37"/>
      <c r="AU116" s="17"/>
      <c r="AV116" s="17"/>
      <c r="AW116" s="17"/>
      <c r="AX116" s="17"/>
      <c r="AY116" s="29"/>
      <c r="AZ116" s="114"/>
      <c r="BA116" s="37"/>
      <c r="BB116" s="17"/>
      <c r="BC116" s="18"/>
      <c r="BD116" s="11"/>
      <c r="BF116" s="7"/>
      <c r="BG116" s="34"/>
      <c r="BH116" s="9" t="str">
        <f t="shared" si="138"/>
        <v/>
      </c>
      <c r="BI116" s="9"/>
      <c r="BJ116" s="9"/>
      <c r="BK116" s="9"/>
      <c r="BL116" s="9" t="str">
        <f t="shared" si="139"/>
        <v/>
      </c>
      <c r="BM116" s="9"/>
      <c r="BN116" s="126" t="str">
        <f t="shared" si="99"/>
        <v/>
      </c>
      <c r="BO116" s="9"/>
      <c r="BP116" s="9" t="str">
        <f t="shared" si="132"/>
        <v/>
      </c>
      <c r="BQ116" s="10" t="str">
        <f t="shared" si="133"/>
        <v/>
      </c>
      <c r="BR116" s="11"/>
    </row>
    <row r="117" spans="1:70" ht="15" customHeight="1" thickTop="1" x14ac:dyDescent="0.2">
      <c r="A117" s="71"/>
      <c r="B117" s="61">
        <f>SUM(D117:D120)+SUM(R117:R120)+SUM(AF117:AF120)+SUM(AT117:AT120)+SUM(BH87)</f>
        <v>0</v>
      </c>
      <c r="C117" s="33"/>
      <c r="D117" s="33" t="str">
        <f t="shared" ref="D113:D132" si="140">IF(C117="","",C117-C113)</f>
        <v/>
      </c>
      <c r="E117" s="33"/>
      <c r="F117" s="20" t="str">
        <f t="shared" ref="F113:F132" si="141">IF(E117="","",E117-E113)</f>
        <v/>
      </c>
      <c r="G117" s="33"/>
      <c r="H117" s="33" t="str">
        <f t="shared" si="105"/>
        <v/>
      </c>
      <c r="I117" s="43"/>
      <c r="J117" s="112" t="str">
        <f t="shared" ref="J116:J132" si="142">IF(C117="","",J113)</f>
        <v/>
      </c>
      <c r="K117" s="40" t="str">
        <f t="shared" ref="K116:K132" si="143">IF(D117="","",K113)</f>
        <v/>
      </c>
      <c r="L117" s="20" t="str">
        <f t="shared" ref="L113:L132" si="144">IF(G117="","",H117*K117)</f>
        <v/>
      </c>
      <c r="M117" s="21" t="str">
        <f t="shared" ref="M113:M132" si="145">IF(H117="","",L117/(D117*100))</f>
        <v/>
      </c>
      <c r="N117" s="11"/>
      <c r="P117" s="76" t="str">
        <f>IF($A117="","",$A117)</f>
        <v/>
      </c>
      <c r="Q117" s="33"/>
      <c r="R117" s="33" t="str">
        <f t="shared" ref="R113:R132" si="146">IF(Q117="","",Q117-Q113)</f>
        <v/>
      </c>
      <c r="S117" s="33"/>
      <c r="T117" s="20" t="str">
        <f t="shared" ref="T113:T132" si="147">IF(S117="","",S117-S113)</f>
        <v/>
      </c>
      <c r="U117" s="33"/>
      <c r="V117" s="33" t="str">
        <f t="shared" ref="V113:V132" si="148">IF(U117="","",U113+W113-U117)</f>
        <v/>
      </c>
      <c r="W117" s="43"/>
      <c r="X117" s="112" t="str">
        <f t="shared" si="130"/>
        <v/>
      </c>
      <c r="Y117" s="40" t="str">
        <f t="shared" si="131"/>
        <v/>
      </c>
      <c r="Z117" s="20" t="str">
        <f t="shared" ref="Z113:Z132" si="149">IF(U117="","",V117*Y117)</f>
        <v/>
      </c>
      <c r="AA117" s="21" t="str">
        <f t="shared" ref="AA113:AA132" si="150">IF(V117="","",Z117/(R117*100))</f>
        <v/>
      </c>
      <c r="AB117" s="11"/>
      <c r="AD117" s="76" t="str">
        <f>IF($A117="","",$A117)</f>
        <v/>
      </c>
      <c r="AE117" s="33"/>
      <c r="AF117" s="33" t="str">
        <f t="shared" ref="AF113:AF132" si="151">IF(AE117="","",AE117-AE113)</f>
        <v/>
      </c>
      <c r="AG117" s="33"/>
      <c r="AH117" s="20" t="str">
        <f t="shared" ref="AH113:AH132" si="152">IF(AG117="","",AG117-AG113)</f>
        <v/>
      </c>
      <c r="AI117" s="33"/>
      <c r="AJ117" s="33" t="str">
        <f t="shared" ref="AJ113:AJ132" si="153">IF(AI117="","",AI113+AK113-AI117)</f>
        <v/>
      </c>
      <c r="AK117" s="43"/>
      <c r="AL117" s="112" t="str">
        <f t="shared" si="134"/>
        <v/>
      </c>
      <c r="AM117" s="40" t="str">
        <f t="shared" si="135"/>
        <v/>
      </c>
      <c r="AN117" s="20" t="str">
        <f t="shared" ref="AN113:AN132" si="154">IF(AI117="","",AJ117*AM117)</f>
        <v/>
      </c>
      <c r="AO117" s="21" t="str">
        <f t="shared" ref="AO113:AO132" si="155">IF(AJ117="","",AN117/(AF117*100))</f>
        <v/>
      </c>
      <c r="AP117" s="11"/>
      <c r="AR117" s="76" t="str">
        <f>IF($A117="","",$A117)</f>
        <v/>
      </c>
      <c r="AS117" s="33"/>
      <c r="AT117" s="33" t="str">
        <f t="shared" ref="AT113:AT132" si="156">IF(AS117="","",AS117-AS113)</f>
        <v/>
      </c>
      <c r="AU117" s="33"/>
      <c r="AV117" s="20" t="str">
        <f t="shared" ref="AV113:AV132" si="157">IF(AU117="","",AU117-AU113)</f>
        <v/>
      </c>
      <c r="AW117" s="33"/>
      <c r="AX117" s="33" t="str">
        <f t="shared" ref="AX113:AX132" si="158">IF(AW117="","",AW113+AY113-AW117)</f>
        <v/>
      </c>
      <c r="AY117" s="43"/>
      <c r="AZ117" s="112" t="str">
        <f t="shared" si="136"/>
        <v/>
      </c>
      <c r="BA117" s="40" t="str">
        <f t="shared" si="137"/>
        <v/>
      </c>
      <c r="BB117" s="20" t="str">
        <f t="shared" ref="BB113:BB132" si="159">IF(AW117="","",AX117*BA117)</f>
        <v/>
      </c>
      <c r="BC117" s="21" t="str">
        <f t="shared" ref="BC113:BC132" si="160">IF(AX117="","",BB117/(AT117*100))</f>
        <v/>
      </c>
      <c r="BD117" s="11"/>
      <c r="BF117" s="7"/>
      <c r="BG117" s="34"/>
      <c r="BH117" s="9" t="str">
        <f t="shared" si="138"/>
        <v/>
      </c>
      <c r="BI117" s="9"/>
      <c r="BJ117" s="9"/>
      <c r="BK117" s="9"/>
      <c r="BL117" s="9" t="str">
        <f t="shared" si="139"/>
        <v/>
      </c>
      <c r="BM117" s="9"/>
      <c r="BN117" s="127"/>
      <c r="BO117" s="9"/>
      <c r="BP117" s="9" t="str">
        <f t="shared" si="132"/>
        <v/>
      </c>
      <c r="BQ117" s="10" t="str">
        <f t="shared" si="133"/>
        <v/>
      </c>
      <c r="BR117" s="11"/>
    </row>
    <row r="118" spans="1:70" ht="15" customHeight="1" x14ac:dyDescent="0.2">
      <c r="A118" s="72"/>
      <c r="B118" s="8"/>
      <c r="C118" s="33"/>
      <c r="D118" s="9" t="str">
        <f t="shared" si="140"/>
        <v/>
      </c>
      <c r="E118" s="9"/>
      <c r="F118" s="9" t="str">
        <f t="shared" si="141"/>
        <v/>
      </c>
      <c r="G118" s="9"/>
      <c r="H118" s="9" t="str">
        <f t="shared" si="105"/>
        <v/>
      </c>
      <c r="I118" s="13"/>
      <c r="J118" s="113" t="str">
        <f t="shared" si="142"/>
        <v/>
      </c>
      <c r="K118" s="34" t="str">
        <f t="shared" si="143"/>
        <v/>
      </c>
      <c r="L118" s="9" t="str">
        <f t="shared" si="144"/>
        <v/>
      </c>
      <c r="M118" s="10" t="str">
        <f t="shared" si="145"/>
        <v/>
      </c>
      <c r="N118" s="11"/>
      <c r="P118" s="72"/>
      <c r="Q118" s="33"/>
      <c r="R118" s="9" t="str">
        <f t="shared" si="146"/>
        <v/>
      </c>
      <c r="S118" s="9"/>
      <c r="T118" s="9" t="str">
        <f t="shared" si="147"/>
        <v/>
      </c>
      <c r="U118" s="9"/>
      <c r="V118" s="9" t="str">
        <f t="shared" si="148"/>
        <v/>
      </c>
      <c r="W118" s="13"/>
      <c r="X118" s="113" t="str">
        <f t="shared" si="130"/>
        <v/>
      </c>
      <c r="Y118" s="34" t="str">
        <f t="shared" si="131"/>
        <v/>
      </c>
      <c r="Z118" s="9" t="str">
        <f t="shared" si="149"/>
        <v/>
      </c>
      <c r="AA118" s="10" t="str">
        <f t="shared" si="150"/>
        <v/>
      </c>
      <c r="AB118" s="11"/>
      <c r="AD118" s="72"/>
      <c r="AE118" s="33"/>
      <c r="AF118" s="9" t="str">
        <f t="shared" si="151"/>
        <v/>
      </c>
      <c r="AG118" s="9"/>
      <c r="AH118" s="9" t="str">
        <f t="shared" si="152"/>
        <v/>
      </c>
      <c r="AI118" s="9"/>
      <c r="AJ118" s="9" t="str">
        <f t="shared" si="153"/>
        <v/>
      </c>
      <c r="AK118" s="13"/>
      <c r="AL118" s="113" t="str">
        <f t="shared" si="134"/>
        <v/>
      </c>
      <c r="AM118" s="34" t="str">
        <f t="shared" si="135"/>
        <v/>
      </c>
      <c r="AN118" s="9" t="str">
        <f t="shared" si="154"/>
        <v/>
      </c>
      <c r="AO118" s="10" t="str">
        <f t="shared" si="155"/>
        <v/>
      </c>
      <c r="AP118" s="11"/>
      <c r="AR118" s="72"/>
      <c r="AS118" s="33"/>
      <c r="AT118" s="9" t="str">
        <f t="shared" si="156"/>
        <v/>
      </c>
      <c r="AU118" s="9"/>
      <c r="AV118" s="9" t="str">
        <f t="shared" si="157"/>
        <v/>
      </c>
      <c r="AW118" s="9"/>
      <c r="AX118" s="9" t="str">
        <f t="shared" si="158"/>
        <v/>
      </c>
      <c r="AY118" s="13"/>
      <c r="AZ118" s="113" t="str">
        <f t="shared" si="136"/>
        <v/>
      </c>
      <c r="BA118" s="34" t="str">
        <f t="shared" si="137"/>
        <v/>
      </c>
      <c r="BB118" s="9" t="str">
        <f t="shared" si="159"/>
        <v/>
      </c>
      <c r="BC118" s="10" t="str">
        <f t="shared" si="160"/>
        <v/>
      </c>
      <c r="BD118" s="11"/>
      <c r="BF118" s="7"/>
      <c r="BG118" s="34"/>
      <c r="BH118" s="9" t="str">
        <f t="shared" si="138"/>
        <v/>
      </c>
      <c r="BI118" s="9"/>
      <c r="BJ118" s="9"/>
      <c r="BK118" s="9"/>
      <c r="BL118" s="9" t="str">
        <f t="shared" si="139"/>
        <v/>
      </c>
      <c r="BM118" s="9"/>
      <c r="BN118" s="127"/>
      <c r="BO118" s="9"/>
      <c r="BP118" s="9" t="str">
        <f t="shared" si="132"/>
        <v/>
      </c>
      <c r="BQ118" s="10" t="str">
        <f t="shared" si="133"/>
        <v/>
      </c>
      <c r="BR118" s="11"/>
    </row>
    <row r="119" spans="1:70" ht="15" customHeight="1" x14ac:dyDescent="0.2">
      <c r="A119" s="72"/>
      <c r="B119" s="8"/>
      <c r="C119" s="38"/>
      <c r="D119" s="9" t="str">
        <f t="shared" si="140"/>
        <v/>
      </c>
      <c r="E119" s="9"/>
      <c r="F119" s="9" t="str">
        <f t="shared" si="141"/>
        <v/>
      </c>
      <c r="G119" s="9"/>
      <c r="H119" s="9" t="str">
        <f t="shared" si="105"/>
        <v/>
      </c>
      <c r="I119" s="13"/>
      <c r="J119" s="113" t="str">
        <f t="shared" si="142"/>
        <v/>
      </c>
      <c r="K119" s="9" t="str">
        <f t="shared" si="143"/>
        <v/>
      </c>
      <c r="L119" s="9" t="str">
        <f t="shared" si="144"/>
        <v/>
      </c>
      <c r="M119" s="10" t="str">
        <f t="shared" si="145"/>
        <v/>
      </c>
      <c r="N119" s="11"/>
      <c r="P119" s="72"/>
      <c r="Q119" s="38"/>
      <c r="R119" s="9" t="str">
        <f t="shared" si="146"/>
        <v/>
      </c>
      <c r="S119" s="9"/>
      <c r="T119" s="9" t="str">
        <f t="shared" si="147"/>
        <v/>
      </c>
      <c r="U119" s="9"/>
      <c r="V119" s="9" t="str">
        <f t="shared" si="148"/>
        <v/>
      </c>
      <c r="W119" s="13"/>
      <c r="X119" s="113" t="str">
        <f t="shared" si="130"/>
        <v/>
      </c>
      <c r="Y119" s="9" t="str">
        <f t="shared" si="131"/>
        <v/>
      </c>
      <c r="Z119" s="9" t="str">
        <f t="shared" si="149"/>
        <v/>
      </c>
      <c r="AA119" s="10" t="str">
        <f t="shared" si="150"/>
        <v/>
      </c>
      <c r="AB119" s="11"/>
      <c r="AD119" s="72"/>
      <c r="AE119" s="38"/>
      <c r="AF119" s="9" t="str">
        <f t="shared" si="151"/>
        <v/>
      </c>
      <c r="AG119" s="9"/>
      <c r="AH119" s="9" t="str">
        <f t="shared" si="152"/>
        <v/>
      </c>
      <c r="AI119" s="9"/>
      <c r="AJ119" s="9" t="str">
        <f t="shared" si="153"/>
        <v/>
      </c>
      <c r="AK119" s="13"/>
      <c r="AL119" s="113" t="str">
        <f t="shared" si="134"/>
        <v/>
      </c>
      <c r="AM119" s="9" t="str">
        <f t="shared" si="135"/>
        <v/>
      </c>
      <c r="AN119" s="9" t="str">
        <f t="shared" si="154"/>
        <v/>
      </c>
      <c r="AO119" s="10" t="str">
        <f t="shared" si="155"/>
        <v/>
      </c>
      <c r="AP119" s="11"/>
      <c r="AR119" s="72"/>
      <c r="AS119" s="38"/>
      <c r="AT119" s="9" t="str">
        <f t="shared" si="156"/>
        <v/>
      </c>
      <c r="AU119" s="9"/>
      <c r="AV119" s="9" t="str">
        <f t="shared" si="157"/>
        <v/>
      </c>
      <c r="AW119" s="9"/>
      <c r="AX119" s="9" t="str">
        <f t="shared" si="158"/>
        <v/>
      </c>
      <c r="AY119" s="13"/>
      <c r="AZ119" s="113" t="str">
        <f t="shared" si="136"/>
        <v/>
      </c>
      <c r="BA119" s="9" t="str">
        <f t="shared" si="137"/>
        <v/>
      </c>
      <c r="BB119" s="9" t="str">
        <f t="shared" si="159"/>
        <v/>
      </c>
      <c r="BC119" s="10" t="str">
        <f t="shared" si="160"/>
        <v/>
      </c>
      <c r="BD119" s="11"/>
      <c r="BF119" s="7"/>
      <c r="BG119" s="34"/>
      <c r="BH119" s="9" t="str">
        <f t="shared" si="138"/>
        <v/>
      </c>
      <c r="BI119" s="9"/>
      <c r="BJ119" s="9"/>
      <c r="BK119" s="9"/>
      <c r="BL119" s="9" t="str">
        <f t="shared" si="139"/>
        <v/>
      </c>
      <c r="BM119" s="9"/>
      <c r="BN119" s="127"/>
      <c r="BO119" s="9"/>
      <c r="BP119" s="9" t="str">
        <f t="shared" si="132"/>
        <v/>
      </c>
      <c r="BQ119" s="10" t="str">
        <f t="shared" si="133"/>
        <v/>
      </c>
      <c r="BR119" s="11"/>
    </row>
    <row r="120" spans="1:70" ht="15" customHeight="1" thickBot="1" x14ac:dyDescent="0.25">
      <c r="A120" s="75"/>
      <c r="B120" s="62"/>
      <c r="C120" s="36"/>
      <c r="D120" s="37" t="str">
        <f t="shared" si="140"/>
        <v/>
      </c>
      <c r="E120" s="17"/>
      <c r="F120" s="17" t="str">
        <f t="shared" si="141"/>
        <v/>
      </c>
      <c r="G120" s="17"/>
      <c r="H120" s="17" t="str">
        <f t="shared" si="105"/>
        <v/>
      </c>
      <c r="I120" s="29"/>
      <c r="J120" s="114" t="str">
        <f t="shared" si="142"/>
        <v/>
      </c>
      <c r="K120" s="37" t="str">
        <f t="shared" si="143"/>
        <v/>
      </c>
      <c r="L120" s="17" t="str">
        <f t="shared" si="144"/>
        <v/>
      </c>
      <c r="M120" s="18" t="str">
        <f t="shared" si="145"/>
        <v/>
      </c>
      <c r="N120" s="11"/>
      <c r="P120" s="75"/>
      <c r="Q120" s="36"/>
      <c r="R120" s="37" t="str">
        <f t="shared" si="146"/>
        <v/>
      </c>
      <c r="S120" s="17"/>
      <c r="T120" s="17" t="str">
        <f t="shared" si="147"/>
        <v/>
      </c>
      <c r="U120" s="17"/>
      <c r="V120" s="17" t="str">
        <f t="shared" si="148"/>
        <v/>
      </c>
      <c r="W120" s="29"/>
      <c r="X120" s="114" t="str">
        <f t="shared" si="130"/>
        <v/>
      </c>
      <c r="Y120" s="37" t="str">
        <f t="shared" si="131"/>
        <v/>
      </c>
      <c r="Z120" s="17" t="str">
        <f t="shared" si="149"/>
        <v/>
      </c>
      <c r="AA120" s="18" t="str">
        <f t="shared" si="150"/>
        <v/>
      </c>
      <c r="AB120" s="11"/>
      <c r="AD120" s="75"/>
      <c r="AE120" s="36"/>
      <c r="AF120" s="37" t="str">
        <f t="shared" si="151"/>
        <v/>
      </c>
      <c r="AG120" s="17"/>
      <c r="AH120" s="17" t="str">
        <f t="shared" si="152"/>
        <v/>
      </c>
      <c r="AI120" s="17"/>
      <c r="AJ120" s="17" t="str">
        <f t="shared" si="153"/>
        <v/>
      </c>
      <c r="AK120" s="29"/>
      <c r="AL120" s="114" t="str">
        <f t="shared" si="134"/>
        <v/>
      </c>
      <c r="AM120" s="37" t="str">
        <f t="shared" si="135"/>
        <v/>
      </c>
      <c r="AN120" s="17" t="str">
        <f t="shared" si="154"/>
        <v/>
      </c>
      <c r="AO120" s="18" t="str">
        <f t="shared" si="155"/>
        <v/>
      </c>
      <c r="AP120" s="11"/>
      <c r="AR120" s="75"/>
      <c r="AS120" s="36"/>
      <c r="AT120" s="37" t="str">
        <f t="shared" si="156"/>
        <v/>
      </c>
      <c r="AU120" s="17"/>
      <c r="AV120" s="17" t="str">
        <f t="shared" si="157"/>
        <v/>
      </c>
      <c r="AW120" s="17"/>
      <c r="AX120" s="17" t="str">
        <f t="shared" si="158"/>
        <v/>
      </c>
      <c r="AY120" s="29"/>
      <c r="AZ120" s="114" t="str">
        <f t="shared" si="136"/>
        <v/>
      </c>
      <c r="BA120" s="37" t="str">
        <f t="shared" si="137"/>
        <v/>
      </c>
      <c r="BB120" s="17" t="str">
        <f t="shared" si="159"/>
        <v/>
      </c>
      <c r="BC120" s="18" t="str">
        <f t="shared" si="160"/>
        <v/>
      </c>
      <c r="BD120" s="11"/>
      <c r="BF120" s="7"/>
      <c r="BG120" s="34"/>
      <c r="BH120" s="9" t="str">
        <f t="shared" si="138"/>
        <v/>
      </c>
      <c r="BI120" s="9"/>
      <c r="BJ120" s="9"/>
      <c r="BK120" s="9"/>
      <c r="BL120" s="9" t="str">
        <f t="shared" si="139"/>
        <v/>
      </c>
      <c r="BM120" s="9"/>
      <c r="BN120" s="127"/>
      <c r="BO120" s="9"/>
      <c r="BP120" s="9" t="str">
        <f t="shared" si="132"/>
        <v/>
      </c>
      <c r="BQ120" s="10" t="str">
        <f t="shared" si="133"/>
        <v/>
      </c>
      <c r="BR120" s="11"/>
    </row>
    <row r="121" spans="1:70" ht="15" customHeight="1" thickTop="1" x14ac:dyDescent="0.2">
      <c r="A121" s="71"/>
      <c r="B121" s="61">
        <f>SUM(D121:D124)+SUM(R121:R124)+SUM(AF121:AF124)+SUM(AT121:AT124)+SUM(BH88)</f>
        <v>0</v>
      </c>
      <c r="C121" s="33"/>
      <c r="D121" s="33" t="str">
        <f t="shared" si="140"/>
        <v/>
      </c>
      <c r="E121" s="33"/>
      <c r="F121" s="20" t="str">
        <f t="shared" si="141"/>
        <v/>
      </c>
      <c r="G121" s="33"/>
      <c r="H121" s="33" t="str">
        <f t="shared" si="105"/>
        <v/>
      </c>
      <c r="I121" s="13"/>
      <c r="J121" s="112" t="str">
        <f t="shared" si="142"/>
        <v/>
      </c>
      <c r="K121" s="40" t="str">
        <f t="shared" si="143"/>
        <v/>
      </c>
      <c r="L121" s="20" t="str">
        <f t="shared" si="144"/>
        <v/>
      </c>
      <c r="M121" s="21" t="str">
        <f t="shared" si="145"/>
        <v/>
      </c>
      <c r="N121" s="11"/>
      <c r="P121" s="76" t="str">
        <f>IF($A$417="","",$A$417)</f>
        <v/>
      </c>
      <c r="Q121" s="33"/>
      <c r="R121" s="33" t="str">
        <f t="shared" si="146"/>
        <v/>
      </c>
      <c r="S121" s="33"/>
      <c r="T121" s="20" t="str">
        <f t="shared" si="147"/>
        <v/>
      </c>
      <c r="U121" s="33"/>
      <c r="V121" s="33" t="str">
        <f t="shared" si="148"/>
        <v/>
      </c>
      <c r="W121" s="13"/>
      <c r="X121" s="112" t="str">
        <f t="shared" si="130"/>
        <v/>
      </c>
      <c r="Y121" s="40" t="str">
        <f t="shared" si="131"/>
        <v/>
      </c>
      <c r="Z121" s="20" t="str">
        <f t="shared" si="149"/>
        <v/>
      </c>
      <c r="AA121" s="21" t="str">
        <f t="shared" si="150"/>
        <v/>
      </c>
      <c r="AB121" s="11"/>
      <c r="AD121" s="76" t="str">
        <f>IF($A$417="","",$A$417)</f>
        <v/>
      </c>
      <c r="AE121" s="33"/>
      <c r="AF121" s="33" t="str">
        <f t="shared" si="151"/>
        <v/>
      </c>
      <c r="AG121" s="33"/>
      <c r="AH121" s="20" t="str">
        <f t="shared" si="152"/>
        <v/>
      </c>
      <c r="AI121" s="33"/>
      <c r="AJ121" s="33" t="str">
        <f t="shared" si="153"/>
        <v/>
      </c>
      <c r="AK121" s="13"/>
      <c r="AL121" s="112" t="str">
        <f t="shared" si="134"/>
        <v/>
      </c>
      <c r="AM121" s="40" t="str">
        <f t="shared" si="135"/>
        <v/>
      </c>
      <c r="AN121" s="20" t="str">
        <f t="shared" si="154"/>
        <v/>
      </c>
      <c r="AO121" s="21" t="str">
        <f t="shared" si="155"/>
        <v/>
      </c>
      <c r="AP121" s="11"/>
      <c r="AR121" s="76" t="str">
        <f>IF($A$417="","",$A$417)</f>
        <v/>
      </c>
      <c r="AS121" s="33"/>
      <c r="AT121" s="33" t="str">
        <f t="shared" si="156"/>
        <v/>
      </c>
      <c r="AU121" s="33"/>
      <c r="AV121" s="20" t="str">
        <f t="shared" si="157"/>
        <v/>
      </c>
      <c r="AW121" s="33"/>
      <c r="AX121" s="33" t="str">
        <f t="shared" si="158"/>
        <v/>
      </c>
      <c r="AY121" s="13"/>
      <c r="AZ121" s="112" t="str">
        <f t="shared" si="136"/>
        <v/>
      </c>
      <c r="BA121" s="40" t="str">
        <f t="shared" si="137"/>
        <v/>
      </c>
      <c r="BB121" s="20" t="str">
        <f t="shared" si="159"/>
        <v/>
      </c>
      <c r="BC121" s="21" t="str">
        <f t="shared" si="160"/>
        <v/>
      </c>
      <c r="BD121" s="11"/>
      <c r="BF121" s="7"/>
      <c r="BG121" s="34"/>
      <c r="BH121" s="9" t="str">
        <f t="shared" si="138"/>
        <v/>
      </c>
      <c r="BI121" s="9"/>
      <c r="BJ121" s="9"/>
      <c r="BK121" s="9"/>
      <c r="BL121" s="9" t="str">
        <f t="shared" si="139"/>
        <v/>
      </c>
      <c r="BM121" s="9"/>
      <c r="BN121" s="127"/>
      <c r="BO121" s="9"/>
      <c r="BP121" s="9" t="str">
        <f t="shared" si="132"/>
        <v/>
      </c>
      <c r="BQ121" s="10" t="str">
        <f t="shared" si="133"/>
        <v/>
      </c>
      <c r="BR121" s="11"/>
    </row>
    <row r="122" spans="1:70" ht="15" customHeight="1" x14ac:dyDescent="0.2">
      <c r="A122" s="72"/>
      <c r="B122" s="8"/>
      <c r="C122" s="9"/>
      <c r="D122" s="9" t="str">
        <f t="shared" si="140"/>
        <v/>
      </c>
      <c r="E122" s="9"/>
      <c r="F122" s="9" t="str">
        <f t="shared" si="141"/>
        <v/>
      </c>
      <c r="G122" s="9"/>
      <c r="H122" s="9" t="str">
        <f t="shared" si="105"/>
        <v/>
      </c>
      <c r="I122" s="13"/>
      <c r="J122" s="113" t="str">
        <f t="shared" si="142"/>
        <v/>
      </c>
      <c r="K122" s="34" t="str">
        <f t="shared" si="143"/>
        <v/>
      </c>
      <c r="L122" s="9" t="str">
        <f t="shared" si="144"/>
        <v/>
      </c>
      <c r="M122" s="10" t="str">
        <f t="shared" si="145"/>
        <v/>
      </c>
      <c r="N122" s="11"/>
      <c r="P122" s="72"/>
      <c r="Q122" s="9"/>
      <c r="R122" s="9" t="str">
        <f t="shared" si="146"/>
        <v/>
      </c>
      <c r="S122" s="9"/>
      <c r="T122" s="9" t="str">
        <f t="shared" si="147"/>
        <v/>
      </c>
      <c r="U122" s="9"/>
      <c r="V122" s="9" t="str">
        <f t="shared" si="148"/>
        <v/>
      </c>
      <c r="W122" s="13"/>
      <c r="X122" s="113" t="str">
        <f t="shared" si="130"/>
        <v/>
      </c>
      <c r="Y122" s="34" t="str">
        <f t="shared" si="131"/>
        <v/>
      </c>
      <c r="Z122" s="9" t="str">
        <f t="shared" si="149"/>
        <v/>
      </c>
      <c r="AA122" s="10" t="str">
        <f t="shared" si="150"/>
        <v/>
      </c>
      <c r="AB122" s="11"/>
      <c r="AD122" s="72"/>
      <c r="AE122" s="9"/>
      <c r="AF122" s="9" t="str">
        <f t="shared" si="151"/>
        <v/>
      </c>
      <c r="AG122" s="9"/>
      <c r="AH122" s="9" t="str">
        <f t="shared" si="152"/>
        <v/>
      </c>
      <c r="AI122" s="9"/>
      <c r="AJ122" s="9" t="str">
        <f t="shared" si="153"/>
        <v/>
      </c>
      <c r="AK122" s="13"/>
      <c r="AL122" s="113" t="str">
        <f t="shared" si="134"/>
        <v/>
      </c>
      <c r="AM122" s="34" t="str">
        <f t="shared" si="135"/>
        <v/>
      </c>
      <c r="AN122" s="9" t="str">
        <f t="shared" si="154"/>
        <v/>
      </c>
      <c r="AO122" s="10" t="str">
        <f t="shared" si="155"/>
        <v/>
      </c>
      <c r="AP122" s="11"/>
      <c r="AR122" s="72"/>
      <c r="AS122" s="9"/>
      <c r="AT122" s="9" t="str">
        <f t="shared" si="156"/>
        <v/>
      </c>
      <c r="AU122" s="9"/>
      <c r="AV122" s="9" t="str">
        <f t="shared" si="157"/>
        <v/>
      </c>
      <c r="AW122" s="9"/>
      <c r="AX122" s="9" t="str">
        <f t="shared" si="158"/>
        <v/>
      </c>
      <c r="AY122" s="13"/>
      <c r="AZ122" s="113" t="str">
        <f t="shared" si="136"/>
        <v/>
      </c>
      <c r="BA122" s="34" t="str">
        <f t="shared" si="137"/>
        <v/>
      </c>
      <c r="BB122" s="9" t="str">
        <f t="shared" si="159"/>
        <v/>
      </c>
      <c r="BC122" s="10" t="str">
        <f t="shared" si="160"/>
        <v/>
      </c>
      <c r="BD122" s="11"/>
      <c r="BF122" s="7"/>
      <c r="BG122" s="34"/>
      <c r="BH122" s="9" t="str">
        <f t="shared" si="138"/>
        <v/>
      </c>
      <c r="BI122" s="9"/>
      <c r="BJ122" s="9"/>
      <c r="BK122" s="9"/>
      <c r="BL122" s="9" t="str">
        <f t="shared" si="139"/>
        <v/>
      </c>
      <c r="BM122" s="9"/>
      <c r="BN122" s="127"/>
      <c r="BO122" s="9"/>
      <c r="BP122" s="9" t="str">
        <f t="shared" si="132"/>
        <v/>
      </c>
      <c r="BQ122" s="10" t="str">
        <f t="shared" si="133"/>
        <v/>
      </c>
      <c r="BR122" s="11"/>
    </row>
    <row r="123" spans="1:70" ht="15" customHeight="1" x14ac:dyDescent="0.2">
      <c r="A123" s="72"/>
      <c r="B123" s="8"/>
      <c r="C123" s="23"/>
      <c r="D123" s="9" t="str">
        <f t="shared" si="140"/>
        <v/>
      </c>
      <c r="E123" s="9"/>
      <c r="F123" s="9" t="str">
        <f t="shared" si="141"/>
        <v/>
      </c>
      <c r="G123" s="23"/>
      <c r="H123" s="9" t="str">
        <f t="shared" si="105"/>
        <v/>
      </c>
      <c r="I123" s="30"/>
      <c r="J123" s="113" t="str">
        <f t="shared" si="142"/>
        <v/>
      </c>
      <c r="K123" s="9" t="str">
        <f t="shared" si="143"/>
        <v/>
      </c>
      <c r="L123" s="9" t="str">
        <f t="shared" si="144"/>
        <v/>
      </c>
      <c r="M123" s="10" t="str">
        <f t="shared" si="145"/>
        <v/>
      </c>
      <c r="N123" s="11"/>
      <c r="P123" s="12"/>
      <c r="Q123" s="23"/>
      <c r="R123" s="9" t="str">
        <f t="shared" si="146"/>
        <v/>
      </c>
      <c r="S123" s="9"/>
      <c r="T123" s="9" t="str">
        <f t="shared" si="147"/>
        <v/>
      </c>
      <c r="U123" s="23"/>
      <c r="V123" s="9" t="str">
        <f t="shared" si="148"/>
        <v/>
      </c>
      <c r="W123" s="13"/>
      <c r="X123" s="113" t="str">
        <f t="shared" si="130"/>
        <v/>
      </c>
      <c r="Y123" s="9" t="str">
        <f t="shared" si="131"/>
        <v/>
      </c>
      <c r="Z123" s="9" t="str">
        <f t="shared" si="149"/>
        <v/>
      </c>
      <c r="AA123" s="10" t="str">
        <f t="shared" si="150"/>
        <v/>
      </c>
      <c r="AB123" s="11"/>
      <c r="AD123" s="12"/>
      <c r="AE123" s="23"/>
      <c r="AF123" s="9" t="str">
        <f t="shared" si="151"/>
        <v/>
      </c>
      <c r="AG123" s="9"/>
      <c r="AH123" s="9" t="str">
        <f t="shared" si="152"/>
        <v/>
      </c>
      <c r="AI123" s="23"/>
      <c r="AJ123" s="9" t="str">
        <f t="shared" si="153"/>
        <v/>
      </c>
      <c r="AK123" s="13"/>
      <c r="AL123" s="113" t="str">
        <f t="shared" si="134"/>
        <v/>
      </c>
      <c r="AM123" s="9" t="str">
        <f t="shared" si="135"/>
        <v/>
      </c>
      <c r="AN123" s="9" t="str">
        <f t="shared" si="154"/>
        <v/>
      </c>
      <c r="AO123" s="10" t="str">
        <f t="shared" si="155"/>
        <v/>
      </c>
      <c r="AP123" s="11"/>
      <c r="AR123" s="12"/>
      <c r="AS123" s="23"/>
      <c r="AT123" s="9" t="str">
        <f t="shared" si="156"/>
        <v/>
      </c>
      <c r="AU123" s="9"/>
      <c r="AV123" s="9" t="str">
        <f t="shared" si="157"/>
        <v/>
      </c>
      <c r="AW123" s="23"/>
      <c r="AX123" s="9" t="str">
        <f t="shared" si="158"/>
        <v/>
      </c>
      <c r="AY123" s="13"/>
      <c r="AZ123" s="113" t="str">
        <f t="shared" si="136"/>
        <v/>
      </c>
      <c r="BA123" s="9" t="str">
        <f t="shared" si="137"/>
        <v/>
      </c>
      <c r="BB123" s="9" t="str">
        <f t="shared" si="159"/>
        <v/>
      </c>
      <c r="BC123" s="10" t="str">
        <f t="shared" si="160"/>
        <v/>
      </c>
      <c r="BD123" s="11"/>
      <c r="BF123" s="7"/>
      <c r="BG123" s="34"/>
      <c r="BH123" s="9" t="str">
        <f t="shared" si="138"/>
        <v/>
      </c>
      <c r="BI123" s="9"/>
      <c r="BJ123" s="9"/>
      <c r="BK123" s="9"/>
      <c r="BL123" s="9" t="str">
        <f t="shared" si="139"/>
        <v/>
      </c>
      <c r="BM123" s="9"/>
      <c r="BN123" s="127"/>
      <c r="BO123" s="9"/>
      <c r="BP123" s="9" t="str">
        <f t="shared" si="132"/>
        <v/>
      </c>
      <c r="BQ123" s="10" t="str">
        <f t="shared" si="133"/>
        <v/>
      </c>
      <c r="BR123" s="11"/>
    </row>
    <row r="124" spans="1:70" ht="15" customHeight="1" thickBot="1" x14ac:dyDescent="0.25">
      <c r="A124" s="75"/>
      <c r="B124" s="67"/>
      <c r="C124" s="17"/>
      <c r="D124" s="37" t="str">
        <f t="shared" si="140"/>
        <v/>
      </c>
      <c r="E124" s="17"/>
      <c r="F124" s="17" t="str">
        <f t="shared" si="141"/>
        <v/>
      </c>
      <c r="G124" s="84"/>
      <c r="H124" s="19" t="str">
        <f t="shared" si="105"/>
        <v/>
      </c>
      <c r="I124" s="85"/>
      <c r="J124" s="115" t="str">
        <f t="shared" si="142"/>
        <v/>
      </c>
      <c r="K124" s="37" t="str">
        <f t="shared" si="143"/>
        <v/>
      </c>
      <c r="L124" s="17" t="str">
        <f t="shared" si="144"/>
        <v/>
      </c>
      <c r="M124" s="18" t="str">
        <f t="shared" si="145"/>
        <v/>
      </c>
      <c r="N124" s="11"/>
      <c r="P124" s="16"/>
      <c r="Q124" s="17"/>
      <c r="R124" s="37" t="str">
        <f t="shared" si="146"/>
        <v/>
      </c>
      <c r="S124" s="17"/>
      <c r="T124" s="17" t="str">
        <f t="shared" si="147"/>
        <v/>
      </c>
      <c r="U124" s="84"/>
      <c r="V124" s="17" t="str">
        <f t="shared" si="148"/>
        <v/>
      </c>
      <c r="W124" s="85"/>
      <c r="X124" s="114" t="str">
        <f t="shared" si="130"/>
        <v/>
      </c>
      <c r="Y124" s="37" t="str">
        <f t="shared" si="131"/>
        <v/>
      </c>
      <c r="Z124" s="17" t="str">
        <f t="shared" si="149"/>
        <v/>
      </c>
      <c r="AA124" s="18" t="str">
        <f t="shared" si="150"/>
        <v/>
      </c>
      <c r="AB124" s="11"/>
      <c r="AD124" s="16"/>
      <c r="AE124" s="17"/>
      <c r="AF124" s="37" t="str">
        <f t="shared" si="151"/>
        <v/>
      </c>
      <c r="AG124" s="17"/>
      <c r="AH124" s="17" t="str">
        <f t="shared" si="152"/>
        <v/>
      </c>
      <c r="AI124" s="84"/>
      <c r="AJ124" s="17" t="str">
        <f t="shared" si="153"/>
        <v/>
      </c>
      <c r="AK124" s="85"/>
      <c r="AL124" s="114" t="str">
        <f t="shared" si="134"/>
        <v/>
      </c>
      <c r="AM124" s="37" t="str">
        <f t="shared" si="135"/>
        <v/>
      </c>
      <c r="AN124" s="17" t="str">
        <f t="shared" si="154"/>
        <v/>
      </c>
      <c r="AO124" s="18" t="str">
        <f t="shared" si="155"/>
        <v/>
      </c>
      <c r="AP124" s="11"/>
      <c r="AR124" s="16"/>
      <c r="AS124" s="17"/>
      <c r="AT124" s="37" t="str">
        <f t="shared" si="156"/>
        <v/>
      </c>
      <c r="AU124" s="17"/>
      <c r="AV124" s="17" t="str">
        <f t="shared" si="157"/>
        <v/>
      </c>
      <c r="AW124" s="84"/>
      <c r="AX124" s="17" t="str">
        <f t="shared" si="158"/>
        <v/>
      </c>
      <c r="AY124" s="85"/>
      <c r="AZ124" s="114" t="str">
        <f t="shared" si="136"/>
        <v/>
      </c>
      <c r="BA124" s="37" t="str">
        <f t="shared" si="137"/>
        <v/>
      </c>
      <c r="BB124" s="17" t="str">
        <f t="shared" si="159"/>
        <v/>
      </c>
      <c r="BC124" s="18" t="str">
        <f t="shared" si="160"/>
        <v/>
      </c>
      <c r="BD124" s="11"/>
      <c r="BF124" s="7"/>
      <c r="BG124" s="34"/>
      <c r="BH124" s="9" t="str">
        <f t="shared" si="138"/>
        <v/>
      </c>
      <c r="BI124" s="9"/>
      <c r="BJ124" s="9"/>
      <c r="BK124" s="9"/>
      <c r="BL124" s="9" t="str">
        <f t="shared" si="139"/>
        <v/>
      </c>
      <c r="BM124" s="9"/>
      <c r="BN124" s="127"/>
      <c r="BO124" s="9"/>
      <c r="BP124" s="9" t="str">
        <f t="shared" si="132"/>
        <v/>
      </c>
      <c r="BQ124" s="10" t="str">
        <f t="shared" si="133"/>
        <v/>
      </c>
      <c r="BR124" s="11"/>
    </row>
    <row r="125" spans="1:70" ht="15" customHeight="1" thickTop="1" x14ac:dyDescent="0.2">
      <c r="A125" s="71"/>
      <c r="B125" s="61">
        <f>SUM(D125:D128)+SUM(R125:R128)+SUM(AF125:AF128)+SUM(AT125:AT128)+SUM(BH89)</f>
        <v>0</v>
      </c>
      <c r="C125" s="33"/>
      <c r="D125" s="33" t="str">
        <f t="shared" si="140"/>
        <v/>
      </c>
      <c r="E125" s="33"/>
      <c r="F125" s="20" t="str">
        <f t="shared" si="141"/>
        <v/>
      </c>
      <c r="G125" s="33"/>
      <c r="H125" s="33" t="str">
        <f t="shared" si="105"/>
        <v/>
      </c>
      <c r="I125" s="33"/>
      <c r="J125" s="112" t="str">
        <f t="shared" si="142"/>
        <v/>
      </c>
      <c r="K125" s="40" t="str">
        <f t="shared" si="143"/>
        <v/>
      </c>
      <c r="L125" s="20" t="str">
        <f t="shared" si="144"/>
        <v/>
      </c>
      <c r="M125" s="21" t="str">
        <f t="shared" si="145"/>
        <v/>
      </c>
      <c r="N125" s="11"/>
      <c r="P125" s="47" t="str">
        <f>IF($A$421="","",$A$421)</f>
        <v/>
      </c>
      <c r="Q125" s="33"/>
      <c r="R125" s="33" t="str">
        <f t="shared" si="146"/>
        <v/>
      </c>
      <c r="S125" s="33"/>
      <c r="T125" s="20" t="str">
        <f t="shared" si="147"/>
        <v/>
      </c>
      <c r="U125" s="33"/>
      <c r="V125" s="33" t="str">
        <f t="shared" si="148"/>
        <v/>
      </c>
      <c r="W125" s="33"/>
      <c r="X125" s="112" t="str">
        <f t="shared" si="130"/>
        <v/>
      </c>
      <c r="Y125" s="40" t="str">
        <f t="shared" si="131"/>
        <v/>
      </c>
      <c r="Z125" s="20" t="str">
        <f t="shared" si="149"/>
        <v/>
      </c>
      <c r="AA125" s="21" t="str">
        <f t="shared" si="150"/>
        <v/>
      </c>
      <c r="AB125" s="11"/>
      <c r="AD125" s="47" t="str">
        <f>IF($A$421="","",$A$421)</f>
        <v/>
      </c>
      <c r="AE125" s="33"/>
      <c r="AF125" s="33" t="str">
        <f t="shared" si="151"/>
        <v/>
      </c>
      <c r="AG125" s="33"/>
      <c r="AH125" s="20" t="str">
        <f t="shared" si="152"/>
        <v/>
      </c>
      <c r="AI125" s="33"/>
      <c r="AJ125" s="33" t="str">
        <f t="shared" si="153"/>
        <v/>
      </c>
      <c r="AK125" s="33"/>
      <c r="AL125" s="112" t="str">
        <f t="shared" si="134"/>
        <v/>
      </c>
      <c r="AM125" s="40" t="str">
        <f t="shared" si="135"/>
        <v/>
      </c>
      <c r="AN125" s="20" t="str">
        <f t="shared" si="154"/>
        <v/>
      </c>
      <c r="AO125" s="21" t="str">
        <f t="shared" si="155"/>
        <v/>
      </c>
      <c r="AP125" s="11"/>
      <c r="AR125" s="47" t="str">
        <f>IF($A$421="","",$A$421)</f>
        <v/>
      </c>
      <c r="AS125" s="33"/>
      <c r="AT125" s="33" t="str">
        <f t="shared" si="156"/>
        <v/>
      </c>
      <c r="AU125" s="33"/>
      <c r="AV125" s="20" t="str">
        <f t="shared" si="157"/>
        <v/>
      </c>
      <c r="AW125" s="33"/>
      <c r="AX125" s="33" t="str">
        <f t="shared" si="158"/>
        <v/>
      </c>
      <c r="AY125" s="33"/>
      <c r="AZ125" s="112" t="str">
        <f t="shared" si="136"/>
        <v/>
      </c>
      <c r="BA125" s="40" t="str">
        <f t="shared" si="137"/>
        <v/>
      </c>
      <c r="BB125" s="20" t="str">
        <f t="shared" si="159"/>
        <v/>
      </c>
      <c r="BC125" s="21" t="str">
        <f t="shared" si="160"/>
        <v/>
      </c>
      <c r="BD125" s="11"/>
      <c r="BF125" s="7"/>
      <c r="BG125" s="34"/>
      <c r="BH125" s="9"/>
      <c r="BI125" s="9"/>
      <c r="BJ125" s="9"/>
      <c r="BK125" s="9"/>
      <c r="BL125" s="9"/>
      <c r="BM125" s="9"/>
      <c r="BN125" s="127"/>
      <c r="BO125" s="9"/>
      <c r="BP125" s="9"/>
      <c r="BQ125" s="10"/>
      <c r="BR125" s="11"/>
    </row>
    <row r="126" spans="1:70" ht="15" customHeight="1" x14ac:dyDescent="0.2">
      <c r="A126" s="72"/>
      <c r="B126" s="8"/>
      <c r="C126" s="9"/>
      <c r="D126" s="9" t="str">
        <f t="shared" si="140"/>
        <v/>
      </c>
      <c r="E126" s="9"/>
      <c r="F126" s="9" t="str">
        <f t="shared" si="141"/>
        <v/>
      </c>
      <c r="G126" s="9"/>
      <c r="H126" s="9" t="str">
        <f t="shared" si="105"/>
        <v/>
      </c>
      <c r="I126" s="9"/>
      <c r="J126" s="113" t="str">
        <f t="shared" si="142"/>
        <v/>
      </c>
      <c r="K126" s="34" t="str">
        <f t="shared" si="143"/>
        <v/>
      </c>
      <c r="L126" s="9" t="str">
        <f t="shared" si="144"/>
        <v/>
      </c>
      <c r="M126" s="10" t="str">
        <f t="shared" si="145"/>
        <v/>
      </c>
      <c r="N126" s="11"/>
      <c r="P126" s="12"/>
      <c r="Q126" s="9"/>
      <c r="R126" s="9" t="str">
        <f t="shared" si="146"/>
        <v/>
      </c>
      <c r="S126" s="9"/>
      <c r="T126" s="9" t="str">
        <f t="shared" si="147"/>
        <v/>
      </c>
      <c r="U126" s="9"/>
      <c r="V126" s="9" t="str">
        <f t="shared" si="148"/>
        <v/>
      </c>
      <c r="W126" s="9"/>
      <c r="X126" s="113" t="str">
        <f t="shared" si="130"/>
        <v/>
      </c>
      <c r="Y126" s="34" t="str">
        <f t="shared" si="131"/>
        <v/>
      </c>
      <c r="Z126" s="9" t="str">
        <f t="shared" si="149"/>
        <v/>
      </c>
      <c r="AA126" s="10" t="str">
        <f t="shared" si="150"/>
        <v/>
      </c>
      <c r="AB126" s="11"/>
      <c r="AD126" s="12"/>
      <c r="AE126" s="9"/>
      <c r="AF126" s="9" t="str">
        <f t="shared" si="151"/>
        <v/>
      </c>
      <c r="AG126" s="9"/>
      <c r="AH126" s="9" t="str">
        <f t="shared" si="152"/>
        <v/>
      </c>
      <c r="AI126" s="9"/>
      <c r="AJ126" s="9" t="str">
        <f t="shared" si="153"/>
        <v/>
      </c>
      <c r="AK126" s="9"/>
      <c r="AL126" s="113" t="str">
        <f t="shared" si="134"/>
        <v/>
      </c>
      <c r="AM126" s="34" t="str">
        <f t="shared" si="135"/>
        <v/>
      </c>
      <c r="AN126" s="9" t="str">
        <f t="shared" si="154"/>
        <v/>
      </c>
      <c r="AO126" s="10" t="str">
        <f t="shared" si="155"/>
        <v/>
      </c>
      <c r="AP126" s="11"/>
      <c r="AR126" s="12"/>
      <c r="AS126" s="9"/>
      <c r="AT126" s="9" t="str">
        <f t="shared" si="156"/>
        <v/>
      </c>
      <c r="AU126" s="9"/>
      <c r="AV126" s="9" t="str">
        <f t="shared" si="157"/>
        <v/>
      </c>
      <c r="AW126" s="9"/>
      <c r="AX126" s="9" t="str">
        <f t="shared" si="158"/>
        <v/>
      </c>
      <c r="AY126" s="9"/>
      <c r="AZ126" s="113" t="str">
        <f t="shared" si="136"/>
        <v/>
      </c>
      <c r="BA126" s="34" t="str">
        <f t="shared" si="137"/>
        <v/>
      </c>
      <c r="BB126" s="9" t="str">
        <f t="shared" si="159"/>
        <v/>
      </c>
      <c r="BC126" s="10" t="str">
        <f t="shared" si="160"/>
        <v/>
      </c>
      <c r="BD126" s="11"/>
      <c r="BF126" s="7"/>
      <c r="BG126" s="34"/>
      <c r="BH126" s="9" t="str">
        <f>IF(BG126="","",BG126-#REF!)</f>
        <v/>
      </c>
      <c r="BI126" s="9"/>
      <c r="BJ126" s="9"/>
      <c r="BK126" s="9"/>
      <c r="BL126" s="9" t="str">
        <f>IF(BK126="","",#REF!+#REF!-BK126)</f>
        <v/>
      </c>
      <c r="BM126" s="9"/>
      <c r="BN126" s="127"/>
      <c r="BO126" s="9"/>
      <c r="BP126" s="9" t="str">
        <f>IF(BO126="","",BL126*BO126)</f>
        <v/>
      </c>
      <c r="BQ126" s="10" t="str">
        <f>IF(BP126="","",BP126/(BH126*100))</f>
        <v/>
      </c>
      <c r="BR126" s="11"/>
    </row>
    <row r="127" spans="1:70" ht="15" customHeight="1" x14ac:dyDescent="0.2">
      <c r="A127" s="72"/>
      <c r="B127" s="8"/>
      <c r="C127" s="9"/>
      <c r="D127" s="9" t="str">
        <f t="shared" si="140"/>
        <v/>
      </c>
      <c r="E127" s="9"/>
      <c r="F127" s="9" t="str">
        <f t="shared" si="141"/>
        <v/>
      </c>
      <c r="G127" s="9"/>
      <c r="H127" s="9" t="str">
        <f t="shared" si="105"/>
        <v/>
      </c>
      <c r="I127" s="9"/>
      <c r="J127" s="113" t="str">
        <f t="shared" si="142"/>
        <v/>
      </c>
      <c r="K127" s="9" t="str">
        <f t="shared" si="143"/>
        <v/>
      </c>
      <c r="L127" s="9" t="str">
        <f t="shared" si="144"/>
        <v/>
      </c>
      <c r="M127" s="10" t="str">
        <f t="shared" si="145"/>
        <v/>
      </c>
      <c r="N127" s="11"/>
      <c r="P127" s="12"/>
      <c r="Q127" s="9"/>
      <c r="R127" s="9" t="str">
        <f t="shared" si="146"/>
        <v/>
      </c>
      <c r="S127" s="9"/>
      <c r="T127" s="9" t="str">
        <f t="shared" si="147"/>
        <v/>
      </c>
      <c r="U127" s="9"/>
      <c r="V127" s="9" t="str">
        <f t="shared" si="148"/>
        <v/>
      </c>
      <c r="W127" s="9"/>
      <c r="X127" s="113" t="str">
        <f t="shared" si="130"/>
        <v/>
      </c>
      <c r="Y127" s="9" t="str">
        <f t="shared" si="131"/>
        <v/>
      </c>
      <c r="Z127" s="9" t="str">
        <f t="shared" si="149"/>
        <v/>
      </c>
      <c r="AA127" s="10" t="str">
        <f t="shared" si="150"/>
        <v/>
      </c>
      <c r="AB127" s="11"/>
      <c r="AD127" s="12"/>
      <c r="AE127" s="9"/>
      <c r="AF127" s="9" t="str">
        <f t="shared" si="151"/>
        <v/>
      </c>
      <c r="AG127" s="9"/>
      <c r="AH127" s="9" t="str">
        <f t="shared" si="152"/>
        <v/>
      </c>
      <c r="AI127" s="9"/>
      <c r="AJ127" s="9" t="str">
        <f t="shared" si="153"/>
        <v/>
      </c>
      <c r="AK127" s="9"/>
      <c r="AL127" s="113" t="str">
        <f t="shared" si="134"/>
        <v/>
      </c>
      <c r="AM127" s="9" t="str">
        <f t="shared" si="135"/>
        <v/>
      </c>
      <c r="AN127" s="9" t="str">
        <f t="shared" si="154"/>
        <v/>
      </c>
      <c r="AO127" s="10" t="str">
        <f t="shared" si="155"/>
        <v/>
      </c>
      <c r="AP127" s="11"/>
      <c r="AR127" s="12"/>
      <c r="AS127" s="9"/>
      <c r="AT127" s="9" t="str">
        <f t="shared" si="156"/>
        <v/>
      </c>
      <c r="AU127" s="9"/>
      <c r="AV127" s="9" t="str">
        <f t="shared" si="157"/>
        <v/>
      </c>
      <c r="AW127" s="9"/>
      <c r="AX127" s="9" t="str">
        <f t="shared" si="158"/>
        <v/>
      </c>
      <c r="AY127" s="9"/>
      <c r="AZ127" s="113" t="str">
        <f t="shared" si="136"/>
        <v/>
      </c>
      <c r="BA127" s="9" t="str">
        <f t="shared" si="137"/>
        <v/>
      </c>
      <c r="BB127" s="9" t="str">
        <f t="shared" si="159"/>
        <v/>
      </c>
      <c r="BC127" s="10" t="str">
        <f t="shared" si="160"/>
        <v/>
      </c>
      <c r="BD127" s="11"/>
      <c r="BF127" s="7"/>
      <c r="BG127" s="34"/>
      <c r="BH127" s="9" t="str">
        <f>IF(BG127="","",BG127-BG126)</f>
        <v/>
      </c>
      <c r="BI127" s="9"/>
      <c r="BJ127" s="9"/>
      <c r="BK127" s="9"/>
      <c r="BL127" s="9" t="str">
        <f>IF(BK127="","",BK126+BM126-BK127)</f>
        <v/>
      </c>
      <c r="BM127" s="9"/>
      <c r="BN127" s="127"/>
      <c r="BO127" s="9"/>
      <c r="BP127" s="9" t="str">
        <f>IF(BO127="","",BL127*BO127)</f>
        <v/>
      </c>
      <c r="BQ127" s="10" t="str">
        <f>IF(BP127="","",BP127/(BH127*100))</f>
        <v/>
      </c>
      <c r="BR127" s="11"/>
    </row>
    <row r="128" spans="1:70" ht="15" customHeight="1" thickBot="1" x14ac:dyDescent="0.25">
      <c r="A128" s="75"/>
      <c r="B128" s="67"/>
      <c r="C128" s="17"/>
      <c r="D128" s="17" t="str">
        <f t="shared" si="140"/>
        <v/>
      </c>
      <c r="E128" s="17"/>
      <c r="F128" s="17" t="str">
        <f t="shared" si="141"/>
        <v/>
      </c>
      <c r="G128" s="17"/>
      <c r="H128" s="17"/>
      <c r="I128" s="17"/>
      <c r="J128" s="114" t="str">
        <f t="shared" si="142"/>
        <v/>
      </c>
      <c r="K128" s="37" t="str">
        <f t="shared" si="143"/>
        <v/>
      </c>
      <c r="L128" s="17" t="str">
        <f t="shared" si="144"/>
        <v/>
      </c>
      <c r="M128" s="18" t="str">
        <f t="shared" si="145"/>
        <v/>
      </c>
      <c r="N128" s="11"/>
      <c r="P128" s="16"/>
      <c r="Q128" s="17"/>
      <c r="R128" s="17" t="str">
        <f t="shared" si="146"/>
        <v/>
      </c>
      <c r="S128" s="17"/>
      <c r="T128" s="17" t="str">
        <f t="shared" si="147"/>
        <v/>
      </c>
      <c r="U128" s="17"/>
      <c r="V128" s="17" t="str">
        <f t="shared" si="148"/>
        <v/>
      </c>
      <c r="W128" s="17"/>
      <c r="X128" s="114" t="str">
        <f t="shared" si="130"/>
        <v/>
      </c>
      <c r="Y128" s="37" t="str">
        <f t="shared" si="131"/>
        <v/>
      </c>
      <c r="Z128" s="17" t="str">
        <f t="shared" si="149"/>
        <v/>
      </c>
      <c r="AA128" s="18" t="str">
        <f t="shared" si="150"/>
        <v/>
      </c>
      <c r="AB128" s="11"/>
      <c r="AD128" s="16"/>
      <c r="AE128" s="17"/>
      <c r="AF128" s="17" t="str">
        <f t="shared" si="151"/>
        <v/>
      </c>
      <c r="AG128" s="17"/>
      <c r="AH128" s="17" t="str">
        <f t="shared" si="152"/>
        <v/>
      </c>
      <c r="AI128" s="17"/>
      <c r="AJ128" s="17" t="str">
        <f t="shared" si="153"/>
        <v/>
      </c>
      <c r="AK128" s="17"/>
      <c r="AL128" s="114" t="str">
        <f t="shared" si="134"/>
        <v/>
      </c>
      <c r="AM128" s="37" t="str">
        <f t="shared" si="135"/>
        <v/>
      </c>
      <c r="AN128" s="17" t="str">
        <f t="shared" si="154"/>
        <v/>
      </c>
      <c r="AO128" s="18" t="str">
        <f t="shared" si="155"/>
        <v/>
      </c>
      <c r="AP128" s="11"/>
      <c r="AR128" s="16"/>
      <c r="AS128" s="17"/>
      <c r="AT128" s="17" t="str">
        <f t="shared" si="156"/>
        <v/>
      </c>
      <c r="AU128" s="17"/>
      <c r="AV128" s="17" t="str">
        <f t="shared" si="157"/>
        <v/>
      </c>
      <c r="AW128" s="17"/>
      <c r="AX128" s="17" t="str">
        <f t="shared" si="158"/>
        <v/>
      </c>
      <c r="AY128" s="17"/>
      <c r="AZ128" s="114" t="str">
        <f t="shared" si="136"/>
        <v/>
      </c>
      <c r="BA128" s="37" t="str">
        <f t="shared" si="137"/>
        <v/>
      </c>
      <c r="BB128" s="17" t="str">
        <f t="shared" si="159"/>
        <v/>
      </c>
      <c r="BC128" s="18" t="str">
        <f t="shared" si="160"/>
        <v/>
      </c>
      <c r="BD128" s="11"/>
      <c r="BF128" s="7"/>
      <c r="BG128" s="34"/>
      <c r="BH128" s="9" t="str">
        <f>IF(BG128="","",BG128-BG127)</f>
        <v/>
      </c>
      <c r="BI128" s="9"/>
      <c r="BJ128" s="9"/>
      <c r="BK128" s="9"/>
      <c r="BL128" s="9" t="str">
        <f>IF(BK128="","",BK127+BM127-BK128)</f>
        <v/>
      </c>
      <c r="BM128" s="9"/>
      <c r="BN128" s="127"/>
      <c r="BO128" s="9"/>
      <c r="BP128" s="9" t="str">
        <f>IF(BO128="","",BL128*BO128)</f>
        <v/>
      </c>
      <c r="BQ128" s="10" t="str">
        <f>IF(BP128="","",BP128/(BH128*100))</f>
        <v/>
      </c>
      <c r="BR128" s="11"/>
    </row>
    <row r="129" spans="1:70" ht="15" customHeight="1" thickTop="1" x14ac:dyDescent="0.2">
      <c r="A129" s="71"/>
      <c r="B129" s="61">
        <f>SUM(D129:D132)+SUM(R129:R132)+SUM(AF129:AF132)+SUM(AT129:AT132)+SUM(BH90)</f>
        <v>0</v>
      </c>
      <c r="C129" s="33"/>
      <c r="D129" s="33" t="str">
        <f t="shared" si="140"/>
        <v/>
      </c>
      <c r="E129" s="33"/>
      <c r="F129" s="33" t="str">
        <f t="shared" si="141"/>
        <v/>
      </c>
      <c r="G129" s="33"/>
      <c r="H129" s="33" t="str">
        <f>IF(G129="","",G125+I125-G129)</f>
        <v/>
      </c>
      <c r="I129" s="33"/>
      <c r="J129" s="112" t="str">
        <f t="shared" si="142"/>
        <v/>
      </c>
      <c r="K129" s="33" t="str">
        <f t="shared" si="143"/>
        <v/>
      </c>
      <c r="L129" s="33" t="str">
        <f t="shared" si="144"/>
        <v/>
      </c>
      <c r="M129" s="33" t="str">
        <f t="shared" si="145"/>
        <v/>
      </c>
      <c r="N129" s="11"/>
      <c r="P129" s="47" t="str">
        <f>IF($A$425="","",$A$425)</f>
        <v/>
      </c>
      <c r="Q129" s="33"/>
      <c r="R129" s="33" t="str">
        <f t="shared" si="146"/>
        <v/>
      </c>
      <c r="S129" s="33"/>
      <c r="T129" s="33" t="str">
        <f t="shared" si="147"/>
        <v/>
      </c>
      <c r="U129" s="33"/>
      <c r="V129" s="33" t="str">
        <f t="shared" si="148"/>
        <v/>
      </c>
      <c r="W129" s="33"/>
      <c r="X129" s="112" t="str">
        <f t="shared" si="130"/>
        <v/>
      </c>
      <c r="Y129" s="33" t="str">
        <f t="shared" si="131"/>
        <v/>
      </c>
      <c r="Z129" s="33" t="str">
        <f t="shared" si="149"/>
        <v/>
      </c>
      <c r="AA129" s="33" t="str">
        <f t="shared" si="150"/>
        <v/>
      </c>
      <c r="AB129" s="11"/>
      <c r="AD129" s="47" t="str">
        <f>IF($A$425="","",$A$425)</f>
        <v/>
      </c>
      <c r="AE129" s="33"/>
      <c r="AF129" s="33" t="str">
        <f t="shared" si="151"/>
        <v/>
      </c>
      <c r="AG129" s="33"/>
      <c r="AH129" s="33" t="str">
        <f t="shared" si="152"/>
        <v/>
      </c>
      <c r="AI129" s="33"/>
      <c r="AJ129" s="33" t="str">
        <f t="shared" si="153"/>
        <v/>
      </c>
      <c r="AK129" s="33"/>
      <c r="AL129" s="112" t="str">
        <f t="shared" si="134"/>
        <v/>
      </c>
      <c r="AM129" s="33" t="str">
        <f t="shared" si="135"/>
        <v/>
      </c>
      <c r="AN129" s="33" t="str">
        <f t="shared" si="154"/>
        <v/>
      </c>
      <c r="AO129" s="33" t="str">
        <f t="shared" si="155"/>
        <v/>
      </c>
      <c r="AP129" s="11"/>
      <c r="AR129" s="47" t="str">
        <f>IF($A$425="","",$A$425)</f>
        <v/>
      </c>
      <c r="AS129" s="33"/>
      <c r="AT129" s="33" t="str">
        <f t="shared" si="156"/>
        <v/>
      </c>
      <c r="AU129" s="33"/>
      <c r="AV129" s="33" t="str">
        <f t="shared" si="157"/>
        <v/>
      </c>
      <c r="AW129" s="33"/>
      <c r="AX129" s="33" t="str">
        <f t="shared" si="158"/>
        <v/>
      </c>
      <c r="AY129" s="33"/>
      <c r="AZ129" s="112" t="str">
        <f t="shared" si="136"/>
        <v/>
      </c>
      <c r="BA129" s="33" t="str">
        <f t="shared" si="137"/>
        <v/>
      </c>
      <c r="BB129" s="33" t="str">
        <f t="shared" si="159"/>
        <v/>
      </c>
      <c r="BC129" s="33" t="str">
        <f t="shared" si="160"/>
        <v/>
      </c>
      <c r="BD129" s="11"/>
      <c r="BF129" s="7"/>
      <c r="BG129" s="34"/>
      <c r="BH129" s="9"/>
      <c r="BI129" s="9"/>
      <c r="BJ129" s="9"/>
      <c r="BK129" s="9"/>
      <c r="BL129" s="9" t="str">
        <f>IF(BK129="","",BK128+BM128-BK129)</f>
        <v/>
      </c>
      <c r="BM129" s="9"/>
      <c r="BN129" s="127"/>
      <c r="BO129" s="9"/>
      <c r="BP129" s="9" t="str">
        <f>IF(BO129="","",BL129*BO129)</f>
        <v/>
      </c>
      <c r="BQ129" s="10" t="str">
        <f>IF(BP129="","",BP129/(BH129*100))</f>
        <v/>
      </c>
      <c r="BR129" s="11"/>
    </row>
    <row r="130" spans="1:70" ht="15" customHeight="1" x14ac:dyDescent="0.2">
      <c r="A130" s="71"/>
      <c r="B130" s="61"/>
      <c r="C130" s="33"/>
      <c r="D130" s="33" t="str">
        <f t="shared" si="140"/>
        <v/>
      </c>
      <c r="E130" s="33"/>
      <c r="F130" s="33" t="str">
        <f t="shared" si="141"/>
        <v/>
      </c>
      <c r="G130" s="33"/>
      <c r="H130" s="33" t="str">
        <f>IF(G130="","",G126+I126-G130)</f>
        <v/>
      </c>
      <c r="I130" s="33"/>
      <c r="J130" s="112" t="str">
        <f t="shared" si="142"/>
        <v/>
      </c>
      <c r="K130" s="33" t="str">
        <f t="shared" si="143"/>
        <v/>
      </c>
      <c r="L130" s="33" t="str">
        <f t="shared" si="144"/>
        <v/>
      </c>
      <c r="M130" s="33" t="str">
        <f t="shared" si="145"/>
        <v/>
      </c>
      <c r="N130" s="11"/>
      <c r="P130" s="42"/>
      <c r="Q130" s="33"/>
      <c r="R130" s="33" t="str">
        <f t="shared" si="146"/>
        <v/>
      </c>
      <c r="S130" s="33"/>
      <c r="T130" s="33" t="str">
        <f t="shared" si="147"/>
        <v/>
      </c>
      <c r="U130" s="33"/>
      <c r="V130" s="33" t="str">
        <f t="shared" si="148"/>
        <v/>
      </c>
      <c r="W130" s="33"/>
      <c r="X130" s="112" t="str">
        <f t="shared" si="130"/>
        <v/>
      </c>
      <c r="Y130" s="33" t="str">
        <f t="shared" si="131"/>
        <v/>
      </c>
      <c r="Z130" s="33" t="str">
        <f t="shared" si="149"/>
        <v/>
      </c>
      <c r="AA130" s="33" t="str">
        <f t="shared" si="150"/>
        <v/>
      </c>
      <c r="AB130" s="11"/>
      <c r="AD130" s="42"/>
      <c r="AE130" s="33"/>
      <c r="AF130" s="33" t="str">
        <f t="shared" si="151"/>
        <v/>
      </c>
      <c r="AG130" s="33"/>
      <c r="AH130" s="33" t="str">
        <f t="shared" si="152"/>
        <v/>
      </c>
      <c r="AI130" s="33"/>
      <c r="AJ130" s="33" t="str">
        <f t="shared" si="153"/>
        <v/>
      </c>
      <c r="AK130" s="33"/>
      <c r="AL130" s="112" t="str">
        <f t="shared" si="134"/>
        <v/>
      </c>
      <c r="AM130" s="33" t="str">
        <f t="shared" si="135"/>
        <v/>
      </c>
      <c r="AN130" s="33" t="str">
        <f t="shared" si="154"/>
        <v/>
      </c>
      <c r="AO130" s="33" t="str">
        <f t="shared" si="155"/>
        <v/>
      </c>
      <c r="AP130" s="11"/>
      <c r="AR130" s="42"/>
      <c r="AS130" s="33"/>
      <c r="AT130" s="33" t="str">
        <f t="shared" si="156"/>
        <v/>
      </c>
      <c r="AU130" s="33"/>
      <c r="AV130" s="33" t="str">
        <f t="shared" si="157"/>
        <v/>
      </c>
      <c r="AW130" s="33"/>
      <c r="AX130" s="33" t="str">
        <f t="shared" si="158"/>
        <v/>
      </c>
      <c r="AY130" s="33"/>
      <c r="AZ130" s="112" t="str">
        <f t="shared" si="136"/>
        <v/>
      </c>
      <c r="BA130" s="33" t="str">
        <f t="shared" si="137"/>
        <v/>
      </c>
      <c r="BB130" s="33" t="str">
        <f t="shared" si="159"/>
        <v/>
      </c>
      <c r="BC130" s="33" t="str">
        <f t="shared" si="160"/>
        <v/>
      </c>
      <c r="BD130" s="11"/>
      <c r="BF130" s="7"/>
      <c r="BG130" s="34"/>
      <c r="BH130" s="9"/>
      <c r="BI130" s="9"/>
      <c r="BJ130" s="9"/>
      <c r="BK130" s="9"/>
      <c r="BL130" s="9"/>
      <c r="BM130" s="9"/>
      <c r="BN130" s="127"/>
      <c r="BO130" s="9"/>
      <c r="BP130" s="9"/>
      <c r="BQ130" s="10"/>
      <c r="BR130" s="11"/>
    </row>
    <row r="131" spans="1:70" ht="15" customHeight="1" x14ac:dyDescent="0.2">
      <c r="A131" s="4"/>
      <c r="B131" s="64"/>
      <c r="C131" s="38"/>
      <c r="D131" s="38" t="str">
        <f t="shared" si="140"/>
        <v/>
      </c>
      <c r="E131" s="38"/>
      <c r="F131" s="38" t="str">
        <f t="shared" si="141"/>
        <v/>
      </c>
      <c r="G131" s="38"/>
      <c r="H131" s="38" t="str">
        <f>IF(G131="","",G127+I127-G131)</f>
        <v/>
      </c>
      <c r="I131" s="38"/>
      <c r="J131" s="116" t="str">
        <f t="shared" si="142"/>
        <v/>
      </c>
      <c r="K131" s="38" t="str">
        <f t="shared" si="143"/>
        <v/>
      </c>
      <c r="L131" s="38" t="str">
        <f t="shared" si="144"/>
        <v/>
      </c>
      <c r="M131" s="38" t="str">
        <f t="shared" si="145"/>
        <v/>
      </c>
      <c r="N131" s="26"/>
      <c r="P131" s="53"/>
      <c r="Q131" s="38"/>
      <c r="R131" s="38" t="str">
        <f t="shared" si="146"/>
        <v/>
      </c>
      <c r="S131" s="38"/>
      <c r="T131" s="38" t="str">
        <f t="shared" si="147"/>
        <v/>
      </c>
      <c r="U131" s="38"/>
      <c r="V131" s="38" t="str">
        <f t="shared" si="148"/>
        <v/>
      </c>
      <c r="W131" s="38"/>
      <c r="X131" s="116" t="str">
        <f t="shared" si="130"/>
        <v/>
      </c>
      <c r="Y131" s="38" t="str">
        <f t="shared" si="131"/>
        <v/>
      </c>
      <c r="Z131" s="38" t="str">
        <f t="shared" si="149"/>
        <v/>
      </c>
      <c r="AA131" s="38" t="str">
        <f t="shared" si="150"/>
        <v/>
      </c>
      <c r="AB131" s="26"/>
      <c r="AD131" s="53"/>
      <c r="AE131" s="38"/>
      <c r="AF131" s="38" t="str">
        <f t="shared" si="151"/>
        <v/>
      </c>
      <c r="AG131" s="38"/>
      <c r="AH131" s="38" t="str">
        <f t="shared" si="152"/>
        <v/>
      </c>
      <c r="AI131" s="38"/>
      <c r="AJ131" s="38" t="str">
        <f t="shared" si="153"/>
        <v/>
      </c>
      <c r="AK131" s="38"/>
      <c r="AL131" s="116" t="str">
        <f t="shared" si="134"/>
        <v/>
      </c>
      <c r="AM131" s="38" t="str">
        <f t="shared" si="135"/>
        <v/>
      </c>
      <c r="AN131" s="38" t="str">
        <f t="shared" si="154"/>
        <v/>
      </c>
      <c r="AO131" s="38" t="str">
        <f t="shared" si="155"/>
        <v/>
      </c>
      <c r="AP131" s="26"/>
      <c r="AR131" s="53"/>
      <c r="AS131" s="38"/>
      <c r="AT131" s="38" t="str">
        <f t="shared" si="156"/>
        <v/>
      </c>
      <c r="AU131" s="38"/>
      <c r="AV131" s="38" t="str">
        <f t="shared" si="157"/>
        <v/>
      </c>
      <c r="AW131" s="38"/>
      <c r="AX131" s="38" t="str">
        <f t="shared" si="158"/>
        <v/>
      </c>
      <c r="AY131" s="38"/>
      <c r="AZ131" s="116" t="str">
        <f t="shared" si="136"/>
        <v/>
      </c>
      <c r="BA131" s="38" t="str">
        <f t="shared" si="137"/>
        <v/>
      </c>
      <c r="BB131" s="38" t="str">
        <f t="shared" si="159"/>
        <v/>
      </c>
      <c r="BC131" s="38" t="str">
        <f t="shared" si="160"/>
        <v/>
      </c>
      <c r="BD131" s="26"/>
      <c r="BF131" s="7"/>
      <c r="BG131" s="34"/>
      <c r="BH131" s="9"/>
      <c r="BI131" s="9"/>
      <c r="BJ131" s="9"/>
      <c r="BK131" s="9"/>
      <c r="BL131" s="9"/>
      <c r="BM131" s="9"/>
      <c r="BN131" s="127"/>
      <c r="BO131" s="9"/>
      <c r="BP131" s="9"/>
      <c r="BQ131" s="10"/>
      <c r="BR131" s="11"/>
    </row>
    <row r="132" spans="1:70" ht="15" customHeight="1" thickBot="1" x14ac:dyDescent="0.25">
      <c r="A132" s="58"/>
      <c r="B132" s="65"/>
      <c r="C132" s="36"/>
      <c r="D132" s="36" t="str">
        <f t="shared" si="140"/>
        <v/>
      </c>
      <c r="E132" s="36"/>
      <c r="F132" s="36" t="str">
        <f t="shared" si="141"/>
        <v/>
      </c>
      <c r="G132" s="36"/>
      <c r="H132" s="36" t="str">
        <f>IF(G132="","",G128+I128-G132)</f>
        <v/>
      </c>
      <c r="I132" s="36"/>
      <c r="J132" s="117" t="str">
        <f t="shared" si="142"/>
        <v/>
      </c>
      <c r="K132" s="36" t="str">
        <f t="shared" si="143"/>
        <v/>
      </c>
      <c r="L132" s="36" t="str">
        <f t="shared" si="144"/>
        <v/>
      </c>
      <c r="M132" s="36" t="str">
        <f t="shared" si="145"/>
        <v/>
      </c>
      <c r="N132" s="52"/>
      <c r="P132" s="51"/>
      <c r="Q132" s="36"/>
      <c r="R132" s="36" t="str">
        <f t="shared" si="146"/>
        <v/>
      </c>
      <c r="S132" s="36"/>
      <c r="T132" s="36" t="str">
        <f t="shared" si="147"/>
        <v/>
      </c>
      <c r="U132" s="36"/>
      <c r="V132" s="36" t="str">
        <f t="shared" si="148"/>
        <v/>
      </c>
      <c r="W132" s="36"/>
      <c r="X132" s="117" t="str">
        <f t="shared" si="130"/>
        <v/>
      </c>
      <c r="Y132" s="36" t="str">
        <f t="shared" si="131"/>
        <v/>
      </c>
      <c r="Z132" s="36" t="str">
        <f t="shared" si="149"/>
        <v/>
      </c>
      <c r="AA132" s="36" t="str">
        <f t="shared" si="150"/>
        <v/>
      </c>
      <c r="AB132" s="52"/>
      <c r="AD132" s="51"/>
      <c r="AE132" s="36"/>
      <c r="AF132" s="36" t="str">
        <f t="shared" si="151"/>
        <v/>
      </c>
      <c r="AG132" s="36"/>
      <c r="AH132" s="36" t="str">
        <f t="shared" si="152"/>
        <v/>
      </c>
      <c r="AI132" s="36"/>
      <c r="AJ132" s="36" t="str">
        <f t="shared" si="153"/>
        <v/>
      </c>
      <c r="AK132" s="36"/>
      <c r="AL132" s="117" t="str">
        <f t="shared" si="134"/>
        <v/>
      </c>
      <c r="AM132" s="36" t="str">
        <f t="shared" si="135"/>
        <v/>
      </c>
      <c r="AN132" s="36" t="str">
        <f t="shared" si="154"/>
        <v/>
      </c>
      <c r="AO132" s="36" t="str">
        <f t="shared" si="155"/>
        <v/>
      </c>
      <c r="AP132" s="52"/>
      <c r="AR132" s="51"/>
      <c r="AS132" s="36"/>
      <c r="AT132" s="36" t="str">
        <f t="shared" si="156"/>
        <v/>
      </c>
      <c r="AU132" s="36"/>
      <c r="AV132" s="36" t="str">
        <f t="shared" si="157"/>
        <v/>
      </c>
      <c r="AW132" s="36"/>
      <c r="AX132" s="36" t="str">
        <f t="shared" si="158"/>
        <v/>
      </c>
      <c r="AY132" s="36"/>
      <c r="AZ132" s="117" t="str">
        <f t="shared" si="136"/>
        <v/>
      </c>
      <c r="BA132" s="36" t="str">
        <f t="shared" si="137"/>
        <v/>
      </c>
      <c r="BB132" s="36" t="str">
        <f t="shared" si="159"/>
        <v/>
      </c>
      <c r="BC132" s="36" t="str">
        <f t="shared" si="160"/>
        <v/>
      </c>
      <c r="BD132" s="52"/>
      <c r="BF132" s="7"/>
      <c r="BG132" s="34"/>
      <c r="BH132" s="9"/>
      <c r="BI132" s="9"/>
      <c r="BJ132" s="9"/>
      <c r="BK132" s="9"/>
      <c r="BL132" s="9"/>
      <c r="BM132" s="9"/>
      <c r="BN132" s="127"/>
      <c r="BO132" s="9"/>
      <c r="BP132" s="9"/>
      <c r="BQ132" s="10"/>
      <c r="BR132" s="11"/>
    </row>
    <row r="133" spans="1:70" ht="15" customHeight="1" thickTop="1" x14ac:dyDescent="0.2">
      <c r="A133" s="42"/>
      <c r="B133" s="61"/>
      <c r="C133" s="50" t="s">
        <v>22</v>
      </c>
      <c r="D133" s="33">
        <f>SUM(D77:D129)*100</f>
        <v>180400</v>
      </c>
      <c r="E133" s="70" t="s">
        <v>23</v>
      </c>
      <c r="F133" s="33"/>
      <c r="G133" s="50"/>
      <c r="H133" s="33"/>
      <c r="I133" s="33"/>
      <c r="J133" s="149" t="s">
        <v>24</v>
      </c>
      <c r="K133" s="149"/>
      <c r="L133" s="33">
        <f>SUM(L77:L129)</f>
        <v>11448</v>
      </c>
      <c r="M133" s="33"/>
      <c r="N133" s="45"/>
      <c r="P133" s="42"/>
      <c r="Q133" s="50" t="s">
        <v>22</v>
      </c>
      <c r="R133" s="33">
        <f>SUM(R77:R129)*100</f>
        <v>156800</v>
      </c>
      <c r="S133" s="70" t="s">
        <v>23</v>
      </c>
      <c r="T133" s="33"/>
      <c r="U133" s="50"/>
      <c r="V133" s="33"/>
      <c r="W133" s="33"/>
      <c r="X133" s="149" t="s">
        <v>24</v>
      </c>
      <c r="Y133" s="149"/>
      <c r="Z133" s="33">
        <f>SUM(Z77:Z129)</f>
        <v>27086</v>
      </c>
      <c r="AA133" s="33"/>
      <c r="AB133" s="45"/>
      <c r="AD133" s="42"/>
      <c r="AE133" s="50" t="s">
        <v>22</v>
      </c>
      <c r="AF133" s="33">
        <f>SUM(AF77:AF129)*100</f>
        <v>109200</v>
      </c>
      <c r="AG133" s="70" t="s">
        <v>23</v>
      </c>
      <c r="AH133" s="33"/>
      <c r="AI133" s="50"/>
      <c r="AJ133" s="33"/>
      <c r="AK133" s="33"/>
      <c r="AL133" s="149" t="s">
        <v>24</v>
      </c>
      <c r="AM133" s="149"/>
      <c r="AN133" s="33">
        <f>SUM(AN77:AN129)</f>
        <v>33634</v>
      </c>
      <c r="AO133" s="33"/>
      <c r="AP133" s="45"/>
      <c r="AR133" s="42"/>
      <c r="AS133" s="50" t="s">
        <v>22</v>
      </c>
      <c r="AT133" s="33">
        <f>SUM(AT77:AT129)*100</f>
        <v>89100</v>
      </c>
      <c r="AU133" s="70" t="s">
        <v>23</v>
      </c>
      <c r="AV133" s="33"/>
      <c r="AW133" s="50"/>
      <c r="AX133" s="33"/>
      <c r="AY133" s="33"/>
      <c r="AZ133" s="149" t="s">
        <v>24</v>
      </c>
      <c r="BA133" s="149"/>
      <c r="BB133" s="33">
        <f>SUM(BB77:BB129)</f>
        <v>19143</v>
      </c>
      <c r="BC133" s="33"/>
      <c r="BD133" s="45"/>
      <c r="BF133" s="7"/>
      <c r="BG133" s="39" t="s">
        <v>22</v>
      </c>
      <c r="BH133" s="9">
        <f>SUM(BH77:BH129)*100</f>
        <v>132200</v>
      </c>
      <c r="BI133" s="9"/>
      <c r="BJ133" s="9"/>
      <c r="BK133" s="5"/>
      <c r="BL133" s="9"/>
      <c r="BM133" s="9"/>
      <c r="BN133" s="127"/>
      <c r="BO133" s="9"/>
      <c r="BP133" s="9"/>
      <c r="BQ133" s="9"/>
      <c r="BR133" s="11"/>
    </row>
    <row r="134" spans="1:70" ht="15" customHeight="1" x14ac:dyDescent="0.2">
      <c r="A134" s="22"/>
      <c r="B134" s="66"/>
      <c r="C134" s="5" t="s">
        <v>25</v>
      </c>
      <c r="D134" s="9">
        <f>D133/A138</f>
        <v>6681.4814814814818</v>
      </c>
      <c r="E134" s="9">
        <f>D134*A137</f>
        <v>180400</v>
      </c>
      <c r="F134" s="9"/>
      <c r="G134" s="5"/>
      <c r="H134" s="9"/>
      <c r="I134" s="9"/>
      <c r="J134" s="144" t="s">
        <v>26</v>
      </c>
      <c r="K134" s="144"/>
      <c r="L134" s="9"/>
      <c r="M134" s="24">
        <f>L133/D133</f>
        <v>6.34589800443459E-2</v>
      </c>
      <c r="N134" s="11"/>
      <c r="P134" s="31"/>
      <c r="Q134" s="5" t="s">
        <v>25</v>
      </c>
      <c r="R134" s="9">
        <f>R133/A138</f>
        <v>5807.4074074074078</v>
      </c>
      <c r="S134" s="9">
        <f>R134*A137</f>
        <v>156800</v>
      </c>
      <c r="T134" s="9"/>
      <c r="U134" s="5"/>
      <c r="V134" s="9"/>
      <c r="W134" s="9"/>
      <c r="X134" s="144" t="s">
        <v>26</v>
      </c>
      <c r="Y134" s="144"/>
      <c r="Z134" s="9"/>
      <c r="AA134" s="24">
        <f>Z133/R133</f>
        <v>0.17274234693877552</v>
      </c>
      <c r="AB134" s="11"/>
      <c r="AD134" s="31"/>
      <c r="AE134" s="5" t="s">
        <v>25</v>
      </c>
      <c r="AF134" s="9">
        <f>AF133/A138</f>
        <v>4044.4444444444443</v>
      </c>
      <c r="AG134" s="9">
        <f>AF134*A137</f>
        <v>109200</v>
      </c>
      <c r="AH134" s="9"/>
      <c r="AI134" s="5"/>
      <c r="AJ134" s="9"/>
      <c r="AK134" s="9"/>
      <c r="AL134" s="144" t="s">
        <v>26</v>
      </c>
      <c r="AM134" s="144"/>
      <c r="AN134" s="9"/>
      <c r="AO134" s="24">
        <f>AN133/AF133</f>
        <v>0.308003663003663</v>
      </c>
      <c r="AP134" s="11"/>
      <c r="AR134" s="31"/>
      <c r="AS134" s="5" t="s">
        <v>25</v>
      </c>
      <c r="AT134" s="9">
        <f>AT133/A138</f>
        <v>3300</v>
      </c>
      <c r="AU134" s="9">
        <f>AT134*A137</f>
        <v>89100</v>
      </c>
      <c r="AV134" s="9"/>
      <c r="AW134" s="5"/>
      <c r="AX134" s="9"/>
      <c r="AY134" s="9"/>
      <c r="AZ134" s="144" t="s">
        <v>26</v>
      </c>
      <c r="BA134" s="144"/>
      <c r="BB134" s="9"/>
      <c r="BC134" s="24">
        <f>BB133/AT133</f>
        <v>0.21484848484848484</v>
      </c>
      <c r="BD134" s="11"/>
      <c r="BF134" s="7"/>
      <c r="BG134" s="39" t="s">
        <v>25</v>
      </c>
      <c r="BH134" s="9">
        <f>BH133/A138</f>
        <v>4896.2962962962965</v>
      </c>
      <c r="BI134" s="9">
        <f>BH134*A137</f>
        <v>132200</v>
      </c>
      <c r="BJ134" s="9"/>
      <c r="BK134" s="5"/>
      <c r="BL134" s="9"/>
      <c r="BM134" s="9"/>
      <c r="BN134" s="127"/>
      <c r="BO134" s="9"/>
      <c r="BP134" s="9"/>
      <c r="BQ134" s="9"/>
      <c r="BR134" s="11"/>
    </row>
    <row r="135" spans="1:70" ht="15" customHeight="1" x14ac:dyDescent="0.2">
      <c r="A135" s="12"/>
      <c r="B135" s="68"/>
      <c r="C135" s="39" t="s">
        <v>27</v>
      </c>
      <c r="D135" s="9">
        <f>D133*0.6</f>
        <v>108240</v>
      </c>
      <c r="E135" s="9"/>
      <c r="F135" s="9"/>
      <c r="G135" s="5"/>
      <c r="H135" s="9"/>
      <c r="I135" s="9"/>
      <c r="J135" s="144" t="s">
        <v>28</v>
      </c>
      <c r="K135" s="144"/>
      <c r="L135" s="9">
        <f>D135-L133</f>
        <v>96792</v>
      </c>
      <c r="M135" s="24">
        <f>L135/D133</f>
        <v>0.53654101995565406</v>
      </c>
      <c r="N135" s="11"/>
      <c r="P135" s="12"/>
      <c r="Q135" s="39" t="s">
        <v>27</v>
      </c>
      <c r="R135" s="9">
        <f>R133*0.6</f>
        <v>94080</v>
      </c>
      <c r="S135" s="9"/>
      <c r="T135" s="9"/>
      <c r="U135" s="5"/>
      <c r="V135" s="9"/>
      <c r="W135" s="9"/>
      <c r="X135" s="144" t="s">
        <v>28</v>
      </c>
      <c r="Y135" s="144"/>
      <c r="Z135" s="9">
        <f>R135-Z133</f>
        <v>66994</v>
      </c>
      <c r="AA135" s="24">
        <f>Z135/R133</f>
        <v>0.42725765306122448</v>
      </c>
      <c r="AB135" s="11"/>
      <c r="AD135" s="12"/>
      <c r="AE135" s="39" t="s">
        <v>27</v>
      </c>
      <c r="AF135" s="9">
        <f>AF133*0.6</f>
        <v>65520</v>
      </c>
      <c r="AG135" s="9"/>
      <c r="AH135" s="9"/>
      <c r="AI135" s="5"/>
      <c r="AJ135" s="9"/>
      <c r="AK135" s="9"/>
      <c r="AL135" s="144" t="s">
        <v>28</v>
      </c>
      <c r="AM135" s="144"/>
      <c r="AN135" s="9">
        <f>AF135-AN133</f>
        <v>31886</v>
      </c>
      <c r="AO135" s="24">
        <f>AN135/AF133</f>
        <v>0.29199633699633698</v>
      </c>
      <c r="AP135" s="11"/>
      <c r="AR135" s="12"/>
      <c r="AS135" s="39" t="s">
        <v>27</v>
      </c>
      <c r="AT135" s="9">
        <f>AT133*0.6</f>
        <v>53460</v>
      </c>
      <c r="AU135" s="9"/>
      <c r="AV135" s="9"/>
      <c r="AW135" s="5"/>
      <c r="AX135" s="9"/>
      <c r="AY135" s="9"/>
      <c r="AZ135" s="144" t="s">
        <v>28</v>
      </c>
      <c r="BA135" s="144"/>
      <c r="BB135" s="9">
        <f>AT135-BB133</f>
        <v>34317</v>
      </c>
      <c r="BC135" s="24">
        <f>BB135/AT133</f>
        <v>0.38515151515151513</v>
      </c>
      <c r="BD135" s="11"/>
      <c r="BF135" s="7"/>
      <c r="BG135" s="39" t="s">
        <v>27</v>
      </c>
      <c r="BH135" s="9">
        <f>BH133*0.6</f>
        <v>79320</v>
      </c>
      <c r="BI135" s="9"/>
      <c r="BJ135" s="9"/>
      <c r="BK135" s="5" t="s">
        <v>50</v>
      </c>
      <c r="BL135" s="9">
        <f>SUM(BP77:BP129)</f>
        <v>21000</v>
      </c>
      <c r="BM135" s="24">
        <f>BL135/BH133</f>
        <v>0.15885022692889561</v>
      </c>
      <c r="BN135" s="128"/>
      <c r="BO135" s="9"/>
      <c r="BP135" s="9"/>
      <c r="BQ135" s="9"/>
      <c r="BR135" s="11"/>
    </row>
    <row r="136" spans="1:70" ht="15" customHeight="1" x14ac:dyDescent="0.2">
      <c r="A136" s="42"/>
      <c r="B136" s="61"/>
      <c r="C136" s="5" t="s">
        <v>29</v>
      </c>
      <c r="D136" s="9"/>
      <c r="E136" s="9"/>
      <c r="F136" s="9"/>
      <c r="G136" s="5"/>
      <c r="H136" s="9"/>
      <c r="I136" s="15"/>
      <c r="J136" s="145" t="s">
        <v>30</v>
      </c>
      <c r="K136" s="145"/>
      <c r="L136" s="33">
        <f>(G101+I101)*K101+(G102+I102)*K102+(G103+I103)*K103+(G104+I104)*K104</f>
        <v>18567</v>
      </c>
      <c r="M136" s="10"/>
      <c r="N136" s="11"/>
      <c r="P136" s="42"/>
      <c r="Q136" s="5" t="s">
        <v>29</v>
      </c>
      <c r="R136" s="9"/>
      <c r="S136" s="9"/>
      <c r="T136" s="9"/>
      <c r="U136" s="5"/>
      <c r="V136" s="9"/>
      <c r="W136" s="15"/>
      <c r="X136" s="145" t="s">
        <v>30</v>
      </c>
      <c r="Y136" s="145"/>
      <c r="Z136" s="33">
        <f>(U101+W101)*Y101+(U102+W102)*Y102+(U103+W103)*Y103+(U104+W104)*Y104</f>
        <v>16013</v>
      </c>
      <c r="AA136" s="10"/>
      <c r="AB136" s="11"/>
      <c r="AD136" s="42"/>
      <c r="AE136" s="5" t="s">
        <v>29</v>
      </c>
      <c r="AF136" s="9"/>
      <c r="AG136" s="9"/>
      <c r="AH136" s="9"/>
      <c r="AI136" s="5"/>
      <c r="AJ136" s="9"/>
      <c r="AK136" s="15"/>
      <c r="AL136" s="145" t="s">
        <v>30</v>
      </c>
      <c r="AM136" s="145"/>
      <c r="AN136" s="33">
        <f>(AI101+AK101)*AM101+(AI102+AK102)*AM102+(AI103+AK103)*AM103+(AI104+AK104)*AM104</f>
        <v>34162</v>
      </c>
      <c r="AO136" s="10"/>
      <c r="AP136" s="11"/>
      <c r="AR136" s="42"/>
      <c r="AS136" s="5" t="s">
        <v>29</v>
      </c>
      <c r="AT136" s="9"/>
      <c r="AU136" s="9"/>
      <c r="AV136" s="9"/>
      <c r="AW136" s="5"/>
      <c r="AX136" s="9"/>
      <c r="AY136" s="15"/>
      <c r="AZ136" s="145" t="s">
        <v>30</v>
      </c>
      <c r="BA136" s="145"/>
      <c r="BB136" s="33">
        <f>(AW101+AY101)*BA101+(AW102+AY102)*BA102+(AW103+AY103)*BA103+(AW104+AY104)*BA104</f>
        <v>17062</v>
      </c>
      <c r="BC136" s="10"/>
      <c r="BD136" s="11"/>
      <c r="BF136" s="7"/>
      <c r="BG136" s="39" t="s">
        <v>29</v>
      </c>
      <c r="BH136" s="9">
        <f>BH207</f>
        <v>262600</v>
      </c>
      <c r="BI136" s="9"/>
      <c r="BJ136" s="9"/>
      <c r="BK136" s="5" t="s">
        <v>28</v>
      </c>
      <c r="BL136" s="9">
        <f>BH135-BL135</f>
        <v>58320</v>
      </c>
      <c r="BM136" s="24">
        <f>BL136/BH133</f>
        <v>0.44114977307110437</v>
      </c>
      <c r="BN136" s="128"/>
      <c r="BO136" s="10"/>
      <c r="BP136" s="10"/>
      <c r="BQ136" s="10"/>
      <c r="BR136" s="11"/>
    </row>
    <row r="137" spans="1:70" ht="15" customHeight="1" x14ac:dyDescent="0.2">
      <c r="A137" s="4">
        <v>27</v>
      </c>
      <c r="B137" s="80">
        <f>SUM(B77:B129)*100</f>
        <v>667700</v>
      </c>
      <c r="C137" s="5"/>
      <c r="D137" s="9"/>
      <c r="E137" s="9"/>
      <c r="F137" s="9"/>
      <c r="G137" s="5"/>
      <c r="H137" s="9"/>
      <c r="I137" s="15"/>
      <c r="J137" s="118"/>
      <c r="K137" s="56"/>
      <c r="L137" s="40"/>
      <c r="M137" s="10"/>
      <c r="N137" s="11"/>
      <c r="P137" s="42"/>
      <c r="Q137" s="5"/>
      <c r="R137" s="9"/>
      <c r="S137" s="9"/>
      <c r="T137" s="9"/>
      <c r="U137" s="5"/>
      <c r="V137" s="9"/>
      <c r="W137" s="15"/>
      <c r="X137" s="118"/>
      <c r="Y137" s="56"/>
      <c r="Z137" s="40"/>
      <c r="AA137" s="10"/>
      <c r="AB137" s="11"/>
      <c r="AD137" s="42"/>
      <c r="AE137" s="5"/>
      <c r="AF137" s="9"/>
      <c r="AG137" s="9"/>
      <c r="AH137" s="9"/>
      <c r="AI137" s="5"/>
      <c r="AJ137" s="9"/>
      <c r="AK137" s="15"/>
      <c r="AL137" s="118"/>
      <c r="AM137" s="56"/>
      <c r="AN137" s="40"/>
      <c r="AO137" s="10"/>
      <c r="AP137" s="11"/>
      <c r="AR137" s="42"/>
      <c r="AS137" s="5"/>
      <c r="AT137" s="9"/>
      <c r="AU137" s="9"/>
      <c r="AV137" s="9"/>
      <c r="AW137" s="5"/>
      <c r="AX137" s="9"/>
      <c r="AY137" s="15"/>
      <c r="AZ137" s="118"/>
      <c r="BA137" s="56"/>
      <c r="BB137" s="40"/>
      <c r="BC137" s="10"/>
      <c r="BD137" s="11"/>
      <c r="BF137" s="7"/>
      <c r="BG137" s="34"/>
      <c r="BH137" s="9"/>
      <c r="BI137" s="9"/>
      <c r="BJ137" s="9"/>
      <c r="BK137" s="146" t="s">
        <v>30</v>
      </c>
      <c r="BL137" s="147"/>
      <c r="BM137" s="9">
        <f>(BK80+BM80)*BO80</f>
        <v>30000</v>
      </c>
      <c r="BN137" s="127"/>
      <c r="BO137" s="10"/>
      <c r="BP137" s="10"/>
      <c r="BQ137" s="10"/>
      <c r="BR137" s="11"/>
    </row>
    <row r="138" spans="1:70" ht="15" customHeight="1" x14ac:dyDescent="0.2">
      <c r="A138" s="55">
        <f>DATEDIF(A$187,A105,"d")</f>
        <v>27</v>
      </c>
      <c r="B138" s="61"/>
      <c r="C138" s="5"/>
      <c r="D138" s="9"/>
      <c r="E138" s="23"/>
      <c r="F138" s="9"/>
      <c r="G138" s="5"/>
      <c r="H138" s="9"/>
      <c r="I138" s="15"/>
      <c r="J138" s="118"/>
      <c r="K138" s="56"/>
      <c r="L138" s="40"/>
      <c r="M138" s="10"/>
      <c r="N138" s="11"/>
      <c r="P138" s="42"/>
      <c r="Q138" s="5"/>
      <c r="R138" s="9"/>
      <c r="S138" s="9"/>
      <c r="T138" s="9"/>
      <c r="U138" s="5"/>
      <c r="V138" s="9"/>
      <c r="W138" s="15"/>
      <c r="X138" s="118"/>
      <c r="Y138" s="56"/>
      <c r="Z138" s="40"/>
      <c r="AA138" s="10"/>
      <c r="AB138" s="11"/>
      <c r="AD138" s="42"/>
      <c r="AE138" s="5"/>
      <c r="AF138" s="9"/>
      <c r="AG138" s="9"/>
      <c r="AH138" s="9"/>
      <c r="AI138" s="5"/>
      <c r="AJ138" s="9"/>
      <c r="AK138" s="15"/>
      <c r="AL138" s="118"/>
      <c r="AM138" s="56"/>
      <c r="AN138" s="40"/>
      <c r="AO138" s="10"/>
      <c r="AP138" s="11"/>
      <c r="AR138" s="42"/>
      <c r="AS138" s="5"/>
      <c r="AT138" s="9"/>
      <c r="AU138" s="9"/>
      <c r="AV138" s="9"/>
      <c r="AW138" s="5"/>
      <c r="AX138" s="9"/>
      <c r="AY138" s="15"/>
      <c r="AZ138" s="118"/>
      <c r="BA138" s="56"/>
      <c r="BB138" s="40"/>
      <c r="BC138" s="10"/>
      <c r="BD138" s="11"/>
      <c r="BF138" s="7"/>
      <c r="BG138" s="34"/>
      <c r="BH138" s="9"/>
      <c r="BI138" s="9"/>
      <c r="BJ138" s="9"/>
      <c r="BK138" s="5"/>
      <c r="BL138" s="9"/>
      <c r="BM138" s="9"/>
      <c r="BN138" s="127"/>
      <c r="BO138" s="10"/>
      <c r="BP138" s="10"/>
      <c r="BQ138" s="10"/>
      <c r="BR138" s="11"/>
    </row>
    <row r="139" spans="1:70" x14ac:dyDescent="0.2">
      <c r="A139" s="142" t="s">
        <v>31</v>
      </c>
      <c r="B139" s="142"/>
      <c r="C139" s="142"/>
      <c r="D139" s="25">
        <f>SUM(D77,D81,D85,D89,D93,D97,D101,D105,D109,D113,D117,D121,D125)*100</f>
        <v>43900</v>
      </c>
      <c r="E139" s="34"/>
      <c r="F139" s="9"/>
      <c r="G139" s="5">
        <f>D139/H139</f>
        <v>4390</v>
      </c>
      <c r="H139" s="25">
        <f>SUM(H77,H81,H85,H89,H93,H97,H102,H105,H109,H113,H117,H121,H125)</f>
        <v>10</v>
      </c>
      <c r="I139" s="9"/>
      <c r="J139" s="112" t="str">
        <f t="shared" ref="J139:K142" si="161">J77</f>
        <v>モンチッチマスコット</v>
      </c>
      <c r="K139" s="40">
        <f t="shared" si="161"/>
        <v>572</v>
      </c>
      <c r="L139" s="25">
        <f>SUM(L77,L81,L85,L89,L93,L97,L102,L105,L109,L113,L117,L121,L125)</f>
        <v>5126</v>
      </c>
      <c r="M139" s="24">
        <f>L139/D139</f>
        <v>0.11676537585421412</v>
      </c>
      <c r="N139" s="11"/>
      <c r="O139" s="14"/>
      <c r="P139" s="142" t="s">
        <v>31</v>
      </c>
      <c r="Q139" s="142"/>
      <c r="R139" s="25">
        <f>SUM(R77,R81,R85,R89,R93,R97,R101,R105,R109,R113,R117,R121,R125)*100</f>
        <v>52800</v>
      </c>
      <c r="S139" s="34"/>
      <c r="T139" s="9"/>
      <c r="U139" s="5">
        <f>R139/V139</f>
        <v>3520</v>
      </c>
      <c r="V139" s="25">
        <f>SUM(V77,V81,V85,V89,V93,V97,V102,V105,V109,V113,V117,V121,V125)</f>
        <v>15</v>
      </c>
      <c r="W139" s="9"/>
      <c r="X139" s="112" t="str">
        <f t="shared" ref="X139:Y142" si="162">X77</f>
        <v>キティボアバンスクリップ</v>
      </c>
      <c r="Y139" s="40">
        <f t="shared" si="162"/>
        <v>1100</v>
      </c>
      <c r="Z139" s="25">
        <f>SUM(Z77,Z81,Z85,Z89,Z93,Z97,Z102,Z105,Z109,Z113,Z117,Z121,Z125)</f>
        <v>12496</v>
      </c>
      <c r="AA139" s="24">
        <f>Z139/R139</f>
        <v>0.23666666666666666</v>
      </c>
      <c r="AB139" s="11"/>
      <c r="AD139" s="142" t="s">
        <v>31</v>
      </c>
      <c r="AE139" s="142"/>
      <c r="AF139" s="25">
        <f>SUM(AF77,AF81,AF85,AF89,AF93,AF97,AF101,AF105,AF109,AF113,AF117,AF121,AF125)*100</f>
        <v>23600</v>
      </c>
      <c r="AG139" s="34"/>
      <c r="AH139" s="9"/>
      <c r="AI139" s="5">
        <f>AF139/AJ139</f>
        <v>1966.6666666666667</v>
      </c>
      <c r="AJ139" s="25">
        <f>SUM(AJ77,AJ81,AJ85,AJ89,AJ93,AJ97,AJ102,AJ105,AJ109,AJ113,AJ117,AJ121,AJ125)</f>
        <v>12</v>
      </c>
      <c r="AK139" s="9"/>
      <c r="AL139" s="112" t="str">
        <f t="shared" ref="AL139:AM142" si="163">AL77</f>
        <v>ギャルキティマスコット</v>
      </c>
      <c r="AM139" s="40">
        <f t="shared" si="163"/>
        <v>660</v>
      </c>
      <c r="AN139" s="25">
        <f>SUM(AN77,AN81,AN85,AN89,AN93,AN97,AN102,AN105,AN109,AN113,AN117,AN121,AN125)</f>
        <v>12408</v>
      </c>
      <c r="AO139" s="24">
        <f>AN139/AF139</f>
        <v>0.52576271186440682</v>
      </c>
      <c r="AP139" s="11"/>
      <c r="AR139" s="142" t="s">
        <v>31</v>
      </c>
      <c r="AS139" s="142"/>
      <c r="AT139" s="25">
        <f>SUM(AT77,AT81,AT85,AT89,AT93,AT97,AT101,AT105,AT109,AT113,AT117,AT121,AT125)*100</f>
        <v>39100</v>
      </c>
      <c r="AU139" s="34"/>
      <c r="AV139" s="9"/>
      <c r="AW139" s="5">
        <f>AT139/AX139</f>
        <v>3258.3333333333335</v>
      </c>
      <c r="AX139" s="25">
        <f>SUM(AX77,AX81,AX85,AX89,AX93,AX97,AX102,AX105,AX109,AX113,AX117,AX121,AX125)</f>
        <v>12</v>
      </c>
      <c r="AY139" s="9"/>
      <c r="AZ139" s="112" t="str">
        <f t="shared" ref="AZ139:BA142" si="164">AZ77</f>
        <v>サンリオカラビナ付きミニファン</v>
      </c>
      <c r="BA139" s="40">
        <f t="shared" si="164"/>
        <v>1100</v>
      </c>
      <c r="BB139" s="25">
        <f>SUM(BB77,BB81,BB85,BB89,BB93,BB97,BB102,BB105,BB109,BB113,BB117,BB121,BB125)</f>
        <v>12270</v>
      </c>
      <c r="BC139" s="24">
        <f>BB139/AT139</f>
        <v>0.31381074168797957</v>
      </c>
      <c r="BD139" s="11"/>
      <c r="BF139" s="7"/>
      <c r="BG139" s="34"/>
      <c r="BH139" s="9"/>
      <c r="BI139" s="9"/>
      <c r="BJ139" s="9"/>
      <c r="BK139" s="5"/>
      <c r="BL139" s="9"/>
      <c r="BM139" s="24"/>
      <c r="BN139" s="128"/>
      <c r="BO139" s="9"/>
      <c r="BP139" s="9"/>
      <c r="BQ139" s="9"/>
      <c r="BR139" s="11"/>
    </row>
    <row r="140" spans="1:70" x14ac:dyDescent="0.2">
      <c r="A140" s="142" t="s">
        <v>31</v>
      </c>
      <c r="B140" s="142"/>
      <c r="C140" s="142"/>
      <c r="D140" s="25">
        <f>SUM(D78,D82,D86,D90,D94,D98,D102,D106,D110,D114,D118,D122,D126)*100</f>
        <v>46900</v>
      </c>
      <c r="E140" s="34"/>
      <c r="F140" s="9"/>
      <c r="G140" s="5">
        <f>D140/H140</f>
        <v>3607.6923076923076</v>
      </c>
      <c r="H140" s="25">
        <f>SUM(H78,H82,H86,H90,H94,H98,H101,H106,H110,H114,H118,H122,H126)</f>
        <v>13</v>
      </c>
      <c r="I140" s="9"/>
      <c r="J140" s="112" t="str">
        <f t="shared" si="161"/>
        <v>電ブル</v>
      </c>
      <c r="K140" s="40">
        <f t="shared" si="161"/>
        <v>275</v>
      </c>
      <c r="L140" s="25">
        <f>SUM(L78,L82,L86,L90,L94,L98,L101,L106,L110,L114,L118,L122,L126)</f>
        <v>3872</v>
      </c>
      <c r="M140" s="24">
        <f>L140/D140</f>
        <v>8.2558635394456292E-2</v>
      </c>
      <c r="N140" s="11"/>
      <c r="O140" s="1"/>
      <c r="P140" s="142" t="s">
        <v>31</v>
      </c>
      <c r="Q140" s="142"/>
      <c r="R140" s="25">
        <f>SUM(R78,R82,R86,R90,R94,R98,R102,R106,R110,R114,R118,R122,R126)*100</f>
        <v>32200</v>
      </c>
      <c r="S140" s="34"/>
      <c r="T140" s="9"/>
      <c r="U140" s="5">
        <f>R140/V140</f>
        <v>4025</v>
      </c>
      <c r="V140" s="25">
        <f>SUM(V78,V82,V86,V90,V94,V98,V101,V106,V110,V114,V118,V122,V126)</f>
        <v>8</v>
      </c>
      <c r="W140" s="9"/>
      <c r="X140" s="112" t="str">
        <f t="shared" si="162"/>
        <v>サンリオフェイスポーチ</v>
      </c>
      <c r="Y140" s="40">
        <f t="shared" si="162"/>
        <v>825</v>
      </c>
      <c r="Z140" s="25">
        <f>SUM(Z78,Z82,Z86,Z90,Z94,Z98,Z101,Z106,Z110,Z114,Z118,Z122,Z126)</f>
        <v>2670</v>
      </c>
      <c r="AA140" s="24">
        <f>Z140/R140</f>
        <v>8.2919254658385094E-2</v>
      </c>
      <c r="AB140" s="11"/>
      <c r="AD140" s="142" t="s">
        <v>31</v>
      </c>
      <c r="AE140" s="142"/>
      <c r="AF140" s="25">
        <f>SUM(AF78,AF82,AF86,AF90,AF94,AF98,AF102,AF106,AF110,AF114,AF118,AF122,AF126)*100</f>
        <v>44100</v>
      </c>
      <c r="AG140" s="34"/>
      <c r="AH140" s="9"/>
      <c r="AI140" s="5">
        <f>AF140/AJ140</f>
        <v>3150</v>
      </c>
      <c r="AJ140" s="25">
        <f>SUM(AJ78,AJ82,AJ86,AJ90,AJ94,AJ98,AJ101,AJ106,AJ110,AJ114,AJ118,AJ122,AJ126)</f>
        <v>14</v>
      </c>
      <c r="AK140" s="9"/>
      <c r="AL140" s="112" t="str">
        <f t="shared" si="163"/>
        <v>トイストーリー・ディズニーベアブリック</v>
      </c>
      <c r="AM140" s="40">
        <f t="shared" si="163"/>
        <v>748</v>
      </c>
      <c r="AN140" s="25">
        <f>SUM(AN78,AN82,AN86,AN90,AN94,AN98,AN101,AN106,AN110,AN114,AN118,AN122,AN126)</f>
        <v>11176</v>
      </c>
      <c r="AO140" s="24">
        <f>AN140/AF140</f>
        <v>0.25342403628117915</v>
      </c>
      <c r="AP140" s="11"/>
      <c r="AR140" s="142" t="s">
        <v>31</v>
      </c>
      <c r="AS140" s="142"/>
      <c r="AT140" s="25">
        <f>SUM(AT78,AT82,AT86,AT90,AT94,AT98,AT102,AT106,AT110,AT114,AT118,AT122,AT126)*100</f>
        <v>14400</v>
      </c>
      <c r="AU140" s="34"/>
      <c r="AV140" s="9"/>
      <c r="AW140" s="5">
        <f>AT140/AX140</f>
        <v>1107.6923076923076</v>
      </c>
      <c r="AX140" s="25">
        <f>SUM(AX78,AX82,AX86,AX90,AX94,AX98,AX101,AX106,AX110,AX114,AX118,AX122,AX126)</f>
        <v>13</v>
      </c>
      <c r="AY140" s="9"/>
      <c r="AZ140" s="112" t="str">
        <f t="shared" si="164"/>
        <v>豹柄キーケース</v>
      </c>
      <c r="BA140" s="40">
        <f t="shared" si="164"/>
        <v>0</v>
      </c>
      <c r="BB140" s="25">
        <f>SUM(BB78,BB82,BB86,BB90,BB94,BB98,BB101,BB106,BB110,BB114,BB118,BB122,BB126)</f>
        <v>4570</v>
      </c>
      <c r="BC140" s="24">
        <f>BB140/AT140</f>
        <v>0.31736111111111109</v>
      </c>
      <c r="BD140" s="11"/>
      <c r="BF140" s="7"/>
      <c r="BG140" s="9"/>
      <c r="BH140" s="9"/>
      <c r="BI140" s="9"/>
      <c r="BJ140" s="9"/>
      <c r="BK140" s="5"/>
      <c r="BL140" s="9"/>
      <c r="BM140" s="24"/>
      <c r="BN140" s="128"/>
      <c r="BO140" s="9"/>
      <c r="BP140" s="9"/>
      <c r="BQ140" s="9"/>
      <c r="BR140" s="11"/>
    </row>
    <row r="141" spans="1:70" x14ac:dyDescent="0.2">
      <c r="A141" s="142" t="s">
        <v>31</v>
      </c>
      <c r="B141" s="142"/>
      <c r="C141" s="142"/>
      <c r="D141" s="25">
        <f>SUM(D79,D83,D87,D91,D95,D99,D103,D107,D111,D115,D119,D123,D127)*100</f>
        <v>32300</v>
      </c>
      <c r="E141" s="34"/>
      <c r="F141" s="9"/>
      <c r="G141" s="5">
        <f>D141/H141</f>
        <v>8075</v>
      </c>
      <c r="H141" s="25">
        <f>SUM(H79,H83,H87,H92,H95,H99,H103,H107,H111,H115,H119,H123,H127)</f>
        <v>4</v>
      </c>
      <c r="I141" s="9"/>
      <c r="J141" s="112" t="str">
        <f t="shared" si="161"/>
        <v>キティ着物マスコット</v>
      </c>
      <c r="K141" s="40">
        <f t="shared" si="161"/>
        <v>1100</v>
      </c>
      <c r="L141" s="25">
        <f>SUM(L79,L83,L87,L92,L95,L99,L103,L107,L111,L115,L119,L123,L127)</f>
        <v>0</v>
      </c>
      <c r="M141" s="24">
        <f>L141/D141</f>
        <v>0</v>
      </c>
      <c r="N141" s="11"/>
      <c r="O141" s="1"/>
      <c r="P141" s="142" t="s">
        <v>31</v>
      </c>
      <c r="Q141" s="142"/>
      <c r="R141" s="25">
        <f>SUM(R79,R83,R87,R91,R95,R99,R103,R107,R111,R115,R119,R123,R127)*100</f>
        <v>35700</v>
      </c>
      <c r="S141" s="34"/>
      <c r="T141" s="9"/>
      <c r="U141" s="5">
        <f>R141/V141</f>
        <v>3245.4545454545455</v>
      </c>
      <c r="V141" s="25">
        <f>SUM(V79,V83,V87,V92,V95,V99,V103,V107,V111,V115,V119,V123,V127)</f>
        <v>11</v>
      </c>
      <c r="W141" s="9"/>
      <c r="X141" s="112" t="str">
        <f t="shared" si="162"/>
        <v>ボンボンドロップシール</v>
      </c>
      <c r="Y141" s="40">
        <f t="shared" si="162"/>
        <v>200</v>
      </c>
      <c r="Z141" s="25">
        <f>SUM(Z79,Z83,Z87,Z92,Z95,Z99,Z103,Z107,Z111,Z115,Z119,Z123,Z127)</f>
        <v>3096</v>
      </c>
      <c r="AA141" s="24">
        <f>Z141/R141</f>
        <v>8.6722689075630258E-2</v>
      </c>
      <c r="AB141" s="11"/>
      <c r="AD141" s="142" t="s">
        <v>31</v>
      </c>
      <c r="AE141" s="142"/>
      <c r="AF141" s="25">
        <f>SUM(AF79,AF83,AF87,AF91,AF95,AF99,AF103,AF107,AF111,AF115,AF119,AF123,AF127)*100</f>
        <v>22500</v>
      </c>
      <c r="AG141" s="34"/>
      <c r="AH141" s="9"/>
      <c r="AI141" s="5">
        <f>AF141/AJ141</f>
        <v>833.33333333333337</v>
      </c>
      <c r="AJ141" s="25">
        <f>SUM(AJ79,AJ83,AJ87,AJ92,AJ95,AJ99,AJ103,AJ107,AJ111,AJ115,AJ119,AJ123,AJ127)</f>
        <v>27</v>
      </c>
      <c r="AK141" s="9"/>
      <c r="AL141" s="112" t="str">
        <f t="shared" si="163"/>
        <v>サンリオスカーフ付きリュック</v>
      </c>
      <c r="AM141" s="40">
        <f t="shared" si="163"/>
        <v>600</v>
      </c>
      <c r="AN141" s="25">
        <f>SUM(AN79,AN83,AN87,AN92,AN95,AN99,AN103,AN107,AN111,AN115,AN119,AN123,AN127)</f>
        <v>8100</v>
      </c>
      <c r="AO141" s="24">
        <f>AN141/AF141</f>
        <v>0.36</v>
      </c>
      <c r="AP141" s="11"/>
      <c r="AR141" s="142" t="s">
        <v>31</v>
      </c>
      <c r="AS141" s="142"/>
      <c r="AT141" s="25">
        <f>SUM(AT79,AT83,AT87,AT91,AT95,AT99,AT103,AT107,AT111,AT115,AT119,AT123,AT127)*100</f>
        <v>19400</v>
      </c>
      <c r="AU141" s="34"/>
      <c r="AV141" s="9"/>
      <c r="AW141" s="5">
        <f>AT141/AX141</f>
        <v>3233.3333333333335</v>
      </c>
      <c r="AX141" s="25">
        <f>SUM(AX79,AX83,AX87,AX92,AX95,AX99,AX103,AX107,AX111,AX115,AX119,AX123,AX127)</f>
        <v>6</v>
      </c>
      <c r="AY141" s="9"/>
      <c r="AZ141" s="112" t="str">
        <f t="shared" si="164"/>
        <v>ふわもちミニスクイーズ</v>
      </c>
      <c r="BA141" s="40">
        <f t="shared" si="164"/>
        <v>99</v>
      </c>
      <c r="BB141" s="25">
        <f>SUM(BB79,BB83,BB87,BB92,BB95,BB99,BB103,BB107,BB111,BB115,BB119,BB123,BB127)</f>
        <v>594</v>
      </c>
      <c r="BC141" s="24">
        <f>BB141/AT141</f>
        <v>3.0618556701030929E-2</v>
      </c>
      <c r="BD141" s="11"/>
      <c r="BF141" s="7"/>
      <c r="BG141" s="141"/>
      <c r="BH141" s="141"/>
      <c r="BI141" s="92"/>
      <c r="BJ141" s="9"/>
      <c r="BK141" s="5"/>
      <c r="BL141" s="9"/>
      <c r="BM141" s="24"/>
      <c r="BN141" s="128"/>
      <c r="BO141" s="9"/>
      <c r="BP141" s="9"/>
      <c r="BQ141" s="9"/>
      <c r="BR141" s="11"/>
    </row>
    <row r="142" spans="1:70" x14ac:dyDescent="0.2">
      <c r="A142" s="142" t="s">
        <v>31</v>
      </c>
      <c r="B142" s="142"/>
      <c r="C142" s="142"/>
      <c r="D142" s="25">
        <f>SUM(D80,D84,D88,D92,D96,D100,D104,D108,D112,D116,D120,D124,D128)*100</f>
        <v>57300</v>
      </c>
      <c r="E142" s="34"/>
      <c r="F142" s="9"/>
      <c r="G142" s="5">
        <f>D142/H142</f>
        <v>19100</v>
      </c>
      <c r="H142" s="25">
        <f>SUM(H80,H84,H88,H91,H96,H100,H104,H108,H112,H116,H120,H124,H128)</f>
        <v>3</v>
      </c>
      <c r="I142" s="9"/>
      <c r="J142" s="112" t="str">
        <f t="shared" si="161"/>
        <v>バタースクイーズ</v>
      </c>
      <c r="K142" s="40">
        <f t="shared" si="161"/>
        <v>250</v>
      </c>
      <c r="L142" s="25">
        <f>SUM(L80,L84,L88,L91,L96,L100,L104,L108,L112,L116,L120,L124,L128)</f>
        <v>2450</v>
      </c>
      <c r="M142" s="24">
        <f>L142/D142</f>
        <v>4.2757417102966842E-2</v>
      </c>
      <c r="N142" s="11"/>
      <c r="O142" s="1"/>
      <c r="P142" s="142" t="s">
        <v>31</v>
      </c>
      <c r="Q142" s="142"/>
      <c r="R142" s="25">
        <f>SUM(R80,R84,R88,R92,R96,R100,R104,R108,R112,R116,R120,R124,R128)*100</f>
        <v>36100</v>
      </c>
      <c r="S142" s="34"/>
      <c r="T142" s="9"/>
      <c r="U142" s="5">
        <f>R142/V142</f>
        <v>2406.6666666666665</v>
      </c>
      <c r="V142" s="25">
        <f>SUM(V80,V84,V88,V91,V96,V100,V104,V108,V112,V116,V120,V124,V128)</f>
        <v>15</v>
      </c>
      <c r="W142" s="9"/>
      <c r="X142" s="112" t="str">
        <f t="shared" si="162"/>
        <v>たまごっちブロックシール</v>
      </c>
      <c r="Y142" s="40">
        <f t="shared" si="162"/>
        <v>648</v>
      </c>
      <c r="Z142" s="25">
        <f>SUM(Z80,Z84,Z88,Z91,Z96,Z100,Z104,Z108,Z112,Z116,Z120,Z124,Z128)</f>
        <v>8824</v>
      </c>
      <c r="AA142" s="24">
        <f>Z142/R142</f>
        <v>0.24443213296398891</v>
      </c>
      <c r="AB142" s="11"/>
      <c r="AD142" s="142" t="s">
        <v>31</v>
      </c>
      <c r="AE142" s="142"/>
      <c r="AF142" s="25">
        <f>SUM(AF80,AF84,AF88,AF92,AF96,AF100,AF104,AF108,AF112,AF116,AF120,AF124,AF128)*100</f>
        <v>19000</v>
      </c>
      <c r="AG142" s="34"/>
      <c r="AH142" s="9"/>
      <c r="AI142" s="5">
        <f>AF142/AJ142</f>
        <v>3166.6666666666665</v>
      </c>
      <c r="AJ142" s="25">
        <f>SUM(AJ80,AJ84,AJ88,AJ91,AJ96,AJ100,AJ104,AJ108,AJ112,AJ116,AJ120,AJ124,AJ128)</f>
        <v>6</v>
      </c>
      <c r="AK142" s="9"/>
      <c r="AL142" s="112" t="str">
        <f t="shared" si="163"/>
        <v>しばこ</v>
      </c>
      <c r="AM142" s="40">
        <f t="shared" si="163"/>
        <v>350</v>
      </c>
      <c r="AN142" s="25">
        <f>SUM(AN80,AN84,AN88,AN91,AN96,AN100,AN104,AN108,AN112,AN116,AN120,AN124,AN128)</f>
        <v>1950</v>
      </c>
      <c r="AO142" s="24">
        <f>AN142/AF142</f>
        <v>0.10263157894736842</v>
      </c>
      <c r="AP142" s="11"/>
      <c r="AR142" s="142" t="s">
        <v>31</v>
      </c>
      <c r="AS142" s="142"/>
      <c r="AT142" s="25">
        <f>SUM(AT80,AT84,AT88,AT92,AT96,AT100,AT104,AT108,AT112,AT116,AT120,AT124,AT128)*100</f>
        <v>16200</v>
      </c>
      <c r="AU142" s="34"/>
      <c r="AV142" s="9"/>
      <c r="AW142" s="5">
        <f>AT142/AX142</f>
        <v>4050</v>
      </c>
      <c r="AX142" s="25">
        <f>SUM(AX80,AX84,AX88,AX91,AX96,AX100,AX104,AX108,AX112,AX116,AX120,AX124,AX128)</f>
        <v>4</v>
      </c>
      <c r="AY142" s="9"/>
      <c r="AZ142" s="112" t="str">
        <f t="shared" si="164"/>
        <v>キティ豹柄マスコット</v>
      </c>
      <c r="BA142" s="40">
        <f t="shared" si="164"/>
        <v>330</v>
      </c>
      <c r="BB142" s="25">
        <f>SUM(BB80,BB84,BB88,BB91,BB96,BB100,BB104,BB108,BB112,BB116,BB120,BB124,BB128)</f>
        <v>1709</v>
      </c>
      <c r="BC142" s="24">
        <f>BB142/AT142</f>
        <v>0.10549382716049382</v>
      </c>
      <c r="BD142" s="11"/>
      <c r="BF142" s="7"/>
      <c r="BG142" s="141"/>
      <c r="BH142" s="141"/>
      <c r="BI142" s="9"/>
      <c r="BJ142" s="9"/>
      <c r="BK142" s="5"/>
      <c r="BL142" s="9"/>
      <c r="BM142" s="24"/>
      <c r="BN142" s="128"/>
      <c r="BO142" s="10"/>
      <c r="BP142" s="10"/>
      <c r="BQ142" s="10"/>
      <c r="BR142" s="11"/>
    </row>
    <row r="143" spans="1:70" x14ac:dyDescent="0.2">
      <c r="A143" s="12"/>
      <c r="B143" s="8"/>
      <c r="C143" s="5" t="s">
        <v>22</v>
      </c>
      <c r="D143" s="9">
        <f>SUM(D139:D142)</f>
        <v>180400</v>
      </c>
      <c r="E143" s="34"/>
      <c r="F143" s="9"/>
      <c r="G143" s="9"/>
      <c r="H143" s="9">
        <f>SUM(H139:H142)</f>
        <v>30</v>
      </c>
      <c r="I143" s="9"/>
      <c r="J143" s="143" t="s">
        <v>32</v>
      </c>
      <c r="K143" s="143"/>
      <c r="L143" s="33">
        <f>SUM(L139:L142)</f>
        <v>11448</v>
      </c>
      <c r="M143" s="44">
        <f>L143/D143</f>
        <v>6.34589800443459E-2</v>
      </c>
      <c r="N143" s="45"/>
      <c r="O143" s="1"/>
      <c r="P143" s="12"/>
      <c r="Q143" s="5" t="s">
        <v>22</v>
      </c>
      <c r="R143" s="9">
        <f>SUM(R139:R142)</f>
        <v>156800</v>
      </c>
      <c r="S143" s="34"/>
      <c r="T143" s="9"/>
      <c r="U143" s="9"/>
      <c r="V143" s="9">
        <f>SUM(V139:V142)</f>
        <v>49</v>
      </c>
      <c r="W143" s="9"/>
      <c r="X143" s="143" t="s">
        <v>32</v>
      </c>
      <c r="Y143" s="143"/>
      <c r="Z143" s="33">
        <f>SUM(Z139:Z142)</f>
        <v>27086</v>
      </c>
      <c r="AA143" s="44">
        <f>Z143/R143</f>
        <v>0.17274234693877552</v>
      </c>
      <c r="AB143" s="11"/>
      <c r="AD143" s="12"/>
      <c r="AE143" s="5" t="s">
        <v>22</v>
      </c>
      <c r="AF143" s="9">
        <f>SUM(AF139:AF142)</f>
        <v>109200</v>
      </c>
      <c r="AG143" s="34"/>
      <c r="AH143" s="9"/>
      <c r="AI143" s="9"/>
      <c r="AJ143" s="9">
        <f>SUM(AJ139:AJ142)</f>
        <v>59</v>
      </c>
      <c r="AK143" s="9"/>
      <c r="AL143" s="143" t="s">
        <v>32</v>
      </c>
      <c r="AM143" s="143"/>
      <c r="AN143" s="33">
        <f>SUM(AN139:AN142)</f>
        <v>33634</v>
      </c>
      <c r="AO143" s="44">
        <f>AN143/AF143</f>
        <v>0.308003663003663</v>
      </c>
      <c r="AP143" s="11"/>
      <c r="AR143" s="12"/>
      <c r="AS143" s="5" t="s">
        <v>22</v>
      </c>
      <c r="AT143" s="9">
        <f>SUM(AT139:AT142)</f>
        <v>89100</v>
      </c>
      <c r="AU143" s="34"/>
      <c r="AV143" s="9"/>
      <c r="AW143" s="9"/>
      <c r="AX143" s="9">
        <f>SUM(AX139:AX142)</f>
        <v>35</v>
      </c>
      <c r="AY143" s="9"/>
      <c r="AZ143" s="143" t="s">
        <v>32</v>
      </c>
      <c r="BA143" s="143"/>
      <c r="BB143" s="33">
        <f>SUM(BB139:BB142)</f>
        <v>19143</v>
      </c>
      <c r="BC143" s="44">
        <f>BB143/AT143</f>
        <v>0.21484848484848484</v>
      </c>
      <c r="BD143" s="11"/>
      <c r="BF143" s="7"/>
      <c r="BG143" s="141"/>
      <c r="BH143" s="141"/>
      <c r="BI143" s="24"/>
      <c r="BJ143" s="9"/>
      <c r="BK143" s="5"/>
      <c r="BL143" s="9"/>
      <c r="BM143" s="24"/>
      <c r="BN143" s="128"/>
      <c r="BO143" s="10"/>
      <c r="BP143" s="10"/>
      <c r="BQ143" s="10"/>
      <c r="BR143" s="11"/>
    </row>
    <row r="144" spans="1:70" x14ac:dyDescent="0.2">
      <c r="A144" s="28"/>
      <c r="B144" s="27"/>
      <c r="C144" s="2"/>
      <c r="D144" s="2"/>
      <c r="E144" s="2"/>
      <c r="F144" s="2"/>
      <c r="G144" s="2"/>
      <c r="H144" s="2"/>
      <c r="I144" s="2"/>
      <c r="J144" s="119"/>
      <c r="K144" s="2"/>
      <c r="L144" s="2"/>
      <c r="M144" s="2"/>
      <c r="N144" s="32"/>
      <c r="O144" s="1"/>
      <c r="P144" s="28"/>
      <c r="Q144" s="2"/>
      <c r="R144" s="2"/>
      <c r="S144" s="2"/>
      <c r="T144" s="2"/>
      <c r="U144" s="2"/>
      <c r="V144" s="2"/>
      <c r="W144" s="2"/>
      <c r="X144" s="119"/>
      <c r="Y144" s="2"/>
      <c r="Z144" s="2"/>
      <c r="AA144" s="2"/>
      <c r="AB144" s="32"/>
      <c r="AD144" s="28"/>
      <c r="AE144" s="2"/>
      <c r="AF144" s="2"/>
      <c r="AG144" s="2"/>
      <c r="AH144" s="2"/>
      <c r="AI144" s="2"/>
      <c r="AJ144" s="2"/>
      <c r="AK144" s="2"/>
      <c r="AL144" s="119"/>
      <c r="AM144" s="2"/>
      <c r="AN144" s="2"/>
      <c r="AO144" s="2"/>
      <c r="AP144" s="32"/>
      <c r="AR144" s="28"/>
      <c r="AS144" s="2"/>
      <c r="AT144" s="2"/>
      <c r="AU144" s="2"/>
      <c r="AV144" s="2"/>
      <c r="AW144" s="2"/>
      <c r="AX144" s="2"/>
      <c r="AY144" s="2"/>
      <c r="AZ144" s="119"/>
      <c r="BA144" s="2"/>
      <c r="BB144" s="2"/>
      <c r="BC144" s="2"/>
      <c r="BD144" s="32"/>
      <c r="BF144" s="98"/>
    </row>
    <row r="145" spans="1:70" x14ac:dyDescent="0.2">
      <c r="A145" s="28"/>
      <c r="B145" s="133" t="s">
        <v>33</v>
      </c>
      <c r="C145" s="134"/>
      <c r="D145" s="135" t="s">
        <v>34</v>
      </c>
      <c r="E145" s="136"/>
      <c r="F145" s="135" t="s">
        <v>35</v>
      </c>
      <c r="G145" s="136"/>
      <c r="H145" s="2"/>
      <c r="I145" s="2"/>
      <c r="J145" s="119"/>
      <c r="K145" s="2"/>
      <c r="L145" s="2"/>
      <c r="M145" s="2"/>
      <c r="N145" s="32"/>
      <c r="O145" s="1"/>
      <c r="P145" s="28"/>
      <c r="Q145" s="2"/>
      <c r="R145" s="2"/>
      <c r="S145" s="2"/>
      <c r="T145" s="2"/>
      <c r="U145" s="2"/>
      <c r="V145" s="2"/>
      <c r="W145" s="2"/>
      <c r="X145" s="119"/>
      <c r="Y145" s="2"/>
      <c r="Z145" s="2"/>
      <c r="AA145" s="2"/>
      <c r="AB145" s="32"/>
      <c r="AD145" s="28"/>
      <c r="AE145" s="2"/>
      <c r="AF145" s="2"/>
      <c r="AG145" s="2"/>
      <c r="AH145" s="133" t="s">
        <v>33</v>
      </c>
      <c r="AI145" s="134"/>
      <c r="AJ145" s="135" t="s">
        <v>34</v>
      </c>
      <c r="AK145" s="136"/>
      <c r="AL145" s="135" t="s">
        <v>35</v>
      </c>
      <c r="AM145" s="136"/>
      <c r="AN145" s="2"/>
      <c r="AO145" s="2"/>
      <c r="AP145" s="32"/>
      <c r="AR145" s="28"/>
      <c r="AS145" s="2"/>
      <c r="AT145" s="2"/>
      <c r="AU145" s="2"/>
      <c r="AV145" s="2"/>
      <c r="AW145" s="2"/>
      <c r="AX145" s="2"/>
      <c r="AY145" s="2"/>
      <c r="AZ145" s="119"/>
      <c r="BA145" s="2"/>
      <c r="BB145" s="2"/>
      <c r="BC145" s="2"/>
      <c r="BD145" s="32"/>
      <c r="BF145" s="98"/>
    </row>
    <row r="146" spans="1:70" x14ac:dyDescent="0.2">
      <c r="A146" s="28"/>
      <c r="B146" s="137">
        <f>B137/A138*A137</f>
        <v>667700</v>
      </c>
      <c r="C146" s="138"/>
      <c r="D146" s="139">
        <f>L133+Z133+AN133+BB133+BL135</f>
        <v>112311</v>
      </c>
      <c r="E146" s="140"/>
      <c r="F146" s="139">
        <f>K136+Y136</f>
        <v>0</v>
      </c>
      <c r="G146" s="140"/>
      <c r="H146" s="2"/>
      <c r="I146" s="2"/>
      <c r="J146" s="119"/>
      <c r="K146" s="2"/>
      <c r="L146" s="2"/>
      <c r="M146" s="2"/>
      <c r="N146" s="32"/>
      <c r="O146" s="1"/>
      <c r="P146" s="28"/>
      <c r="Q146" s="2"/>
      <c r="R146" s="2"/>
      <c r="S146" s="2"/>
      <c r="T146" s="2"/>
      <c r="U146" s="2"/>
      <c r="V146" s="2"/>
      <c r="W146" s="2"/>
      <c r="X146" s="119"/>
      <c r="Y146" s="2"/>
      <c r="Z146" s="2"/>
      <c r="AA146" s="2"/>
      <c r="AB146" s="32"/>
      <c r="AD146" s="28"/>
      <c r="AE146" s="2"/>
      <c r="AF146" s="2"/>
      <c r="AG146" s="2"/>
      <c r="AH146" s="137" t="e">
        <f>AH137/AG138*AG137</f>
        <v>#DIV/0!</v>
      </c>
      <c r="AI146" s="138"/>
      <c r="AJ146" s="139">
        <f>AR133+BF133+BU133+CI133</f>
        <v>0</v>
      </c>
      <c r="AK146" s="140"/>
      <c r="AL146" s="139">
        <f>AQ136+BE136</f>
        <v>0</v>
      </c>
      <c r="AM146" s="140"/>
      <c r="AN146" s="2"/>
      <c r="AO146" s="2"/>
      <c r="AP146" s="32"/>
      <c r="AR146" s="28"/>
      <c r="AS146" s="2"/>
      <c r="AT146" s="2"/>
      <c r="AU146" s="2"/>
      <c r="AV146" s="2"/>
      <c r="AW146" s="2"/>
      <c r="AX146" s="2"/>
      <c r="AY146" s="2"/>
      <c r="AZ146" s="119"/>
      <c r="BA146" s="2"/>
      <c r="BB146" s="2"/>
      <c r="BC146" s="2"/>
      <c r="BD146" s="32"/>
      <c r="BF146" s="98"/>
    </row>
    <row r="147" spans="1:70" ht="15" customHeight="1" x14ac:dyDescent="0.2">
      <c r="B147" s="54"/>
      <c r="C147" s="54"/>
      <c r="D147" s="124" t="s">
        <v>36</v>
      </c>
      <c r="E147" s="57">
        <f>D146/B137</f>
        <v>0.16820578103938894</v>
      </c>
      <c r="F147" s="9"/>
      <c r="G147" s="9"/>
      <c r="K147"/>
      <c r="AH147" s="54"/>
      <c r="AI147" s="54"/>
      <c r="AJ147" s="69" t="s">
        <v>36</v>
      </c>
      <c r="AK147" s="57" t="e">
        <f>AJ146/AH137</f>
        <v>#DIV/0!</v>
      </c>
      <c r="AL147" s="113"/>
      <c r="AM147" s="9"/>
      <c r="BF147" s="98"/>
    </row>
    <row r="148" spans="1:70" x14ac:dyDescent="0.2">
      <c r="K148"/>
      <c r="BF148" s="98"/>
    </row>
    <row r="149" spans="1:70" ht="18.75" x14ac:dyDescent="0.2">
      <c r="A149" s="150" t="s">
        <v>53</v>
      </c>
      <c r="B149" s="150"/>
      <c r="C149" s="150"/>
      <c r="D149" s="150"/>
      <c r="E149" s="151" t="s">
        <v>0</v>
      </c>
      <c r="F149" s="151"/>
      <c r="G149" s="86"/>
      <c r="H149" s="86"/>
      <c r="I149" s="86"/>
      <c r="J149" s="108"/>
      <c r="K149" s="86"/>
      <c r="L149" s="86"/>
      <c r="M149" s="86"/>
      <c r="N149" s="87"/>
      <c r="O149" s="88"/>
      <c r="P149" s="150" t="s">
        <v>53</v>
      </c>
      <c r="Q149" s="150"/>
      <c r="R149" s="150"/>
      <c r="S149" s="151" t="s">
        <v>1</v>
      </c>
      <c r="T149" s="151"/>
      <c r="U149" s="86"/>
      <c r="V149" s="86"/>
      <c r="W149" s="86"/>
      <c r="X149" s="108"/>
      <c r="Y149" s="86"/>
      <c r="Z149" s="86"/>
      <c r="AA149" s="86"/>
      <c r="AB149" s="87"/>
      <c r="AD149" s="150" t="s">
        <v>53</v>
      </c>
      <c r="AE149" s="150"/>
      <c r="AF149" s="150"/>
      <c r="AG149" s="151" t="s">
        <v>54</v>
      </c>
      <c r="AH149" s="151"/>
      <c r="AI149" s="86"/>
      <c r="AJ149" s="86"/>
      <c r="AK149" s="86"/>
      <c r="AL149" s="108"/>
      <c r="AM149" s="86"/>
      <c r="AN149" s="86"/>
      <c r="AO149" s="86"/>
      <c r="AP149" s="87"/>
      <c r="AR149" s="150" t="s">
        <v>53</v>
      </c>
      <c r="AS149" s="150"/>
      <c r="AT149" s="150"/>
      <c r="AU149" s="151" t="s">
        <v>55</v>
      </c>
      <c r="AV149" s="151"/>
      <c r="AW149" s="86"/>
      <c r="AX149" s="86"/>
      <c r="AY149" s="86"/>
      <c r="AZ149" s="108"/>
      <c r="BA149" s="86"/>
      <c r="BB149" s="86"/>
      <c r="BC149" s="86"/>
      <c r="BD149" s="87"/>
      <c r="BE149" s="105"/>
      <c r="BF149" s="150" t="s">
        <v>43</v>
      </c>
      <c r="BG149" s="150"/>
      <c r="BH149" s="150"/>
      <c r="BI149" s="148" t="s">
        <v>44</v>
      </c>
      <c r="BJ149" s="148"/>
      <c r="BK149" s="106"/>
      <c r="BL149" s="106"/>
      <c r="BM149" s="106"/>
      <c r="BN149" s="106"/>
      <c r="BO149" s="106"/>
      <c r="BP149" s="106"/>
      <c r="BQ149" s="106"/>
      <c r="BR149" s="106"/>
    </row>
    <row r="150" spans="1:70" x14ac:dyDescent="0.2">
      <c r="A150" s="7" t="s">
        <v>2</v>
      </c>
      <c r="B150" s="60" t="s">
        <v>3</v>
      </c>
      <c r="C150" s="5" t="s">
        <v>4</v>
      </c>
      <c r="D150" s="5" t="s">
        <v>5</v>
      </c>
      <c r="E150" s="6" t="s">
        <v>6</v>
      </c>
      <c r="F150" s="5" t="s">
        <v>5</v>
      </c>
      <c r="G150" s="5" t="s">
        <v>7</v>
      </c>
      <c r="H150" s="5" t="s">
        <v>8</v>
      </c>
      <c r="I150" s="5" t="s">
        <v>9</v>
      </c>
      <c r="J150" s="92" t="s">
        <v>10</v>
      </c>
      <c r="K150" s="5" t="s">
        <v>11</v>
      </c>
      <c r="L150" s="5" t="s">
        <v>8</v>
      </c>
      <c r="M150" s="5" t="s">
        <v>12</v>
      </c>
      <c r="N150" s="5" t="s">
        <v>13</v>
      </c>
      <c r="O150" s="3"/>
      <c r="P150" s="7" t="s">
        <v>2</v>
      </c>
      <c r="Q150" s="5" t="s">
        <v>4</v>
      </c>
      <c r="R150" s="5" t="s">
        <v>5</v>
      </c>
      <c r="S150" s="6" t="s">
        <v>6</v>
      </c>
      <c r="T150" s="5" t="s">
        <v>5</v>
      </c>
      <c r="U150" s="5" t="s">
        <v>7</v>
      </c>
      <c r="V150" s="5" t="s">
        <v>8</v>
      </c>
      <c r="W150" s="5" t="s">
        <v>9</v>
      </c>
      <c r="X150" s="92" t="s">
        <v>10</v>
      </c>
      <c r="Y150" s="5" t="s">
        <v>11</v>
      </c>
      <c r="Z150" s="5" t="s">
        <v>8</v>
      </c>
      <c r="AA150" s="5" t="s">
        <v>12</v>
      </c>
      <c r="AB150" s="5" t="s">
        <v>13</v>
      </c>
      <c r="AD150" s="7" t="s">
        <v>2</v>
      </c>
      <c r="AE150" s="5" t="s">
        <v>4</v>
      </c>
      <c r="AF150" s="5" t="s">
        <v>5</v>
      </c>
      <c r="AG150" s="6" t="s">
        <v>6</v>
      </c>
      <c r="AH150" s="5" t="s">
        <v>5</v>
      </c>
      <c r="AI150" s="5" t="s">
        <v>7</v>
      </c>
      <c r="AJ150" s="5" t="s">
        <v>8</v>
      </c>
      <c r="AK150" s="5" t="s">
        <v>9</v>
      </c>
      <c r="AL150" s="92" t="s">
        <v>10</v>
      </c>
      <c r="AM150" s="5" t="s">
        <v>11</v>
      </c>
      <c r="AN150" s="5" t="s">
        <v>8</v>
      </c>
      <c r="AO150" s="5" t="s">
        <v>12</v>
      </c>
      <c r="AP150" s="5" t="s">
        <v>13</v>
      </c>
      <c r="AR150" s="7" t="s">
        <v>2</v>
      </c>
      <c r="AS150" s="5" t="s">
        <v>4</v>
      </c>
      <c r="AT150" s="5" t="s">
        <v>5</v>
      </c>
      <c r="AU150" s="6" t="s">
        <v>6</v>
      </c>
      <c r="AV150" s="5" t="s">
        <v>5</v>
      </c>
      <c r="AW150" s="5" t="s">
        <v>7</v>
      </c>
      <c r="AX150" s="5" t="s">
        <v>8</v>
      </c>
      <c r="AY150" s="5" t="s">
        <v>9</v>
      </c>
      <c r="AZ150" s="92" t="s">
        <v>10</v>
      </c>
      <c r="BA150" s="5" t="s">
        <v>11</v>
      </c>
      <c r="BB150" s="5" t="s">
        <v>8</v>
      </c>
      <c r="BC150" s="5" t="s">
        <v>12</v>
      </c>
      <c r="BD150" s="5" t="s">
        <v>13</v>
      </c>
      <c r="BF150" s="89" t="s">
        <v>2</v>
      </c>
      <c r="BG150" s="5" t="s">
        <v>4</v>
      </c>
      <c r="BH150" s="5" t="s">
        <v>5</v>
      </c>
      <c r="BI150" s="6" t="s">
        <v>6</v>
      </c>
      <c r="BJ150" s="5" t="s">
        <v>5</v>
      </c>
      <c r="BK150" s="5" t="s">
        <v>7</v>
      </c>
      <c r="BL150" s="5" t="s">
        <v>8</v>
      </c>
      <c r="BM150" s="5" t="s">
        <v>9</v>
      </c>
      <c r="BN150" s="125" t="s">
        <v>181</v>
      </c>
      <c r="BO150" s="5" t="s">
        <v>11</v>
      </c>
      <c r="BP150" s="5" t="s">
        <v>45</v>
      </c>
      <c r="BQ150" s="5" t="s">
        <v>46</v>
      </c>
      <c r="BR150" s="5" t="s">
        <v>13</v>
      </c>
    </row>
    <row r="151" spans="1:70" x14ac:dyDescent="0.2">
      <c r="A151" s="12">
        <v>46098</v>
      </c>
      <c r="B151" s="61"/>
      <c r="C151" s="33">
        <v>15526</v>
      </c>
      <c r="D151" s="33"/>
      <c r="E151" s="33">
        <v>1117</v>
      </c>
      <c r="F151" s="33">
        <v>0</v>
      </c>
      <c r="G151" s="33">
        <v>7</v>
      </c>
      <c r="H151" s="33">
        <v>0</v>
      </c>
      <c r="I151" s="33"/>
      <c r="J151" s="109" t="s">
        <v>162</v>
      </c>
      <c r="K151" s="40">
        <v>660</v>
      </c>
      <c r="L151" s="33">
        <v>0</v>
      </c>
      <c r="M151" s="41" t="e">
        <v>#DIV/0!</v>
      </c>
      <c r="N151" s="11"/>
      <c r="O151" s="1"/>
      <c r="P151" s="12">
        <v>46098</v>
      </c>
      <c r="Q151" s="33">
        <v>15188</v>
      </c>
      <c r="R151" s="33"/>
      <c r="S151" s="33">
        <v>1440</v>
      </c>
      <c r="T151" s="33">
        <v>0</v>
      </c>
      <c r="U151" s="33">
        <v>6</v>
      </c>
      <c r="V151" s="33">
        <v>0</v>
      </c>
      <c r="W151" s="33"/>
      <c r="X151" s="109" t="s">
        <v>136</v>
      </c>
      <c r="Y151" s="40">
        <v>1100</v>
      </c>
      <c r="Z151" s="33">
        <v>0</v>
      </c>
      <c r="AA151" s="41">
        <v>0</v>
      </c>
      <c r="AB151" s="11"/>
      <c r="AD151" s="12">
        <v>46098</v>
      </c>
      <c r="AE151" s="33">
        <v>12372</v>
      </c>
      <c r="AF151" s="33"/>
      <c r="AG151" s="33">
        <v>905</v>
      </c>
      <c r="AH151" s="33">
        <v>0</v>
      </c>
      <c r="AI151" s="33">
        <v>8</v>
      </c>
      <c r="AJ151" s="33">
        <v>0</v>
      </c>
      <c r="AK151" s="33"/>
      <c r="AL151" s="109" t="s">
        <v>139</v>
      </c>
      <c r="AM151" s="40">
        <v>600</v>
      </c>
      <c r="AN151" s="33">
        <v>0</v>
      </c>
      <c r="AO151" s="41">
        <v>0</v>
      </c>
      <c r="AP151" s="11"/>
      <c r="AR151" s="12">
        <v>46098</v>
      </c>
      <c r="AS151" s="33">
        <v>9492</v>
      </c>
      <c r="AT151" s="33"/>
      <c r="AU151" s="33">
        <v>527</v>
      </c>
      <c r="AV151" s="33">
        <v>0</v>
      </c>
      <c r="AW151" s="33">
        <v>7</v>
      </c>
      <c r="AX151" s="33">
        <v>0</v>
      </c>
      <c r="AY151" s="33"/>
      <c r="AZ151" s="112" t="s">
        <v>142</v>
      </c>
      <c r="BA151" s="40">
        <v>825</v>
      </c>
      <c r="BB151" s="33">
        <v>0</v>
      </c>
      <c r="BC151" s="41">
        <v>0</v>
      </c>
      <c r="BD151" s="11"/>
      <c r="BF151" s="7">
        <v>46098</v>
      </c>
      <c r="BG151" s="13">
        <v>3798</v>
      </c>
      <c r="BH151" s="33"/>
      <c r="BI151" s="9">
        <v>33</v>
      </c>
      <c r="BJ151" s="33">
        <v>0</v>
      </c>
      <c r="BK151" s="33">
        <v>15</v>
      </c>
      <c r="BL151" s="33">
        <v>0</v>
      </c>
      <c r="BM151" s="33"/>
      <c r="BN151" s="126" t="s">
        <v>182</v>
      </c>
      <c r="BO151" s="33">
        <v>1500</v>
      </c>
      <c r="BP151" s="9">
        <v>0</v>
      </c>
      <c r="BQ151" s="10">
        <v>0</v>
      </c>
      <c r="BR151" s="93"/>
    </row>
    <row r="152" spans="1:70" x14ac:dyDescent="0.2">
      <c r="A152" s="59"/>
      <c r="B152" s="8"/>
      <c r="C152" s="33">
        <v>19217</v>
      </c>
      <c r="D152" s="9"/>
      <c r="E152" s="33">
        <v>632</v>
      </c>
      <c r="F152" s="9">
        <v>0</v>
      </c>
      <c r="G152" s="9">
        <v>33</v>
      </c>
      <c r="H152" s="9">
        <v>0</v>
      </c>
      <c r="I152" s="9"/>
      <c r="J152" s="109" t="s">
        <v>15</v>
      </c>
      <c r="K152" s="33">
        <v>275</v>
      </c>
      <c r="L152" s="9">
        <v>0</v>
      </c>
      <c r="M152" s="10">
        <v>0</v>
      </c>
      <c r="N152" s="11"/>
      <c r="O152" s="1"/>
      <c r="P152" s="12"/>
      <c r="Q152" s="33">
        <v>14589</v>
      </c>
      <c r="R152" s="9"/>
      <c r="S152" s="33">
        <v>498</v>
      </c>
      <c r="T152" s="9">
        <v>0</v>
      </c>
      <c r="U152" s="9">
        <v>3</v>
      </c>
      <c r="V152" s="9">
        <v>0</v>
      </c>
      <c r="W152" s="9"/>
      <c r="X152" s="121" t="s">
        <v>21</v>
      </c>
      <c r="Y152" s="34">
        <v>825</v>
      </c>
      <c r="Z152" s="9">
        <v>0</v>
      </c>
      <c r="AA152" s="10">
        <v>0</v>
      </c>
      <c r="AB152" s="11"/>
      <c r="AD152" s="12"/>
      <c r="AE152" s="33">
        <v>12616</v>
      </c>
      <c r="AF152" s="9"/>
      <c r="AG152" s="33">
        <v>791</v>
      </c>
      <c r="AH152" s="9">
        <v>0</v>
      </c>
      <c r="AI152" s="9">
        <v>9</v>
      </c>
      <c r="AJ152" s="9">
        <v>0</v>
      </c>
      <c r="AK152" s="9"/>
      <c r="AL152" s="121" t="s">
        <v>140</v>
      </c>
      <c r="AM152" s="34">
        <v>748</v>
      </c>
      <c r="AN152" s="9">
        <v>0</v>
      </c>
      <c r="AO152" s="10">
        <v>0</v>
      </c>
      <c r="AP152" s="11"/>
      <c r="AR152" s="12"/>
      <c r="AS152" s="33">
        <v>10826</v>
      </c>
      <c r="AT152" s="9"/>
      <c r="AU152" s="33">
        <v>547</v>
      </c>
      <c r="AV152" s="9">
        <v>0</v>
      </c>
      <c r="AW152" s="9">
        <v>16</v>
      </c>
      <c r="AX152" s="9">
        <v>0</v>
      </c>
      <c r="AY152" s="9"/>
      <c r="AZ152" s="113" t="s">
        <v>157</v>
      </c>
      <c r="BA152" s="34">
        <v>358</v>
      </c>
      <c r="BB152" s="9">
        <v>0</v>
      </c>
      <c r="BC152" s="10">
        <v>0</v>
      </c>
      <c r="BD152" s="11"/>
      <c r="BF152" s="96" t="str">
        <f>IF($A155="","",$A155)</f>
        <v>3/20/金</v>
      </c>
      <c r="BG152" s="13">
        <v>4256</v>
      </c>
      <c r="BH152" s="9">
        <f t="shared" ref="BH152:BH153" si="165">IF(BG152="","",BG152-BG151)</f>
        <v>458</v>
      </c>
      <c r="BI152" s="9">
        <v>35</v>
      </c>
      <c r="BJ152" s="9">
        <f t="shared" ref="BJ152:BJ153" si="166">IF(BI152="","",BI152-BI151)</f>
        <v>2</v>
      </c>
      <c r="BK152" s="33">
        <v>11</v>
      </c>
      <c r="BL152" s="9">
        <f t="shared" ref="BL152:BL153" si="167">IF(BK152="","",BK151+BM151-BK152)</f>
        <v>4</v>
      </c>
      <c r="BM152" s="33">
        <v>2</v>
      </c>
      <c r="BN152" s="126" t="str">
        <f>IF(BG152="","",BN151)</f>
        <v>ボンボンドロップシール</v>
      </c>
      <c r="BO152" s="33">
        <f t="shared" ref="BO152:BO153" si="168">IF(BG152="","",BO151)</f>
        <v>1500</v>
      </c>
      <c r="BP152" s="9">
        <f t="shared" ref="BP152:BP153" si="169">IF(BO152="","",BL152*BO152)</f>
        <v>6000</v>
      </c>
      <c r="BQ152" s="10">
        <f t="shared" ref="BQ152:BQ153" si="170">IF(BP152="","",BP152/(BH152*100))</f>
        <v>0.13100436681222707</v>
      </c>
      <c r="BR152" s="11"/>
    </row>
    <row r="153" spans="1:70" x14ac:dyDescent="0.2">
      <c r="A153" s="12"/>
      <c r="B153" s="8"/>
      <c r="C153" s="33">
        <v>18163</v>
      </c>
      <c r="D153" s="9"/>
      <c r="E153" s="33">
        <v>622</v>
      </c>
      <c r="F153" s="9">
        <v>0</v>
      </c>
      <c r="G153" s="9">
        <v>16</v>
      </c>
      <c r="H153" s="9">
        <v>0</v>
      </c>
      <c r="I153" s="9"/>
      <c r="J153" s="110" t="s">
        <v>137</v>
      </c>
      <c r="K153" s="34">
        <v>638</v>
      </c>
      <c r="L153" s="9">
        <v>0</v>
      </c>
      <c r="M153" s="10">
        <v>0</v>
      </c>
      <c r="N153" s="11"/>
      <c r="O153" s="1"/>
      <c r="P153" s="12"/>
      <c r="Q153" s="33">
        <v>14955</v>
      </c>
      <c r="R153" s="9"/>
      <c r="S153" s="33">
        <v>951</v>
      </c>
      <c r="T153" s="9">
        <v>0</v>
      </c>
      <c r="U153" s="9">
        <v>20</v>
      </c>
      <c r="V153" s="9">
        <v>0</v>
      </c>
      <c r="W153" s="9"/>
      <c r="X153" s="121" t="s">
        <v>134</v>
      </c>
      <c r="Y153" s="34">
        <v>200</v>
      </c>
      <c r="Z153" s="9">
        <v>0</v>
      </c>
      <c r="AA153" s="10">
        <v>0</v>
      </c>
      <c r="AB153" s="11"/>
      <c r="AD153" s="12"/>
      <c r="AE153" s="33">
        <v>14976</v>
      </c>
      <c r="AF153" s="9"/>
      <c r="AG153" s="33">
        <v>2401</v>
      </c>
      <c r="AH153" s="9">
        <v>0</v>
      </c>
      <c r="AI153" s="9">
        <v>5</v>
      </c>
      <c r="AJ153" s="9">
        <v>0</v>
      </c>
      <c r="AK153" s="9"/>
      <c r="AL153" s="121" t="s">
        <v>180</v>
      </c>
      <c r="AM153" s="34">
        <v>600</v>
      </c>
      <c r="AN153" s="9">
        <v>0</v>
      </c>
      <c r="AO153" s="10">
        <v>0</v>
      </c>
      <c r="AP153" s="11"/>
      <c r="AR153" s="12"/>
      <c r="AS153" s="33">
        <v>12980</v>
      </c>
      <c r="AT153" s="9"/>
      <c r="AU153" s="33">
        <v>769</v>
      </c>
      <c r="AV153" s="9">
        <v>0</v>
      </c>
      <c r="AW153" s="9">
        <v>7</v>
      </c>
      <c r="AX153" s="9">
        <v>0</v>
      </c>
      <c r="AY153" s="9"/>
      <c r="AZ153" s="113" t="s">
        <v>151</v>
      </c>
      <c r="BA153" s="9">
        <v>1500</v>
      </c>
      <c r="BB153" s="9">
        <v>0</v>
      </c>
      <c r="BC153" s="10">
        <v>0</v>
      </c>
      <c r="BD153" s="11"/>
      <c r="BF153" s="96">
        <f>IF($A159="","",$A159)</f>
        <v>46104</v>
      </c>
      <c r="BG153" s="13">
        <v>4468</v>
      </c>
      <c r="BH153" s="9">
        <f t="shared" si="165"/>
        <v>212</v>
      </c>
      <c r="BI153" s="9">
        <v>38</v>
      </c>
      <c r="BJ153" s="9">
        <f t="shared" si="166"/>
        <v>3</v>
      </c>
      <c r="BK153" s="33">
        <v>10</v>
      </c>
      <c r="BL153" s="9">
        <f t="shared" si="167"/>
        <v>3</v>
      </c>
      <c r="BM153" s="33">
        <v>7</v>
      </c>
      <c r="BN153" s="126" t="str">
        <f t="shared" ref="BN153:BN190" si="171">IF(BG153="","",BN152)</f>
        <v>ボンボンドロップシール</v>
      </c>
      <c r="BO153" s="33">
        <f t="shared" si="168"/>
        <v>1500</v>
      </c>
      <c r="BP153" s="9">
        <f t="shared" si="169"/>
        <v>4500</v>
      </c>
      <c r="BQ153" s="10">
        <f t="shared" si="170"/>
        <v>0.21226415094339623</v>
      </c>
      <c r="BR153" s="91"/>
    </row>
    <row r="154" spans="1:70" ht="15" customHeight="1" thickBot="1" x14ac:dyDescent="0.25">
      <c r="A154" s="16"/>
      <c r="B154" s="62"/>
      <c r="C154" s="36">
        <v>12744</v>
      </c>
      <c r="D154" s="36"/>
      <c r="E154" s="36">
        <v>1227</v>
      </c>
      <c r="F154" s="17">
        <v>0</v>
      </c>
      <c r="G154" s="17">
        <v>9</v>
      </c>
      <c r="H154" s="17">
        <v>0</v>
      </c>
      <c r="I154" s="17"/>
      <c r="J154" s="111" t="s">
        <v>138</v>
      </c>
      <c r="K154" s="17">
        <v>1100</v>
      </c>
      <c r="L154" s="17">
        <v>0</v>
      </c>
      <c r="M154" s="18">
        <v>0</v>
      </c>
      <c r="N154" s="11"/>
      <c r="O154" s="1"/>
      <c r="P154" s="16"/>
      <c r="Q154" s="36">
        <v>12680</v>
      </c>
      <c r="R154" s="36"/>
      <c r="S154" s="36">
        <v>1078</v>
      </c>
      <c r="T154" s="17">
        <v>0</v>
      </c>
      <c r="U154" s="17">
        <v>5</v>
      </c>
      <c r="V154" s="17">
        <v>0</v>
      </c>
      <c r="W154" s="17"/>
      <c r="X154" s="122" t="s">
        <v>135</v>
      </c>
      <c r="Y154" s="17">
        <v>648</v>
      </c>
      <c r="Z154" s="17">
        <v>0</v>
      </c>
      <c r="AA154" s="18">
        <v>0</v>
      </c>
      <c r="AB154" s="11"/>
      <c r="AD154" s="16"/>
      <c r="AE154" s="36">
        <v>15251</v>
      </c>
      <c r="AF154" s="36"/>
      <c r="AG154" s="36">
        <v>1549</v>
      </c>
      <c r="AH154" s="17">
        <v>0</v>
      </c>
      <c r="AI154" s="17">
        <v>21</v>
      </c>
      <c r="AJ154" s="17">
        <v>0</v>
      </c>
      <c r="AK154" s="17"/>
      <c r="AL154" s="122" t="s">
        <v>141</v>
      </c>
      <c r="AM154" s="17">
        <v>350</v>
      </c>
      <c r="AN154" s="17">
        <v>0</v>
      </c>
      <c r="AO154" s="18">
        <v>0</v>
      </c>
      <c r="AP154" s="11"/>
      <c r="AR154" s="16"/>
      <c r="AS154" s="36">
        <v>10916</v>
      </c>
      <c r="AT154" s="36"/>
      <c r="AU154" s="36">
        <v>809</v>
      </c>
      <c r="AV154" s="17">
        <v>0</v>
      </c>
      <c r="AW154" s="17">
        <v>9</v>
      </c>
      <c r="AX154" s="17">
        <v>0</v>
      </c>
      <c r="AY154" s="17"/>
      <c r="AZ154" s="114" t="s">
        <v>149</v>
      </c>
      <c r="BA154" s="37">
        <v>330</v>
      </c>
      <c r="BB154" s="17">
        <v>0</v>
      </c>
      <c r="BC154" s="18">
        <v>0</v>
      </c>
      <c r="BD154" s="11"/>
      <c r="BF154" s="96">
        <f>IF($A163="","",$A163)</f>
        <v>46108</v>
      </c>
      <c r="BG154" s="13">
        <v>4840</v>
      </c>
      <c r="BH154" s="9">
        <f t="shared" ref="BH154:BH164" si="172">IF(BG154="","",BG154-BG153)</f>
        <v>372</v>
      </c>
      <c r="BI154" s="9">
        <v>44</v>
      </c>
      <c r="BJ154" s="9">
        <f t="shared" ref="BJ154:BJ164" si="173">IF(BI154="","",BI154-BI153)</f>
        <v>6</v>
      </c>
      <c r="BK154" s="33">
        <v>11</v>
      </c>
      <c r="BL154" s="9">
        <f t="shared" ref="BL154:BL164" si="174">IF(BK154="","",BK153+BM153-BK154)</f>
        <v>6</v>
      </c>
      <c r="BM154" s="33">
        <v>6</v>
      </c>
      <c r="BN154" s="126" t="str">
        <f t="shared" si="171"/>
        <v>ボンボンドロップシール</v>
      </c>
      <c r="BO154" s="33">
        <f t="shared" ref="BO154:BO164" si="175">IF(BG154="","",BO153)</f>
        <v>1500</v>
      </c>
      <c r="BP154" s="9">
        <f t="shared" ref="BP154:BP164" si="176">IF(BO154="","",BL154*BO154)</f>
        <v>9000</v>
      </c>
      <c r="BQ154" s="10">
        <f t="shared" ref="BQ154:BQ163" si="177">IF(BP154="","",BP154/(BH154*100))</f>
        <v>0.24193548387096775</v>
      </c>
      <c r="BR154" s="11"/>
    </row>
    <row r="155" spans="1:70" ht="15" customHeight="1" thickTop="1" x14ac:dyDescent="0.2">
      <c r="A155" s="71" t="s">
        <v>164</v>
      </c>
      <c r="B155" s="61">
        <f>SUM(D155:D158)+SUM(R155:R158)+SUM(AF155:AF158)+SUM(AT155:AT158)+SUM(BH152)</f>
        <v>1005</v>
      </c>
      <c r="C155" s="33">
        <v>15526</v>
      </c>
      <c r="D155" s="33">
        <f t="shared" ref="D155:D162" si="178">IF(C155="","",C155-C151)</f>
        <v>0</v>
      </c>
      <c r="E155" s="33">
        <v>1117</v>
      </c>
      <c r="F155" s="20">
        <f t="shared" ref="F155:F162" si="179">IF(E155="","",E155-E151)</f>
        <v>0</v>
      </c>
      <c r="G155" s="33">
        <v>7</v>
      </c>
      <c r="H155" s="33">
        <f t="shared" ref="H155:H162" si="180">IF(G155="","",G151+I151-G155)</f>
        <v>0</v>
      </c>
      <c r="I155" s="43">
        <v>3</v>
      </c>
      <c r="J155" s="112" t="str">
        <f t="shared" ref="J155:J158" si="181">IF(C155="","",J151)</f>
        <v>キティヘアパッチン</v>
      </c>
      <c r="K155" s="40">
        <f t="shared" ref="K155:K170" si="182">IF(D155="","",K151)</f>
        <v>660</v>
      </c>
      <c r="L155" s="20">
        <f t="shared" ref="L155:L170" si="183">IF(G155="","",H155*K155)</f>
        <v>0</v>
      </c>
      <c r="M155" s="21" t="e">
        <f t="shared" ref="M155:M170" si="184">IF(H155="","",L155/(D155*100))</f>
        <v>#DIV/0!</v>
      </c>
      <c r="N155" s="11" t="s">
        <v>166</v>
      </c>
      <c r="P155" s="76" t="str">
        <f>IF($A155="","",$A155)</f>
        <v>3/20/金</v>
      </c>
      <c r="Q155" s="33">
        <v>15199</v>
      </c>
      <c r="R155" s="33">
        <f t="shared" ref="R155:R186" si="185">IF(Q155="","",Q155-Q151)</f>
        <v>11</v>
      </c>
      <c r="S155" s="33">
        <v>1440</v>
      </c>
      <c r="T155" s="20">
        <f t="shared" ref="T155:T186" si="186">IF(S155="","",S155-S151)</f>
        <v>0</v>
      </c>
      <c r="U155" s="33">
        <v>6</v>
      </c>
      <c r="V155" s="33">
        <f t="shared" ref="V155:V162" si="187">IF(U155="","",U151+W151-U155)</f>
        <v>0</v>
      </c>
      <c r="W155" s="43">
        <v>0</v>
      </c>
      <c r="X155" s="112" t="str">
        <f t="shared" ref="X155:X186" si="188">IF(Q155="","",X151)</f>
        <v>キティボアバンスクリップ</v>
      </c>
      <c r="Y155" s="40">
        <f t="shared" ref="Y155:Y186" si="189">IF(R155="","",Y151)</f>
        <v>1100</v>
      </c>
      <c r="Z155" s="20">
        <f t="shared" ref="Z155:Z186" si="190">IF(U155="","",V155*Y155)</f>
        <v>0</v>
      </c>
      <c r="AA155" s="21">
        <f t="shared" ref="AA155:AA186" si="191">IF(V155="","",Z155/(R155*100))</f>
        <v>0</v>
      </c>
      <c r="AB155" s="11"/>
      <c r="AD155" s="76" t="str">
        <f>IF($A155="","",$A155)</f>
        <v>3/20/金</v>
      </c>
      <c r="AE155" s="33">
        <v>12389</v>
      </c>
      <c r="AF155" s="33">
        <f t="shared" ref="AF155:AF186" si="192">IF(AE155="","",AE155-AE151)</f>
        <v>17</v>
      </c>
      <c r="AG155" s="33">
        <v>907</v>
      </c>
      <c r="AH155" s="20">
        <f t="shared" ref="AH155:AH186" si="193">IF(AG155="","",AG155-AG151)</f>
        <v>2</v>
      </c>
      <c r="AI155" s="33">
        <v>6</v>
      </c>
      <c r="AJ155" s="33">
        <f t="shared" ref="AJ155:AJ162" si="194">IF(AI155="","",AI151+AK151-AI155)</f>
        <v>2</v>
      </c>
      <c r="AK155" s="43">
        <v>1</v>
      </c>
      <c r="AL155" s="112" t="s">
        <v>165</v>
      </c>
      <c r="AM155" s="40">
        <f t="shared" ref="AM155:AM186" si="195">IF(AF155="","",AM151)</f>
        <v>600</v>
      </c>
      <c r="AN155" s="20">
        <f t="shared" ref="AN155:AN186" si="196">IF(AI155="","",AJ155*AM155)</f>
        <v>1200</v>
      </c>
      <c r="AO155" s="21">
        <f t="shared" ref="AO155:AO186" si="197">IF(AJ155="","",AN155/(AF155*100))</f>
        <v>0.70588235294117652</v>
      </c>
      <c r="AP155" s="123" t="s">
        <v>169</v>
      </c>
      <c r="AR155" s="76" t="str">
        <f>IF($A155="","",$A155)</f>
        <v>3/20/金</v>
      </c>
      <c r="AS155" s="33">
        <v>9503</v>
      </c>
      <c r="AT155" s="33">
        <f t="shared" ref="AT155:AT186" si="198">IF(AS155="","",AS155-AS151)</f>
        <v>11</v>
      </c>
      <c r="AU155" s="33">
        <v>527</v>
      </c>
      <c r="AV155" s="20">
        <f t="shared" ref="AV155:AV186" si="199">IF(AU155="","",AU155-AU151)</f>
        <v>0</v>
      </c>
      <c r="AW155" s="33">
        <v>7</v>
      </c>
      <c r="AX155" s="33">
        <f t="shared" ref="AX155:AX162" si="200">IF(AW155="","",AW151+AY151-AW155)</f>
        <v>0</v>
      </c>
      <c r="AY155" s="43">
        <v>0</v>
      </c>
      <c r="AZ155" s="112" t="str">
        <f>IF(AS155="","",AZ151)</f>
        <v>キティシッポ付フェイスポーチ</v>
      </c>
      <c r="BA155" s="40">
        <f t="shared" ref="BA155:BA186" si="201">IF(AT155="","",BA151)</f>
        <v>825</v>
      </c>
      <c r="BB155" s="20">
        <f t="shared" ref="BB155:BB186" si="202">IF(AW155="","",AX155*BA155)</f>
        <v>0</v>
      </c>
      <c r="BC155" s="21">
        <f t="shared" ref="BC155:BC186" si="203">IF(AX155="","",BB155/(AT155*100))</f>
        <v>0</v>
      </c>
      <c r="BD155" s="11"/>
      <c r="BF155" s="96">
        <f>IF($A167="","",$A167)</f>
        <v>46111</v>
      </c>
      <c r="BG155" s="13">
        <v>5116</v>
      </c>
      <c r="BH155" s="9">
        <f t="shared" si="172"/>
        <v>276</v>
      </c>
      <c r="BI155" s="9">
        <v>48</v>
      </c>
      <c r="BJ155" s="9">
        <f t="shared" si="173"/>
        <v>4</v>
      </c>
      <c r="BK155" s="33">
        <v>13</v>
      </c>
      <c r="BL155" s="9">
        <f t="shared" si="174"/>
        <v>4</v>
      </c>
      <c r="BM155" s="33">
        <v>2</v>
      </c>
      <c r="BN155" s="126" t="str">
        <f t="shared" si="171"/>
        <v>ボンボンドロップシール</v>
      </c>
      <c r="BO155" s="33">
        <f t="shared" si="175"/>
        <v>1500</v>
      </c>
      <c r="BP155" s="9">
        <f t="shared" si="176"/>
        <v>6000</v>
      </c>
      <c r="BQ155" s="10">
        <f t="shared" si="177"/>
        <v>0.21739130434782608</v>
      </c>
      <c r="BR155" s="11"/>
    </row>
    <row r="156" spans="1:70" x14ac:dyDescent="0.2">
      <c r="A156" s="72"/>
      <c r="B156" s="63"/>
      <c r="C156" s="9">
        <v>19270</v>
      </c>
      <c r="D156" s="9">
        <f>IF(C156="","",C156-C152)</f>
        <v>53</v>
      </c>
      <c r="E156" s="9">
        <v>633</v>
      </c>
      <c r="F156" s="9">
        <f t="shared" si="179"/>
        <v>1</v>
      </c>
      <c r="G156" s="9">
        <v>32</v>
      </c>
      <c r="H156" s="9">
        <f t="shared" si="180"/>
        <v>1</v>
      </c>
      <c r="I156" s="13">
        <v>0</v>
      </c>
      <c r="J156" s="113" t="str">
        <f t="shared" si="181"/>
        <v>電ブル</v>
      </c>
      <c r="K156" s="34">
        <f t="shared" si="182"/>
        <v>275</v>
      </c>
      <c r="L156" s="9">
        <f t="shared" si="183"/>
        <v>275</v>
      </c>
      <c r="M156" s="10">
        <f t="shared" si="184"/>
        <v>5.1886792452830191E-2</v>
      </c>
      <c r="N156" s="11"/>
      <c r="P156" s="72"/>
      <c r="Q156" s="9">
        <v>14634</v>
      </c>
      <c r="R156" s="9">
        <f t="shared" si="185"/>
        <v>45</v>
      </c>
      <c r="S156" s="9">
        <v>499</v>
      </c>
      <c r="T156" s="9">
        <f t="shared" si="186"/>
        <v>1</v>
      </c>
      <c r="U156" s="9">
        <v>2</v>
      </c>
      <c r="V156" s="9">
        <f t="shared" si="187"/>
        <v>1</v>
      </c>
      <c r="W156" s="13">
        <v>5</v>
      </c>
      <c r="X156" s="113" t="str">
        <f t="shared" si="188"/>
        <v>サンリオフェイスポーチ</v>
      </c>
      <c r="Y156" s="34">
        <f t="shared" si="189"/>
        <v>825</v>
      </c>
      <c r="Z156" s="9">
        <f t="shared" si="190"/>
        <v>825</v>
      </c>
      <c r="AA156" s="10">
        <f t="shared" si="191"/>
        <v>0.18333333333333332</v>
      </c>
      <c r="AB156" s="11"/>
      <c r="AD156" s="72"/>
      <c r="AE156" s="9">
        <v>12670</v>
      </c>
      <c r="AF156" s="9">
        <f t="shared" si="192"/>
        <v>54</v>
      </c>
      <c r="AG156" s="9">
        <v>792</v>
      </c>
      <c r="AH156" s="9">
        <f t="shared" si="193"/>
        <v>1</v>
      </c>
      <c r="AI156" s="9">
        <v>8</v>
      </c>
      <c r="AJ156" s="9">
        <f t="shared" si="194"/>
        <v>1</v>
      </c>
      <c r="AK156" s="13">
        <v>0</v>
      </c>
      <c r="AL156" s="113" t="str">
        <f t="shared" ref="AL156:AL161" si="204">IF(AE156="","",AL152)</f>
        <v>ジャグラーボタン</v>
      </c>
      <c r="AM156" s="34">
        <f t="shared" si="195"/>
        <v>748</v>
      </c>
      <c r="AN156" s="9">
        <f t="shared" si="196"/>
        <v>748</v>
      </c>
      <c r="AO156" s="10">
        <f t="shared" si="197"/>
        <v>0.13851851851851851</v>
      </c>
      <c r="AP156" s="11"/>
      <c r="AR156" s="72"/>
      <c r="AS156" s="9">
        <v>10844</v>
      </c>
      <c r="AT156" s="9">
        <f t="shared" si="198"/>
        <v>18</v>
      </c>
      <c r="AU156" s="9">
        <v>547</v>
      </c>
      <c r="AV156" s="9">
        <f t="shared" si="199"/>
        <v>0</v>
      </c>
      <c r="AW156" s="9">
        <v>16</v>
      </c>
      <c r="AX156" s="9">
        <f t="shared" si="200"/>
        <v>0</v>
      </c>
      <c r="AY156" s="13">
        <v>0</v>
      </c>
      <c r="AZ156" s="113" t="str">
        <f t="shared" ref="AZ156:AZ186" si="205">IF(AS156="","",AZ152)</f>
        <v>しばこ</v>
      </c>
      <c r="BA156" s="34">
        <f t="shared" si="201"/>
        <v>358</v>
      </c>
      <c r="BB156" s="9">
        <f t="shared" si="202"/>
        <v>0</v>
      </c>
      <c r="BC156" s="10">
        <f t="shared" si="203"/>
        <v>0</v>
      </c>
      <c r="BD156" s="123" t="s">
        <v>168</v>
      </c>
      <c r="BF156" s="96">
        <f>IF($A171="","",$A171)</f>
        <v>46115</v>
      </c>
      <c r="BG156" s="13">
        <v>5498</v>
      </c>
      <c r="BH156" s="9">
        <f t="shared" si="172"/>
        <v>382</v>
      </c>
      <c r="BI156" s="9">
        <v>55</v>
      </c>
      <c r="BJ156" s="9">
        <f t="shared" si="173"/>
        <v>7</v>
      </c>
      <c r="BK156" s="33">
        <v>7</v>
      </c>
      <c r="BL156" s="9">
        <f t="shared" si="174"/>
        <v>8</v>
      </c>
      <c r="BM156" s="33">
        <v>5</v>
      </c>
      <c r="BN156" s="126" t="str">
        <f t="shared" si="171"/>
        <v>ボンボンドロップシール</v>
      </c>
      <c r="BO156" s="33">
        <f t="shared" si="175"/>
        <v>1500</v>
      </c>
      <c r="BP156" s="9">
        <f t="shared" si="176"/>
        <v>12000</v>
      </c>
      <c r="BQ156" s="10">
        <f t="shared" si="177"/>
        <v>0.31413612565445026</v>
      </c>
      <c r="BR156" s="11" t="s">
        <v>186</v>
      </c>
    </row>
    <row r="157" spans="1:70" x14ac:dyDescent="0.2">
      <c r="A157" s="72"/>
      <c r="B157" s="63"/>
      <c r="C157" s="23">
        <v>18167</v>
      </c>
      <c r="D157" s="9">
        <f t="shared" si="178"/>
        <v>4</v>
      </c>
      <c r="E157" s="9">
        <v>623</v>
      </c>
      <c r="F157" s="9">
        <f t="shared" si="179"/>
        <v>1</v>
      </c>
      <c r="G157" s="23">
        <v>14</v>
      </c>
      <c r="H157" s="9">
        <f t="shared" si="180"/>
        <v>2</v>
      </c>
      <c r="I157" s="30">
        <v>-7</v>
      </c>
      <c r="J157" s="113" t="str">
        <f t="shared" si="181"/>
        <v>ギャルキティマスコット</v>
      </c>
      <c r="K157" s="9">
        <f t="shared" si="182"/>
        <v>638</v>
      </c>
      <c r="L157" s="9">
        <f t="shared" si="183"/>
        <v>1276</v>
      </c>
      <c r="M157" s="10">
        <f t="shared" si="184"/>
        <v>3.19</v>
      </c>
      <c r="N157" s="11" t="s">
        <v>167</v>
      </c>
      <c r="P157" s="72"/>
      <c r="Q157" s="23">
        <v>15072</v>
      </c>
      <c r="R157" s="9">
        <f t="shared" si="185"/>
        <v>117</v>
      </c>
      <c r="S157" s="9">
        <v>962</v>
      </c>
      <c r="T157" s="9">
        <f t="shared" si="186"/>
        <v>11</v>
      </c>
      <c r="U157" s="23">
        <v>15</v>
      </c>
      <c r="V157" s="9">
        <f t="shared" si="187"/>
        <v>5</v>
      </c>
      <c r="W157" s="30">
        <v>4</v>
      </c>
      <c r="X157" s="113" t="str">
        <f t="shared" si="188"/>
        <v>ボンボンドロップシール</v>
      </c>
      <c r="Y157" s="9">
        <f t="shared" si="189"/>
        <v>200</v>
      </c>
      <c r="Z157" s="9">
        <f t="shared" si="190"/>
        <v>1000</v>
      </c>
      <c r="AA157" s="10">
        <f t="shared" si="191"/>
        <v>8.5470085470085472E-2</v>
      </c>
      <c r="AB157" s="11"/>
      <c r="AD157" s="72"/>
      <c r="AE157" s="23">
        <v>14992</v>
      </c>
      <c r="AF157" s="9">
        <f t="shared" si="192"/>
        <v>16</v>
      </c>
      <c r="AG157" s="9">
        <v>2401</v>
      </c>
      <c r="AH157" s="9">
        <f t="shared" si="193"/>
        <v>0</v>
      </c>
      <c r="AI157" s="23">
        <v>5</v>
      </c>
      <c r="AJ157" s="9">
        <f t="shared" si="194"/>
        <v>0</v>
      </c>
      <c r="AK157" s="30">
        <v>4</v>
      </c>
      <c r="AL157" s="113" t="str">
        <f t="shared" si="204"/>
        <v>サンリオスカーフ付きリュック</v>
      </c>
      <c r="AM157" s="9">
        <f t="shared" si="195"/>
        <v>600</v>
      </c>
      <c r="AN157" s="9">
        <f t="shared" si="196"/>
        <v>0</v>
      </c>
      <c r="AO157" s="10">
        <f t="shared" si="197"/>
        <v>0</v>
      </c>
      <c r="AP157" s="11"/>
      <c r="AR157" s="72"/>
      <c r="AS157" s="23">
        <v>13028</v>
      </c>
      <c r="AT157" s="9">
        <f t="shared" si="198"/>
        <v>48</v>
      </c>
      <c r="AU157" s="9">
        <v>769</v>
      </c>
      <c r="AV157" s="9">
        <f t="shared" si="199"/>
        <v>0</v>
      </c>
      <c r="AW157" s="23">
        <v>7</v>
      </c>
      <c r="AX157" s="9">
        <f t="shared" si="200"/>
        <v>0</v>
      </c>
      <c r="AY157" s="30">
        <v>0</v>
      </c>
      <c r="AZ157" s="113" t="str">
        <f t="shared" si="205"/>
        <v>たまごっちマスコット</v>
      </c>
      <c r="BA157" s="9">
        <f t="shared" si="201"/>
        <v>1500</v>
      </c>
      <c r="BB157" s="9">
        <f t="shared" si="202"/>
        <v>0</v>
      </c>
      <c r="BC157" s="10">
        <f t="shared" si="203"/>
        <v>0</v>
      </c>
      <c r="BD157" s="11"/>
      <c r="BF157" s="96">
        <f>IF($A175="","",$A175)</f>
        <v>46118</v>
      </c>
      <c r="BG157" s="13">
        <v>5793</v>
      </c>
      <c r="BH157" s="9">
        <f t="shared" si="172"/>
        <v>295</v>
      </c>
      <c r="BI157" s="9">
        <v>65</v>
      </c>
      <c r="BJ157" s="9">
        <f t="shared" si="173"/>
        <v>10</v>
      </c>
      <c r="BK157" s="33">
        <v>4</v>
      </c>
      <c r="BL157" s="9">
        <f t="shared" si="174"/>
        <v>8</v>
      </c>
      <c r="BM157" s="33">
        <v>2</v>
      </c>
      <c r="BN157" s="126" t="str">
        <f t="shared" si="171"/>
        <v>ボンボンドロップシール</v>
      </c>
      <c r="BO157" s="33">
        <f t="shared" si="175"/>
        <v>1500</v>
      </c>
      <c r="BP157" s="9">
        <f t="shared" si="176"/>
        <v>12000</v>
      </c>
      <c r="BQ157" s="10">
        <f t="shared" si="177"/>
        <v>0.40677966101694918</v>
      </c>
      <c r="BR157" s="11" t="s">
        <v>193</v>
      </c>
    </row>
    <row r="158" spans="1:70" ht="15" customHeight="1" thickBot="1" x14ac:dyDescent="0.25">
      <c r="A158" s="75"/>
      <c r="B158" s="62"/>
      <c r="C158" s="17">
        <v>12863</v>
      </c>
      <c r="D158" s="37">
        <f t="shared" si="178"/>
        <v>119</v>
      </c>
      <c r="E158" s="17">
        <v>1234</v>
      </c>
      <c r="F158" s="17">
        <f t="shared" si="179"/>
        <v>7</v>
      </c>
      <c r="G158" s="17">
        <v>4</v>
      </c>
      <c r="H158" s="17">
        <f t="shared" si="180"/>
        <v>5</v>
      </c>
      <c r="I158" s="29">
        <v>4</v>
      </c>
      <c r="J158" s="114" t="str">
        <f t="shared" si="181"/>
        <v>バタースクイーズ</v>
      </c>
      <c r="K158" s="37">
        <f t="shared" si="182"/>
        <v>1100</v>
      </c>
      <c r="L158" s="17">
        <f t="shared" si="183"/>
        <v>5500</v>
      </c>
      <c r="M158" s="18">
        <f t="shared" si="184"/>
        <v>0.46218487394957986</v>
      </c>
      <c r="N158" s="11"/>
      <c r="P158" s="75"/>
      <c r="Q158" s="17">
        <v>12695</v>
      </c>
      <c r="R158" s="37">
        <f t="shared" si="185"/>
        <v>15</v>
      </c>
      <c r="S158" s="17">
        <v>1078</v>
      </c>
      <c r="T158" s="17">
        <f t="shared" si="186"/>
        <v>0</v>
      </c>
      <c r="U158" s="17">
        <v>5</v>
      </c>
      <c r="V158" s="17">
        <f t="shared" si="187"/>
        <v>0</v>
      </c>
      <c r="W158" s="29">
        <v>0</v>
      </c>
      <c r="X158" s="114" t="str">
        <f t="shared" si="188"/>
        <v>ゲームアーク</v>
      </c>
      <c r="Y158" s="37">
        <f t="shared" si="189"/>
        <v>648</v>
      </c>
      <c r="Z158" s="17">
        <f t="shared" si="190"/>
        <v>0</v>
      </c>
      <c r="AA158" s="18">
        <f t="shared" si="191"/>
        <v>0</v>
      </c>
      <c r="AB158" s="11"/>
      <c r="AD158" s="75"/>
      <c r="AE158" s="17">
        <v>15257</v>
      </c>
      <c r="AF158" s="37">
        <f t="shared" si="192"/>
        <v>6</v>
      </c>
      <c r="AG158" s="17">
        <v>1549</v>
      </c>
      <c r="AH158" s="17">
        <f t="shared" si="193"/>
        <v>0</v>
      </c>
      <c r="AI158" s="17">
        <v>21</v>
      </c>
      <c r="AJ158" s="17">
        <f t="shared" si="194"/>
        <v>0</v>
      </c>
      <c r="AK158" s="29">
        <v>-12</v>
      </c>
      <c r="AL158" s="114" t="str">
        <f t="shared" si="204"/>
        <v>ラフブマスコット</v>
      </c>
      <c r="AM158" s="37">
        <f t="shared" si="195"/>
        <v>350</v>
      </c>
      <c r="AN158" s="17">
        <f t="shared" si="196"/>
        <v>0</v>
      </c>
      <c r="AO158" s="18">
        <f t="shared" si="197"/>
        <v>0</v>
      </c>
      <c r="AP158" s="123" t="s">
        <v>175</v>
      </c>
      <c r="AR158" s="75"/>
      <c r="AS158" s="17">
        <v>10929</v>
      </c>
      <c r="AT158" s="37">
        <f t="shared" si="198"/>
        <v>13</v>
      </c>
      <c r="AU158" s="17">
        <v>810</v>
      </c>
      <c r="AV158" s="17">
        <f t="shared" si="199"/>
        <v>1</v>
      </c>
      <c r="AW158" s="17">
        <v>8</v>
      </c>
      <c r="AX158" s="17">
        <f t="shared" si="200"/>
        <v>1</v>
      </c>
      <c r="AY158" s="29">
        <v>1</v>
      </c>
      <c r="AZ158" s="114" t="str">
        <f t="shared" si="205"/>
        <v>シールバインダー</v>
      </c>
      <c r="BA158" s="37">
        <f t="shared" si="201"/>
        <v>330</v>
      </c>
      <c r="BB158" s="17">
        <f t="shared" si="202"/>
        <v>330</v>
      </c>
      <c r="BC158" s="18">
        <f t="shared" si="203"/>
        <v>0.25384615384615383</v>
      </c>
      <c r="BD158" s="11"/>
      <c r="BF158" s="96">
        <f>IF($A179="","",$A179)</f>
        <v>46122</v>
      </c>
      <c r="BG158" s="13">
        <v>5966</v>
      </c>
      <c r="BH158" s="9">
        <f t="shared" si="172"/>
        <v>173</v>
      </c>
      <c r="BI158" s="9">
        <v>66</v>
      </c>
      <c r="BJ158" s="9">
        <f t="shared" si="173"/>
        <v>1</v>
      </c>
      <c r="BK158" s="33">
        <v>5</v>
      </c>
      <c r="BL158" s="9">
        <f t="shared" si="174"/>
        <v>1</v>
      </c>
      <c r="BM158" s="33">
        <v>5</v>
      </c>
      <c r="BN158" s="126" t="str">
        <f t="shared" si="171"/>
        <v>ボンボンドロップシール</v>
      </c>
      <c r="BO158" s="33">
        <f t="shared" si="175"/>
        <v>1500</v>
      </c>
      <c r="BP158" s="9">
        <f t="shared" si="176"/>
        <v>1500</v>
      </c>
      <c r="BQ158" s="10">
        <f t="shared" si="177"/>
        <v>8.6705202312138727E-2</v>
      </c>
      <c r="BR158" s="11"/>
    </row>
    <row r="159" spans="1:70" ht="15" customHeight="1" thickTop="1" x14ac:dyDescent="0.2">
      <c r="A159" s="71">
        <v>46104</v>
      </c>
      <c r="B159" s="61">
        <f>SUM(D159:D162)+SUM(R159:R162)+SUM(AF159:AF162)+SUM(AT159:AT162)+SUM(BH153)</f>
        <v>938</v>
      </c>
      <c r="C159" s="33">
        <v>15562</v>
      </c>
      <c r="D159" s="33">
        <f t="shared" si="178"/>
        <v>36</v>
      </c>
      <c r="E159" s="33">
        <v>1117</v>
      </c>
      <c r="F159" s="20">
        <f t="shared" si="179"/>
        <v>0</v>
      </c>
      <c r="G159" s="33">
        <v>10</v>
      </c>
      <c r="H159" s="33">
        <f t="shared" si="180"/>
        <v>0</v>
      </c>
      <c r="I159" s="43">
        <v>0</v>
      </c>
      <c r="J159" s="112" t="s">
        <v>170</v>
      </c>
      <c r="K159" s="40">
        <f t="shared" si="182"/>
        <v>660</v>
      </c>
      <c r="L159" s="20">
        <f t="shared" si="183"/>
        <v>0</v>
      </c>
      <c r="M159" s="21">
        <f t="shared" si="184"/>
        <v>0</v>
      </c>
      <c r="N159" s="11"/>
      <c r="P159" s="76">
        <f>IF($A159="","",$A159)</f>
        <v>46104</v>
      </c>
      <c r="Q159" s="33">
        <v>15234</v>
      </c>
      <c r="R159" s="33">
        <f t="shared" si="185"/>
        <v>35</v>
      </c>
      <c r="S159" s="33">
        <v>1442</v>
      </c>
      <c r="T159" s="20">
        <f t="shared" si="186"/>
        <v>2</v>
      </c>
      <c r="U159" s="33">
        <v>3</v>
      </c>
      <c r="V159" s="33">
        <f t="shared" si="187"/>
        <v>3</v>
      </c>
      <c r="W159" s="43">
        <v>3</v>
      </c>
      <c r="X159" s="112" t="str">
        <f t="shared" si="188"/>
        <v>キティボアバンスクリップ</v>
      </c>
      <c r="Y159" s="40">
        <f t="shared" si="189"/>
        <v>1100</v>
      </c>
      <c r="Z159" s="20">
        <f t="shared" si="190"/>
        <v>3300</v>
      </c>
      <c r="AA159" s="21">
        <f t="shared" si="191"/>
        <v>0.94285714285714284</v>
      </c>
      <c r="AB159" s="11" t="s">
        <v>173</v>
      </c>
      <c r="AD159" s="76">
        <f>IF($A159="","",$A159)</f>
        <v>46104</v>
      </c>
      <c r="AE159" s="33">
        <v>12399</v>
      </c>
      <c r="AF159" s="94">
        <f t="shared" si="192"/>
        <v>10</v>
      </c>
      <c r="AG159" s="33">
        <v>910</v>
      </c>
      <c r="AH159" s="20">
        <f t="shared" si="193"/>
        <v>3</v>
      </c>
      <c r="AI159" s="33">
        <v>4</v>
      </c>
      <c r="AJ159" s="33">
        <f t="shared" si="194"/>
        <v>3</v>
      </c>
      <c r="AK159" s="43">
        <v>3</v>
      </c>
      <c r="AL159" s="112" t="str">
        <f t="shared" si="204"/>
        <v>ポケモンシリコンポーチ</v>
      </c>
      <c r="AM159" s="40">
        <f t="shared" si="195"/>
        <v>600</v>
      </c>
      <c r="AN159" s="20">
        <f t="shared" si="196"/>
        <v>1800</v>
      </c>
      <c r="AO159" s="21">
        <f t="shared" si="197"/>
        <v>1.8</v>
      </c>
      <c r="AP159" s="11" t="s">
        <v>177</v>
      </c>
      <c r="AR159" s="76">
        <f>IF($A159="","",$A159)</f>
        <v>46104</v>
      </c>
      <c r="AS159" s="33">
        <v>9510</v>
      </c>
      <c r="AT159" s="94">
        <f t="shared" si="198"/>
        <v>7</v>
      </c>
      <c r="AU159" s="33">
        <v>527</v>
      </c>
      <c r="AV159" s="20">
        <f t="shared" si="199"/>
        <v>0</v>
      </c>
      <c r="AW159" s="33">
        <v>7</v>
      </c>
      <c r="AX159" s="33">
        <f t="shared" si="200"/>
        <v>0</v>
      </c>
      <c r="AY159" s="43">
        <v>-1</v>
      </c>
      <c r="AZ159" s="112" t="str">
        <f t="shared" si="205"/>
        <v>キティシッポ付フェイスポーチ</v>
      </c>
      <c r="BA159" s="40">
        <f t="shared" si="201"/>
        <v>825</v>
      </c>
      <c r="BB159" s="20">
        <f t="shared" si="202"/>
        <v>0</v>
      </c>
      <c r="BC159" s="21">
        <f t="shared" si="203"/>
        <v>0</v>
      </c>
      <c r="BD159" s="11" t="s">
        <v>176</v>
      </c>
      <c r="BF159" s="96">
        <f>IF($A183="","",$A183)</f>
        <v>46125</v>
      </c>
      <c r="BG159" s="13">
        <v>6224</v>
      </c>
      <c r="BH159" s="9">
        <f t="shared" si="172"/>
        <v>258</v>
      </c>
      <c r="BI159" s="9">
        <v>68</v>
      </c>
      <c r="BJ159" s="9">
        <f t="shared" si="173"/>
        <v>2</v>
      </c>
      <c r="BK159" s="33">
        <v>8</v>
      </c>
      <c r="BL159" s="9">
        <f t="shared" si="174"/>
        <v>2</v>
      </c>
      <c r="BM159" s="33">
        <v>9</v>
      </c>
      <c r="BN159" s="126" t="str">
        <f t="shared" si="171"/>
        <v>ボンボンドロップシール</v>
      </c>
      <c r="BO159" s="33">
        <f t="shared" si="175"/>
        <v>1500</v>
      </c>
      <c r="BP159" s="9">
        <f t="shared" si="176"/>
        <v>3000</v>
      </c>
      <c r="BQ159" s="10">
        <f t="shared" si="177"/>
        <v>0.11627906976744186</v>
      </c>
      <c r="BR159" s="91"/>
    </row>
    <row r="160" spans="1:70" x14ac:dyDescent="0.2">
      <c r="A160" s="72"/>
      <c r="B160" s="61"/>
      <c r="C160" s="33">
        <v>19354</v>
      </c>
      <c r="D160" s="9">
        <f t="shared" si="178"/>
        <v>84</v>
      </c>
      <c r="E160" s="9">
        <v>634</v>
      </c>
      <c r="F160" s="9">
        <f t="shared" si="179"/>
        <v>1</v>
      </c>
      <c r="G160" s="9">
        <v>31</v>
      </c>
      <c r="H160" s="9">
        <f t="shared" si="180"/>
        <v>1</v>
      </c>
      <c r="I160" s="13">
        <v>0</v>
      </c>
      <c r="J160" s="113" t="str">
        <f t="shared" ref="J160" si="206">IF(C160="","",J156)</f>
        <v>電ブル</v>
      </c>
      <c r="K160" s="34">
        <f t="shared" si="182"/>
        <v>275</v>
      </c>
      <c r="L160" s="9">
        <f t="shared" si="183"/>
        <v>275</v>
      </c>
      <c r="M160" s="10">
        <f t="shared" si="184"/>
        <v>3.273809523809524E-2</v>
      </c>
      <c r="N160" s="11"/>
      <c r="P160" s="72"/>
      <c r="Q160" s="33">
        <v>14658</v>
      </c>
      <c r="R160" s="9">
        <f t="shared" si="185"/>
        <v>24</v>
      </c>
      <c r="S160" s="9">
        <v>500</v>
      </c>
      <c r="T160" s="9">
        <f t="shared" si="186"/>
        <v>1</v>
      </c>
      <c r="U160" s="9">
        <v>6</v>
      </c>
      <c r="V160" s="9">
        <f t="shared" si="187"/>
        <v>1</v>
      </c>
      <c r="W160" s="13">
        <v>0</v>
      </c>
      <c r="X160" s="113" t="str">
        <f t="shared" si="188"/>
        <v>サンリオフェイスポーチ</v>
      </c>
      <c r="Y160" s="34">
        <f t="shared" si="189"/>
        <v>825</v>
      </c>
      <c r="Z160" s="9">
        <f t="shared" si="190"/>
        <v>825</v>
      </c>
      <c r="AA160" s="10">
        <f t="shared" si="191"/>
        <v>0.34375</v>
      </c>
      <c r="AB160" s="11"/>
      <c r="AD160" s="72"/>
      <c r="AE160" s="33">
        <v>12724</v>
      </c>
      <c r="AF160" s="9">
        <f t="shared" si="192"/>
        <v>54</v>
      </c>
      <c r="AG160" s="9">
        <v>795</v>
      </c>
      <c r="AH160" s="9">
        <f t="shared" si="193"/>
        <v>3</v>
      </c>
      <c r="AI160" s="9">
        <v>6</v>
      </c>
      <c r="AJ160" s="9">
        <f t="shared" si="194"/>
        <v>2</v>
      </c>
      <c r="AK160" s="13">
        <v>0</v>
      </c>
      <c r="AL160" s="113" t="str">
        <f t="shared" si="204"/>
        <v>ジャグラーボタン</v>
      </c>
      <c r="AM160" s="34">
        <f t="shared" si="195"/>
        <v>748</v>
      </c>
      <c r="AN160" s="9">
        <f t="shared" si="196"/>
        <v>1496</v>
      </c>
      <c r="AO160" s="10">
        <f t="shared" si="197"/>
        <v>0.27703703703703703</v>
      </c>
      <c r="AP160" s="11"/>
      <c r="AR160" s="72"/>
      <c r="AS160" s="33">
        <v>10894</v>
      </c>
      <c r="AT160" s="9">
        <f t="shared" si="198"/>
        <v>50</v>
      </c>
      <c r="AU160" s="9">
        <v>547</v>
      </c>
      <c r="AV160" s="9">
        <f t="shared" si="199"/>
        <v>0</v>
      </c>
      <c r="AW160" s="9">
        <v>16</v>
      </c>
      <c r="AX160" s="9">
        <f t="shared" si="200"/>
        <v>0</v>
      </c>
      <c r="AY160" s="13">
        <v>-7</v>
      </c>
      <c r="AZ160" s="113" t="str">
        <f t="shared" si="205"/>
        <v>しばこ</v>
      </c>
      <c r="BA160" s="34">
        <f t="shared" si="201"/>
        <v>358</v>
      </c>
      <c r="BB160" s="9">
        <f t="shared" si="202"/>
        <v>0</v>
      </c>
      <c r="BC160" s="10">
        <f t="shared" si="203"/>
        <v>0</v>
      </c>
      <c r="BD160" s="11" t="s">
        <v>179</v>
      </c>
      <c r="BF160" s="96">
        <f>IF($A187="","",$A187)</f>
        <v>46130</v>
      </c>
      <c r="BG160" s="13">
        <v>6424</v>
      </c>
      <c r="BH160" s="9">
        <f t="shared" si="172"/>
        <v>200</v>
      </c>
      <c r="BI160" s="9">
        <v>72</v>
      </c>
      <c r="BJ160" s="9">
        <f t="shared" si="173"/>
        <v>4</v>
      </c>
      <c r="BK160" s="9">
        <v>13</v>
      </c>
      <c r="BL160" s="9">
        <f t="shared" si="174"/>
        <v>4</v>
      </c>
      <c r="BM160" s="9">
        <v>1</v>
      </c>
      <c r="BN160" s="126" t="str">
        <f t="shared" si="171"/>
        <v>ボンボンドロップシール</v>
      </c>
      <c r="BO160" s="33">
        <f t="shared" si="175"/>
        <v>1500</v>
      </c>
      <c r="BP160" s="9">
        <f t="shared" si="176"/>
        <v>6000</v>
      </c>
      <c r="BQ160" s="10">
        <f t="shared" si="177"/>
        <v>0.3</v>
      </c>
      <c r="BR160" s="91" t="s">
        <v>215</v>
      </c>
    </row>
    <row r="161" spans="1:70" x14ac:dyDescent="0.2">
      <c r="A161" s="72"/>
      <c r="B161" s="64"/>
      <c r="C161" s="38">
        <v>18186</v>
      </c>
      <c r="D161" s="77">
        <f t="shared" si="178"/>
        <v>19</v>
      </c>
      <c r="E161" s="9">
        <v>625</v>
      </c>
      <c r="F161" s="9">
        <f t="shared" si="179"/>
        <v>2</v>
      </c>
      <c r="G161" s="9">
        <v>5</v>
      </c>
      <c r="H161" s="9">
        <f t="shared" si="180"/>
        <v>2</v>
      </c>
      <c r="I161" s="13">
        <v>2</v>
      </c>
      <c r="J161" s="113" t="s">
        <v>171</v>
      </c>
      <c r="K161" s="9">
        <f t="shared" si="182"/>
        <v>638</v>
      </c>
      <c r="L161" s="9">
        <f t="shared" si="183"/>
        <v>1276</v>
      </c>
      <c r="M161" s="10">
        <f t="shared" si="184"/>
        <v>0.67157894736842105</v>
      </c>
      <c r="N161" s="11" t="s">
        <v>172</v>
      </c>
      <c r="P161" s="72"/>
      <c r="Q161" s="38">
        <v>15140</v>
      </c>
      <c r="R161" s="9">
        <f t="shared" si="185"/>
        <v>68</v>
      </c>
      <c r="S161" s="9">
        <v>963</v>
      </c>
      <c r="T161" s="9">
        <f t="shared" si="186"/>
        <v>1</v>
      </c>
      <c r="U161" s="9">
        <v>18</v>
      </c>
      <c r="V161" s="9">
        <f t="shared" si="187"/>
        <v>1</v>
      </c>
      <c r="W161" s="13">
        <v>0</v>
      </c>
      <c r="X161" s="113" t="str">
        <f t="shared" si="188"/>
        <v>ボンボンドロップシール</v>
      </c>
      <c r="Y161" s="9">
        <f t="shared" si="189"/>
        <v>200</v>
      </c>
      <c r="Z161" s="9">
        <f t="shared" si="190"/>
        <v>200</v>
      </c>
      <c r="AA161" s="10">
        <f t="shared" si="191"/>
        <v>2.9411764705882353E-2</v>
      </c>
      <c r="AB161" s="11"/>
      <c r="AD161" s="72"/>
      <c r="AE161" s="38">
        <v>15049</v>
      </c>
      <c r="AF161" s="9">
        <f t="shared" si="192"/>
        <v>57</v>
      </c>
      <c r="AG161" s="9">
        <v>2402</v>
      </c>
      <c r="AH161" s="9">
        <f t="shared" si="193"/>
        <v>1</v>
      </c>
      <c r="AI161" s="9">
        <v>8</v>
      </c>
      <c r="AJ161" s="9">
        <f t="shared" si="194"/>
        <v>1</v>
      </c>
      <c r="AK161" s="13">
        <v>1</v>
      </c>
      <c r="AL161" s="113" t="str">
        <f t="shared" si="204"/>
        <v>サンリオスカーフ付きリュック</v>
      </c>
      <c r="AM161" s="9">
        <f t="shared" si="195"/>
        <v>600</v>
      </c>
      <c r="AN161" s="9">
        <f t="shared" si="196"/>
        <v>600</v>
      </c>
      <c r="AO161" s="10">
        <f t="shared" si="197"/>
        <v>0.10526315789473684</v>
      </c>
      <c r="AP161" s="11" t="s">
        <v>178</v>
      </c>
      <c r="AR161" s="72"/>
      <c r="AS161" s="38">
        <v>13072</v>
      </c>
      <c r="AT161" s="9">
        <f t="shared" si="198"/>
        <v>44</v>
      </c>
      <c r="AU161" s="9">
        <v>769</v>
      </c>
      <c r="AV161" s="9">
        <f t="shared" si="199"/>
        <v>0</v>
      </c>
      <c r="AW161" s="9">
        <v>7</v>
      </c>
      <c r="AX161" s="9">
        <f t="shared" si="200"/>
        <v>0</v>
      </c>
      <c r="AY161" s="13">
        <v>4</v>
      </c>
      <c r="AZ161" s="113" t="str">
        <f t="shared" si="205"/>
        <v>たまごっちマスコット</v>
      </c>
      <c r="BA161" s="9">
        <f t="shared" si="201"/>
        <v>1500</v>
      </c>
      <c r="BB161" s="9">
        <f t="shared" si="202"/>
        <v>0</v>
      </c>
      <c r="BC161" s="10">
        <f t="shared" si="203"/>
        <v>0</v>
      </c>
      <c r="BD161" s="11"/>
      <c r="BF161" s="96" t="str">
        <f>IF($A191="","",$A191)</f>
        <v/>
      </c>
      <c r="BG161" s="13"/>
      <c r="BH161" s="9"/>
      <c r="BI161" s="9"/>
      <c r="BJ161" s="9"/>
      <c r="BK161" s="9"/>
      <c r="BL161" s="9"/>
      <c r="BM161" s="9"/>
      <c r="BN161" s="126"/>
      <c r="BO161" s="33"/>
      <c r="BP161" s="9"/>
      <c r="BQ161" s="10"/>
      <c r="BR161" s="91"/>
    </row>
    <row r="162" spans="1:70" ht="15" customHeight="1" thickBot="1" x14ac:dyDescent="0.25">
      <c r="A162" s="75"/>
      <c r="B162" s="65"/>
      <c r="C162" s="36">
        <v>12998</v>
      </c>
      <c r="D162" s="37">
        <f t="shared" si="178"/>
        <v>135</v>
      </c>
      <c r="E162" s="17">
        <v>1236</v>
      </c>
      <c r="F162" s="17">
        <f t="shared" si="179"/>
        <v>2</v>
      </c>
      <c r="G162" s="17">
        <v>6</v>
      </c>
      <c r="H162" s="17">
        <f t="shared" si="180"/>
        <v>2</v>
      </c>
      <c r="I162" s="29">
        <v>2</v>
      </c>
      <c r="J162" s="114" t="str">
        <f t="shared" ref="J162:J170" si="207">IF(C162="","",J158)</f>
        <v>バタースクイーズ</v>
      </c>
      <c r="K162" s="37">
        <f t="shared" si="182"/>
        <v>1100</v>
      </c>
      <c r="L162" s="17">
        <f t="shared" si="183"/>
        <v>2200</v>
      </c>
      <c r="M162" s="18">
        <f t="shared" si="184"/>
        <v>0.16296296296296298</v>
      </c>
      <c r="N162" s="11"/>
      <c r="P162" s="75"/>
      <c r="Q162" s="36">
        <v>12738</v>
      </c>
      <c r="R162" s="37">
        <f t="shared" si="185"/>
        <v>43</v>
      </c>
      <c r="S162" s="17">
        <v>1078</v>
      </c>
      <c r="T162" s="17">
        <f t="shared" si="186"/>
        <v>0</v>
      </c>
      <c r="U162" s="17">
        <v>5</v>
      </c>
      <c r="V162" s="17">
        <f t="shared" si="187"/>
        <v>0</v>
      </c>
      <c r="W162" s="29">
        <v>0</v>
      </c>
      <c r="X162" s="114" t="str">
        <f t="shared" si="188"/>
        <v>ゲームアーク</v>
      </c>
      <c r="Y162" s="37">
        <f t="shared" si="189"/>
        <v>648</v>
      </c>
      <c r="Z162" s="17">
        <f t="shared" si="190"/>
        <v>0</v>
      </c>
      <c r="AA162" s="18">
        <f t="shared" si="191"/>
        <v>0</v>
      </c>
      <c r="AB162" s="11"/>
      <c r="AD162" s="75"/>
      <c r="AE162" s="36">
        <v>15279</v>
      </c>
      <c r="AF162" s="37">
        <f t="shared" si="192"/>
        <v>22</v>
      </c>
      <c r="AG162" s="17">
        <v>1549</v>
      </c>
      <c r="AH162" s="17">
        <f t="shared" si="193"/>
        <v>0</v>
      </c>
      <c r="AI162" s="17">
        <v>9</v>
      </c>
      <c r="AJ162" s="17">
        <f t="shared" si="194"/>
        <v>0</v>
      </c>
      <c r="AK162" s="29">
        <v>7</v>
      </c>
      <c r="AL162" s="114" t="s">
        <v>174</v>
      </c>
      <c r="AM162" s="37">
        <f t="shared" si="195"/>
        <v>350</v>
      </c>
      <c r="AN162" s="17">
        <f t="shared" si="196"/>
        <v>0</v>
      </c>
      <c r="AO162" s="18">
        <f t="shared" si="197"/>
        <v>0</v>
      </c>
      <c r="AP162" s="11"/>
      <c r="AR162" s="75"/>
      <c r="AS162" s="36">
        <v>10967</v>
      </c>
      <c r="AT162" s="37">
        <f t="shared" si="198"/>
        <v>38</v>
      </c>
      <c r="AU162" s="17">
        <v>810</v>
      </c>
      <c r="AV162" s="17">
        <f t="shared" si="199"/>
        <v>0</v>
      </c>
      <c r="AW162" s="17">
        <v>9</v>
      </c>
      <c r="AX162" s="17">
        <f t="shared" si="200"/>
        <v>0</v>
      </c>
      <c r="AY162" s="29">
        <v>0</v>
      </c>
      <c r="AZ162" s="114" t="str">
        <f t="shared" si="205"/>
        <v>シールバインダー</v>
      </c>
      <c r="BA162" s="37">
        <f t="shared" si="201"/>
        <v>330</v>
      </c>
      <c r="BB162" s="17">
        <f t="shared" si="202"/>
        <v>0</v>
      </c>
      <c r="BC162" s="18">
        <f t="shared" si="203"/>
        <v>0</v>
      </c>
      <c r="BD162" s="11"/>
      <c r="BF162" s="96" t="str">
        <f>IF($A195="","",$A195)</f>
        <v/>
      </c>
      <c r="BG162" s="13"/>
      <c r="BH162" s="9" t="str">
        <f t="shared" si="172"/>
        <v/>
      </c>
      <c r="BI162" s="9"/>
      <c r="BJ162" s="9" t="str">
        <f t="shared" si="173"/>
        <v/>
      </c>
      <c r="BK162" s="9"/>
      <c r="BL162" s="9" t="str">
        <f t="shared" si="174"/>
        <v/>
      </c>
      <c r="BM162" s="9"/>
      <c r="BN162" s="126" t="str">
        <f t="shared" si="171"/>
        <v/>
      </c>
      <c r="BO162" s="33" t="str">
        <f t="shared" si="175"/>
        <v/>
      </c>
      <c r="BP162" s="9" t="str">
        <f t="shared" si="176"/>
        <v/>
      </c>
      <c r="BQ162" s="10" t="str">
        <f t="shared" si="177"/>
        <v/>
      </c>
      <c r="BR162" s="11"/>
    </row>
    <row r="163" spans="1:70" ht="15" customHeight="1" thickTop="1" x14ac:dyDescent="0.2">
      <c r="A163" s="71">
        <v>46108</v>
      </c>
      <c r="B163" s="61">
        <f>SUM(D163:D166)+SUM(R163:R166)+SUM(AF163:AF166)+SUM(AT163:AT166)+SUM(BH154)</f>
        <v>848</v>
      </c>
      <c r="C163" s="33">
        <v>15578</v>
      </c>
      <c r="D163" s="94">
        <f t="shared" ref="D163:D206" si="208">IF(C163="","",C163-C159)</f>
        <v>16</v>
      </c>
      <c r="E163" s="33">
        <v>1117</v>
      </c>
      <c r="F163" s="20">
        <f t="shared" ref="F163:F206" si="209">IF(E163="","",E163-E159)</f>
        <v>0</v>
      </c>
      <c r="G163" s="33">
        <v>10</v>
      </c>
      <c r="H163" s="33">
        <f>IF(G163="","",G159+I159-G163)</f>
        <v>0</v>
      </c>
      <c r="I163" s="43">
        <v>0</v>
      </c>
      <c r="J163" s="112" t="str">
        <f t="shared" si="207"/>
        <v>キティダブルミラー</v>
      </c>
      <c r="K163" s="40">
        <f t="shared" si="182"/>
        <v>660</v>
      </c>
      <c r="L163" s="20">
        <f t="shared" si="183"/>
        <v>0</v>
      </c>
      <c r="M163" s="21">
        <f t="shared" si="184"/>
        <v>0</v>
      </c>
      <c r="N163" s="11"/>
      <c r="O163" s="1"/>
      <c r="P163" s="76">
        <f>IF($A163="","",$A163)</f>
        <v>46108</v>
      </c>
      <c r="Q163" s="33">
        <v>15249</v>
      </c>
      <c r="R163" s="94">
        <f t="shared" si="185"/>
        <v>15</v>
      </c>
      <c r="S163" s="33">
        <v>1442</v>
      </c>
      <c r="T163" s="20">
        <f t="shared" si="186"/>
        <v>0</v>
      </c>
      <c r="U163" s="33">
        <v>6</v>
      </c>
      <c r="V163" s="33">
        <f>IF(U163="","",U159+W159-U163)</f>
        <v>0</v>
      </c>
      <c r="W163" s="43">
        <v>0</v>
      </c>
      <c r="X163" s="112" t="str">
        <f t="shared" si="188"/>
        <v>キティボアバンスクリップ</v>
      </c>
      <c r="Y163" s="40">
        <f t="shared" si="189"/>
        <v>1100</v>
      </c>
      <c r="Z163" s="20">
        <f t="shared" si="190"/>
        <v>0</v>
      </c>
      <c r="AA163" s="21">
        <f t="shared" si="191"/>
        <v>0</v>
      </c>
      <c r="AB163" s="11"/>
      <c r="AD163" s="76">
        <f>IF($A163="","",$A163)</f>
        <v>46108</v>
      </c>
      <c r="AE163" s="33">
        <v>12425</v>
      </c>
      <c r="AF163" s="33">
        <f t="shared" si="192"/>
        <v>26</v>
      </c>
      <c r="AG163" s="33">
        <v>911</v>
      </c>
      <c r="AH163" s="20">
        <f t="shared" si="193"/>
        <v>1</v>
      </c>
      <c r="AI163" s="33">
        <v>6</v>
      </c>
      <c r="AJ163" s="33">
        <f>IF(AI163="","",AI159+AK159-AI163)</f>
        <v>1</v>
      </c>
      <c r="AK163" s="43">
        <v>1</v>
      </c>
      <c r="AL163" s="112" t="str">
        <f t="shared" ref="AL163:AL186" si="210">IF(AE163="","",AL159)</f>
        <v>ポケモンシリコンポーチ</v>
      </c>
      <c r="AM163" s="40">
        <f t="shared" si="195"/>
        <v>600</v>
      </c>
      <c r="AN163" s="20">
        <f t="shared" si="196"/>
        <v>600</v>
      </c>
      <c r="AO163" s="21">
        <f t="shared" si="197"/>
        <v>0.23076923076923078</v>
      </c>
      <c r="AP163" s="11"/>
      <c r="AR163" s="76">
        <f>IF($A163="","",$A163)</f>
        <v>46108</v>
      </c>
      <c r="AS163" s="33">
        <v>9535</v>
      </c>
      <c r="AT163" s="33">
        <f t="shared" si="198"/>
        <v>25</v>
      </c>
      <c r="AU163" s="33">
        <v>530</v>
      </c>
      <c r="AV163" s="20">
        <f t="shared" si="199"/>
        <v>3</v>
      </c>
      <c r="AW163" s="33">
        <v>3</v>
      </c>
      <c r="AX163" s="33">
        <f>IF(AW163="","",AW159+AY159-AW163)</f>
        <v>3</v>
      </c>
      <c r="AY163" s="43">
        <v>0</v>
      </c>
      <c r="AZ163" s="112" t="s">
        <v>82</v>
      </c>
      <c r="BA163" s="40">
        <f t="shared" si="201"/>
        <v>825</v>
      </c>
      <c r="BB163" s="20">
        <f t="shared" si="202"/>
        <v>2475</v>
      </c>
      <c r="BC163" s="21">
        <f t="shared" si="203"/>
        <v>0.99</v>
      </c>
      <c r="BD163" s="11" t="s">
        <v>184</v>
      </c>
      <c r="BF163" s="96" t="str">
        <f>IF($A199="","",$A199)</f>
        <v/>
      </c>
      <c r="BG163" s="13"/>
      <c r="BH163" s="9" t="str">
        <f t="shared" si="172"/>
        <v/>
      </c>
      <c r="BI163" s="9"/>
      <c r="BJ163" s="9" t="str">
        <f t="shared" si="173"/>
        <v/>
      </c>
      <c r="BK163" s="9"/>
      <c r="BL163" s="9" t="str">
        <f t="shared" si="174"/>
        <v/>
      </c>
      <c r="BM163" s="9"/>
      <c r="BN163" s="126" t="str">
        <f t="shared" si="171"/>
        <v/>
      </c>
      <c r="BO163" s="33" t="str">
        <f t="shared" si="175"/>
        <v/>
      </c>
      <c r="BP163" s="9" t="str">
        <f t="shared" si="176"/>
        <v/>
      </c>
      <c r="BQ163" s="10" t="str">
        <f t="shared" si="177"/>
        <v/>
      </c>
      <c r="BR163" s="11"/>
    </row>
    <row r="164" spans="1:70" x14ac:dyDescent="0.2">
      <c r="A164" s="72"/>
      <c r="B164" s="8"/>
      <c r="C164" s="9">
        <v>19413</v>
      </c>
      <c r="D164" s="9">
        <f t="shared" si="208"/>
        <v>59</v>
      </c>
      <c r="E164" s="9">
        <v>635</v>
      </c>
      <c r="F164" s="9">
        <f t="shared" si="209"/>
        <v>1</v>
      </c>
      <c r="G164" s="9">
        <v>30</v>
      </c>
      <c r="H164" s="9">
        <f>IF(G164="","",G160+I160-G164)</f>
        <v>1</v>
      </c>
      <c r="I164" s="13">
        <v>0</v>
      </c>
      <c r="J164" s="113" t="str">
        <f t="shared" si="207"/>
        <v>電ブル</v>
      </c>
      <c r="K164" s="34">
        <f t="shared" si="182"/>
        <v>275</v>
      </c>
      <c r="L164" s="9">
        <f t="shared" si="183"/>
        <v>275</v>
      </c>
      <c r="M164" s="10">
        <f t="shared" si="184"/>
        <v>4.6610169491525424E-2</v>
      </c>
      <c r="N164" s="11"/>
      <c r="O164" s="1"/>
      <c r="P164" s="72"/>
      <c r="Q164" s="9">
        <v>14705</v>
      </c>
      <c r="R164" s="9">
        <f t="shared" si="185"/>
        <v>47</v>
      </c>
      <c r="S164" s="9">
        <v>500</v>
      </c>
      <c r="T164" s="9">
        <f t="shared" si="186"/>
        <v>0</v>
      </c>
      <c r="U164" s="9">
        <v>6</v>
      </c>
      <c r="V164" s="9">
        <f>IF(U164="","",U160+W160-U164)</f>
        <v>0</v>
      </c>
      <c r="W164" s="13">
        <v>0</v>
      </c>
      <c r="X164" s="113" t="str">
        <f t="shared" si="188"/>
        <v>サンリオフェイスポーチ</v>
      </c>
      <c r="Y164" s="34">
        <f t="shared" si="189"/>
        <v>825</v>
      </c>
      <c r="Z164" s="9">
        <f t="shared" si="190"/>
        <v>0</v>
      </c>
      <c r="AA164" s="10">
        <f t="shared" si="191"/>
        <v>0</v>
      </c>
      <c r="AB164" s="11"/>
      <c r="AD164" s="72"/>
      <c r="AE164" s="9">
        <v>12767</v>
      </c>
      <c r="AF164" s="9">
        <f t="shared" si="192"/>
        <v>43</v>
      </c>
      <c r="AG164" s="9">
        <v>795</v>
      </c>
      <c r="AH164" s="9">
        <f t="shared" si="193"/>
        <v>0</v>
      </c>
      <c r="AI164" s="9">
        <v>6</v>
      </c>
      <c r="AJ164" s="9">
        <f>IF(AI164="","",AI160+AK160-AI164)</f>
        <v>0</v>
      </c>
      <c r="AK164" s="13">
        <v>0</v>
      </c>
      <c r="AL164" s="113" t="str">
        <f t="shared" si="210"/>
        <v>ジャグラーボタン</v>
      </c>
      <c r="AM164" s="34">
        <f t="shared" si="195"/>
        <v>748</v>
      </c>
      <c r="AN164" s="9">
        <f t="shared" si="196"/>
        <v>0</v>
      </c>
      <c r="AO164" s="10">
        <f t="shared" si="197"/>
        <v>0</v>
      </c>
      <c r="AP164" s="11"/>
      <c r="AR164" s="72"/>
      <c r="AS164" s="9">
        <v>10916</v>
      </c>
      <c r="AT164" s="9">
        <f t="shared" si="198"/>
        <v>22</v>
      </c>
      <c r="AU164" s="9">
        <v>548</v>
      </c>
      <c r="AV164" s="9">
        <f t="shared" si="199"/>
        <v>1</v>
      </c>
      <c r="AW164" s="9">
        <v>7</v>
      </c>
      <c r="AX164" s="9">
        <f>IF(AW164="","",AW160+AY160-AW164)</f>
        <v>2</v>
      </c>
      <c r="AY164" s="13">
        <v>0</v>
      </c>
      <c r="AZ164" s="113" t="s">
        <v>183</v>
      </c>
      <c r="BA164" s="34">
        <f t="shared" si="201"/>
        <v>358</v>
      </c>
      <c r="BB164" s="9">
        <f t="shared" si="202"/>
        <v>716</v>
      </c>
      <c r="BC164" s="10">
        <f t="shared" si="203"/>
        <v>0.32545454545454544</v>
      </c>
      <c r="BD164" s="11"/>
      <c r="BF164" s="96" t="str">
        <f>IF($A$425="","",$A$425)</f>
        <v/>
      </c>
      <c r="BG164" s="9"/>
      <c r="BH164" s="9" t="str">
        <f t="shared" si="172"/>
        <v/>
      </c>
      <c r="BI164" s="9"/>
      <c r="BJ164" s="9" t="str">
        <f t="shared" si="173"/>
        <v/>
      </c>
      <c r="BK164" s="9"/>
      <c r="BL164" s="9" t="str">
        <f t="shared" si="174"/>
        <v/>
      </c>
      <c r="BM164" s="9"/>
      <c r="BN164" s="126" t="str">
        <f t="shared" si="171"/>
        <v/>
      </c>
      <c r="BO164" s="33" t="str">
        <f t="shared" si="175"/>
        <v/>
      </c>
      <c r="BP164" s="9" t="str">
        <f t="shared" si="176"/>
        <v/>
      </c>
      <c r="BQ164" s="10" t="str">
        <f>IF(BP164="","",BP164/(BG164*100))</f>
        <v/>
      </c>
      <c r="BR164" s="90"/>
    </row>
    <row r="165" spans="1:70" x14ac:dyDescent="0.2">
      <c r="A165" s="74"/>
      <c r="B165" s="66"/>
      <c r="C165" s="23">
        <v>18209</v>
      </c>
      <c r="D165" s="77">
        <f t="shared" si="208"/>
        <v>23</v>
      </c>
      <c r="E165" s="9">
        <v>625</v>
      </c>
      <c r="F165" s="9">
        <f t="shared" si="209"/>
        <v>0</v>
      </c>
      <c r="G165" s="23">
        <v>6</v>
      </c>
      <c r="H165" s="9">
        <f>IF(G165="","",G161+I161-G165)</f>
        <v>1</v>
      </c>
      <c r="I165" s="30">
        <v>1</v>
      </c>
      <c r="J165" s="113" t="str">
        <f t="shared" si="207"/>
        <v>サンリオヘアバンド</v>
      </c>
      <c r="K165" s="9">
        <f t="shared" si="182"/>
        <v>638</v>
      </c>
      <c r="L165" s="9">
        <f t="shared" si="183"/>
        <v>638</v>
      </c>
      <c r="M165" s="10">
        <f t="shared" si="184"/>
        <v>0.27739130434782611</v>
      </c>
      <c r="N165" s="11"/>
      <c r="P165" s="74"/>
      <c r="Q165" s="23">
        <v>15178</v>
      </c>
      <c r="R165" s="9">
        <f t="shared" si="185"/>
        <v>38</v>
      </c>
      <c r="S165" s="9">
        <v>964</v>
      </c>
      <c r="T165" s="9">
        <f t="shared" si="186"/>
        <v>1</v>
      </c>
      <c r="U165" s="23">
        <v>17</v>
      </c>
      <c r="V165" s="9">
        <f>IF(U165="","",U161+W161-U165)</f>
        <v>1</v>
      </c>
      <c r="W165" s="30">
        <v>2</v>
      </c>
      <c r="X165" s="113" t="str">
        <f t="shared" si="188"/>
        <v>ボンボンドロップシール</v>
      </c>
      <c r="Y165" s="9">
        <f t="shared" si="189"/>
        <v>200</v>
      </c>
      <c r="Z165" s="9">
        <f t="shared" si="190"/>
        <v>200</v>
      </c>
      <c r="AA165" s="10">
        <f t="shared" si="191"/>
        <v>5.2631578947368418E-2</v>
      </c>
      <c r="AB165" s="11"/>
      <c r="AD165" s="74"/>
      <c r="AE165" s="23">
        <v>15074</v>
      </c>
      <c r="AF165" s="9">
        <f t="shared" si="192"/>
        <v>25</v>
      </c>
      <c r="AG165" s="9">
        <v>2403</v>
      </c>
      <c r="AH165" s="9">
        <f t="shared" si="193"/>
        <v>1</v>
      </c>
      <c r="AI165" s="23">
        <v>7</v>
      </c>
      <c r="AJ165" s="9">
        <f>IF(AI165="","",AI161+AK161-AI165)</f>
        <v>2</v>
      </c>
      <c r="AK165" s="30">
        <v>2</v>
      </c>
      <c r="AL165" s="113" t="str">
        <f t="shared" si="210"/>
        <v>サンリオスカーフ付きリュック</v>
      </c>
      <c r="AM165" s="9">
        <f t="shared" si="195"/>
        <v>600</v>
      </c>
      <c r="AN165" s="9">
        <f t="shared" si="196"/>
        <v>1200</v>
      </c>
      <c r="AO165" s="10">
        <f t="shared" si="197"/>
        <v>0.48</v>
      </c>
      <c r="AP165" s="11"/>
      <c r="AR165" s="74"/>
      <c r="AS165" s="23">
        <v>13084</v>
      </c>
      <c r="AT165" s="9">
        <f t="shared" si="198"/>
        <v>12</v>
      </c>
      <c r="AU165" s="9">
        <v>770</v>
      </c>
      <c r="AV165" s="9">
        <f t="shared" si="199"/>
        <v>1</v>
      </c>
      <c r="AW165" s="23">
        <v>7</v>
      </c>
      <c r="AX165" s="9">
        <f>IF(AW165="","",AW161+AY161-AW165)</f>
        <v>4</v>
      </c>
      <c r="AY165" s="30">
        <v>0</v>
      </c>
      <c r="AZ165" s="113" t="str">
        <f t="shared" si="205"/>
        <v>たまごっちマスコット</v>
      </c>
      <c r="BA165" s="9">
        <f t="shared" si="201"/>
        <v>1500</v>
      </c>
      <c r="BB165" s="9">
        <f t="shared" si="202"/>
        <v>6000</v>
      </c>
      <c r="BC165" s="10">
        <f t="shared" si="203"/>
        <v>5</v>
      </c>
      <c r="BD165" s="11"/>
      <c r="BF165" s="96"/>
      <c r="BG165" s="9"/>
      <c r="BH165" s="9"/>
      <c r="BI165" s="9"/>
      <c r="BJ165" s="9"/>
      <c r="BK165" s="9"/>
      <c r="BL165" s="9"/>
      <c r="BM165" s="9"/>
      <c r="BN165" s="126" t="str">
        <f t="shared" si="171"/>
        <v/>
      </c>
      <c r="BO165" s="33"/>
      <c r="BP165" s="9"/>
      <c r="BQ165" s="10" t="str">
        <f>IF(BP165="","",BP165/(BG165*100))</f>
        <v/>
      </c>
      <c r="BR165" s="90"/>
    </row>
    <row r="166" spans="1:70" ht="15" customHeight="1" thickBot="1" x14ac:dyDescent="0.25">
      <c r="A166" s="75"/>
      <c r="B166" s="67"/>
      <c r="C166" s="17">
        <v>13062</v>
      </c>
      <c r="D166" s="37">
        <f t="shared" si="208"/>
        <v>64</v>
      </c>
      <c r="E166" s="17">
        <v>1236</v>
      </c>
      <c r="F166" s="17">
        <f t="shared" si="209"/>
        <v>0</v>
      </c>
      <c r="G166" s="17">
        <v>8</v>
      </c>
      <c r="H166" s="17">
        <f>IF(G166="","",G162+I162-G166)</f>
        <v>0</v>
      </c>
      <c r="I166" s="29">
        <v>0</v>
      </c>
      <c r="J166" s="114" t="str">
        <f t="shared" si="207"/>
        <v>バタースクイーズ</v>
      </c>
      <c r="K166" s="37">
        <f t="shared" si="182"/>
        <v>1100</v>
      </c>
      <c r="L166" s="17">
        <f t="shared" si="183"/>
        <v>0</v>
      </c>
      <c r="M166" s="18">
        <f t="shared" si="184"/>
        <v>0</v>
      </c>
      <c r="N166" s="11"/>
      <c r="P166" s="75"/>
      <c r="Q166" s="17">
        <v>12754</v>
      </c>
      <c r="R166" s="83">
        <f t="shared" si="185"/>
        <v>16</v>
      </c>
      <c r="S166" s="17">
        <v>1078</v>
      </c>
      <c r="T166" s="17">
        <f t="shared" si="186"/>
        <v>0</v>
      </c>
      <c r="U166" s="17">
        <v>5</v>
      </c>
      <c r="V166" s="17">
        <f>IF(U166="","",U162+W162-U166)</f>
        <v>0</v>
      </c>
      <c r="W166" s="29">
        <v>0</v>
      </c>
      <c r="X166" s="114" t="str">
        <f t="shared" si="188"/>
        <v>ゲームアーク</v>
      </c>
      <c r="Y166" s="37">
        <f t="shared" si="189"/>
        <v>648</v>
      </c>
      <c r="Z166" s="17">
        <f t="shared" si="190"/>
        <v>0</v>
      </c>
      <c r="AA166" s="18">
        <f t="shared" si="191"/>
        <v>0</v>
      </c>
      <c r="AB166" s="11"/>
      <c r="AD166" s="75"/>
      <c r="AE166" s="17">
        <v>15302</v>
      </c>
      <c r="AF166" s="37">
        <f t="shared" si="192"/>
        <v>23</v>
      </c>
      <c r="AG166" s="17">
        <v>1550</v>
      </c>
      <c r="AH166" s="17">
        <f t="shared" si="193"/>
        <v>1</v>
      </c>
      <c r="AI166" s="17">
        <v>16</v>
      </c>
      <c r="AJ166" s="17">
        <f>IF(AI166="","",AI162+AK162-AI166)</f>
        <v>0</v>
      </c>
      <c r="AK166" s="29">
        <v>0</v>
      </c>
      <c r="AL166" s="114" t="s">
        <v>157</v>
      </c>
      <c r="AM166" s="37">
        <f t="shared" si="195"/>
        <v>350</v>
      </c>
      <c r="AN166" s="17">
        <f t="shared" si="196"/>
        <v>0</v>
      </c>
      <c r="AO166" s="18">
        <f t="shared" si="197"/>
        <v>0</v>
      </c>
      <c r="AP166" s="11"/>
      <c r="AR166" s="75"/>
      <c r="AS166" s="17">
        <v>10989</v>
      </c>
      <c r="AT166" s="37">
        <f t="shared" si="198"/>
        <v>22</v>
      </c>
      <c r="AU166" s="17">
        <v>810</v>
      </c>
      <c r="AV166" s="17">
        <f t="shared" si="199"/>
        <v>0</v>
      </c>
      <c r="AW166" s="17">
        <v>9</v>
      </c>
      <c r="AX166" s="17">
        <f>IF(AW166="","",AW162+AY162-AW166)</f>
        <v>0</v>
      </c>
      <c r="AY166" s="29">
        <v>0</v>
      </c>
      <c r="AZ166" s="114" t="str">
        <f t="shared" si="205"/>
        <v>シールバインダー</v>
      </c>
      <c r="BA166" s="37">
        <f t="shared" si="201"/>
        <v>330</v>
      </c>
      <c r="BB166" s="17">
        <f t="shared" si="202"/>
        <v>0</v>
      </c>
      <c r="BC166" s="18">
        <f t="shared" si="203"/>
        <v>0</v>
      </c>
      <c r="BD166" s="11"/>
      <c r="BF166" s="96"/>
      <c r="BG166" s="9"/>
      <c r="BH166" s="9" t="str">
        <f>IF(BG166="","",BG166-BG167)</f>
        <v/>
      </c>
      <c r="BI166" s="9"/>
      <c r="BJ166" s="9" t="str">
        <f>IF(BI166="","",BI166-BI167)</f>
        <v/>
      </c>
      <c r="BK166" s="9"/>
      <c r="BL166" s="9" t="str">
        <f>IF(BK166="","",BK167+BM167-BK166)</f>
        <v/>
      </c>
      <c r="BM166" s="9"/>
      <c r="BN166" s="126" t="str">
        <f t="shared" si="171"/>
        <v/>
      </c>
      <c r="BO166" s="33" t="str">
        <f>IF(BG166="","",BO167)</f>
        <v/>
      </c>
      <c r="BP166" s="9" t="str">
        <f t="shared" ref="BP166:BP198" si="211">IF(BO166="","",BL166*BO166)</f>
        <v/>
      </c>
      <c r="BQ166" s="10" t="str">
        <f t="shared" ref="BQ166:BQ198" si="212">IF(BP166="","",BP166/(BH166*100))</f>
        <v/>
      </c>
      <c r="BR166" s="90"/>
    </row>
    <row r="167" spans="1:70" ht="15" customHeight="1" thickTop="1" x14ac:dyDescent="0.2">
      <c r="A167" s="71">
        <v>46111</v>
      </c>
      <c r="B167" s="61">
        <f>SUM(D167:D170)+SUM(R167:R170)+SUM(AF167:AF170)+SUM(AT167:AT170)+SUM(BH155)</f>
        <v>681</v>
      </c>
      <c r="C167" s="33">
        <v>15583</v>
      </c>
      <c r="D167" s="94">
        <f t="shared" si="208"/>
        <v>5</v>
      </c>
      <c r="E167" s="33">
        <v>1117</v>
      </c>
      <c r="F167" s="20">
        <f t="shared" si="209"/>
        <v>0</v>
      </c>
      <c r="G167" s="33">
        <v>10</v>
      </c>
      <c r="H167" s="33">
        <f t="shared" ref="H167:H201" si="213">IF(G167="","",G163+I163-G167)</f>
        <v>0</v>
      </c>
      <c r="I167" s="43">
        <v>-4</v>
      </c>
      <c r="J167" s="112" t="str">
        <f t="shared" si="207"/>
        <v>キティダブルミラー</v>
      </c>
      <c r="K167" s="34">
        <f t="shared" si="182"/>
        <v>660</v>
      </c>
      <c r="L167" s="20">
        <f t="shared" si="183"/>
        <v>0</v>
      </c>
      <c r="M167" s="21">
        <f t="shared" si="184"/>
        <v>0</v>
      </c>
      <c r="N167" s="11" t="s">
        <v>185</v>
      </c>
      <c r="P167" s="76">
        <f>IF($A167="","",$A167)</f>
        <v>46111</v>
      </c>
      <c r="Q167" s="33">
        <v>15263</v>
      </c>
      <c r="R167" s="94">
        <f t="shared" si="185"/>
        <v>14</v>
      </c>
      <c r="S167" s="33">
        <v>1443</v>
      </c>
      <c r="T167" s="20">
        <f t="shared" si="186"/>
        <v>1</v>
      </c>
      <c r="U167" s="33">
        <v>6</v>
      </c>
      <c r="V167" s="33">
        <f t="shared" ref="V167:V186" si="214">IF(U167="","",U163+W163-U167)</f>
        <v>0</v>
      </c>
      <c r="W167" s="43">
        <v>0</v>
      </c>
      <c r="X167" s="112" t="str">
        <f t="shared" si="188"/>
        <v>キティボアバンスクリップ</v>
      </c>
      <c r="Y167" s="34">
        <f t="shared" si="189"/>
        <v>1100</v>
      </c>
      <c r="Z167" s="20">
        <f t="shared" si="190"/>
        <v>0</v>
      </c>
      <c r="AA167" s="21">
        <f t="shared" si="191"/>
        <v>0</v>
      </c>
      <c r="AB167" s="11"/>
      <c r="AD167" s="76">
        <f>IF($A167="","",$A167)</f>
        <v>46111</v>
      </c>
      <c r="AE167" s="33">
        <v>12449</v>
      </c>
      <c r="AF167" s="33">
        <f t="shared" si="192"/>
        <v>24</v>
      </c>
      <c r="AG167" s="33">
        <v>911</v>
      </c>
      <c r="AH167" s="20">
        <f t="shared" si="193"/>
        <v>0</v>
      </c>
      <c r="AI167" s="33">
        <v>7</v>
      </c>
      <c r="AJ167" s="33">
        <f t="shared" ref="AJ167:AJ186" si="215">IF(AI167="","",AI163+AK163-AI167)</f>
        <v>0</v>
      </c>
      <c r="AK167" s="43">
        <v>0</v>
      </c>
      <c r="AL167" s="112" t="str">
        <f t="shared" si="210"/>
        <v>ポケモンシリコンポーチ</v>
      </c>
      <c r="AM167" s="34">
        <f t="shared" si="195"/>
        <v>600</v>
      </c>
      <c r="AN167" s="20">
        <f t="shared" si="196"/>
        <v>0</v>
      </c>
      <c r="AO167" s="21">
        <f t="shared" si="197"/>
        <v>0</v>
      </c>
      <c r="AP167" s="11"/>
      <c r="AR167" s="76">
        <f>IF($A167="","",$A167)</f>
        <v>46111</v>
      </c>
      <c r="AS167" s="33">
        <v>9556</v>
      </c>
      <c r="AT167" s="33">
        <f t="shared" si="198"/>
        <v>21</v>
      </c>
      <c r="AU167" s="33">
        <v>530</v>
      </c>
      <c r="AV167" s="20">
        <f t="shared" si="199"/>
        <v>0</v>
      </c>
      <c r="AW167" s="33">
        <v>3</v>
      </c>
      <c r="AX167" s="33">
        <f t="shared" ref="AX167:AX186" si="216">IF(AW167="","",AW163+AY163-AW167)</f>
        <v>0</v>
      </c>
      <c r="AY167" s="43">
        <v>0</v>
      </c>
      <c r="AZ167" s="112" t="str">
        <f t="shared" si="205"/>
        <v>液晶ミニカメラ</v>
      </c>
      <c r="BA167" s="34">
        <f t="shared" si="201"/>
        <v>825</v>
      </c>
      <c r="BB167" s="20">
        <f t="shared" si="202"/>
        <v>0</v>
      </c>
      <c r="BC167" s="21">
        <f t="shared" si="203"/>
        <v>0</v>
      </c>
      <c r="BD167" s="11"/>
      <c r="BF167" s="96"/>
      <c r="BG167" s="9"/>
      <c r="BH167" s="9" t="str">
        <f>IF(BG167="","",BG167-BG164)</f>
        <v/>
      </c>
      <c r="BI167" s="9"/>
      <c r="BJ167" s="9" t="str">
        <f>IF(BI167="","",BI167-BI164)</f>
        <v/>
      </c>
      <c r="BK167" s="9"/>
      <c r="BL167" s="9" t="str">
        <f>IF(BK167="","",BK164+BM164-BK167)</f>
        <v/>
      </c>
      <c r="BM167" s="9"/>
      <c r="BN167" s="126" t="str">
        <f t="shared" si="171"/>
        <v/>
      </c>
      <c r="BO167" s="33" t="str">
        <f>IF(BG167="","",BO164)</f>
        <v/>
      </c>
      <c r="BP167" s="9" t="str">
        <f t="shared" si="211"/>
        <v/>
      </c>
      <c r="BQ167" s="10" t="str">
        <f t="shared" si="212"/>
        <v/>
      </c>
      <c r="BR167" s="90"/>
    </row>
    <row r="168" spans="1:70" x14ac:dyDescent="0.2">
      <c r="A168" s="71"/>
      <c r="B168" s="61"/>
      <c r="C168" s="33">
        <v>19444</v>
      </c>
      <c r="D168" s="9">
        <f t="shared" si="208"/>
        <v>31</v>
      </c>
      <c r="E168" s="9">
        <v>635</v>
      </c>
      <c r="F168" s="9">
        <f t="shared" si="209"/>
        <v>0</v>
      </c>
      <c r="G168" s="9">
        <v>30</v>
      </c>
      <c r="H168" s="9">
        <f t="shared" si="213"/>
        <v>0</v>
      </c>
      <c r="I168" s="13">
        <v>0</v>
      </c>
      <c r="J168" s="113" t="str">
        <f t="shared" si="207"/>
        <v>電ブル</v>
      </c>
      <c r="K168" s="34">
        <f t="shared" si="182"/>
        <v>275</v>
      </c>
      <c r="L168" s="9">
        <f t="shared" si="183"/>
        <v>0</v>
      </c>
      <c r="M168" s="10">
        <f t="shared" si="184"/>
        <v>0</v>
      </c>
      <c r="N168" s="11"/>
      <c r="P168" s="71"/>
      <c r="Q168" s="33">
        <v>14713</v>
      </c>
      <c r="R168" s="77">
        <f t="shared" si="185"/>
        <v>8</v>
      </c>
      <c r="S168" s="9">
        <v>501</v>
      </c>
      <c r="T168" s="9">
        <f t="shared" si="186"/>
        <v>1</v>
      </c>
      <c r="U168" s="9">
        <v>5</v>
      </c>
      <c r="V168" s="9">
        <f t="shared" si="214"/>
        <v>1</v>
      </c>
      <c r="W168" s="13">
        <v>0</v>
      </c>
      <c r="X168" s="113" t="str">
        <f t="shared" si="188"/>
        <v>サンリオフェイスポーチ</v>
      </c>
      <c r="Y168" s="34">
        <f t="shared" si="189"/>
        <v>825</v>
      </c>
      <c r="Z168" s="9">
        <f t="shared" si="190"/>
        <v>825</v>
      </c>
      <c r="AA168" s="10">
        <f t="shared" si="191"/>
        <v>1.03125</v>
      </c>
      <c r="AB168" s="11"/>
      <c r="AD168" s="71"/>
      <c r="AE168" s="33">
        <v>12793</v>
      </c>
      <c r="AF168" s="9">
        <f t="shared" si="192"/>
        <v>26</v>
      </c>
      <c r="AG168" s="9">
        <v>797</v>
      </c>
      <c r="AH168" s="9">
        <f t="shared" si="193"/>
        <v>2</v>
      </c>
      <c r="AI168" s="9">
        <v>4</v>
      </c>
      <c r="AJ168" s="9">
        <f t="shared" si="215"/>
        <v>2</v>
      </c>
      <c r="AK168" s="13">
        <v>0</v>
      </c>
      <c r="AL168" s="113" t="str">
        <f t="shared" si="210"/>
        <v>ジャグラーボタン</v>
      </c>
      <c r="AM168" s="34">
        <f t="shared" si="195"/>
        <v>748</v>
      </c>
      <c r="AN168" s="9">
        <f t="shared" si="196"/>
        <v>1496</v>
      </c>
      <c r="AO168" s="10">
        <f t="shared" si="197"/>
        <v>0.57538461538461538</v>
      </c>
      <c r="AP168" s="11"/>
      <c r="AR168" s="71"/>
      <c r="AS168" s="33">
        <v>10931</v>
      </c>
      <c r="AT168" s="9">
        <f t="shared" si="198"/>
        <v>15</v>
      </c>
      <c r="AU168" s="9">
        <v>548</v>
      </c>
      <c r="AV168" s="9">
        <f t="shared" si="199"/>
        <v>0</v>
      </c>
      <c r="AW168" s="9">
        <v>7</v>
      </c>
      <c r="AX168" s="9">
        <f t="shared" si="216"/>
        <v>0</v>
      </c>
      <c r="AY168" s="13">
        <v>0</v>
      </c>
      <c r="AZ168" s="113" t="str">
        <f t="shared" si="205"/>
        <v>豹柄キーケース</v>
      </c>
      <c r="BA168" s="34">
        <f t="shared" si="201"/>
        <v>358</v>
      </c>
      <c r="BB168" s="9">
        <f t="shared" si="202"/>
        <v>0</v>
      </c>
      <c r="BC168" s="10">
        <f t="shared" si="203"/>
        <v>0</v>
      </c>
      <c r="BD168" s="11"/>
      <c r="BF168" s="97"/>
      <c r="BG168" s="9"/>
      <c r="BH168" s="9" t="str">
        <f>IF(BG168="","",BG168-BG166)</f>
        <v/>
      </c>
      <c r="BI168" s="9"/>
      <c r="BJ168" s="9" t="str">
        <f>IF(BI168="","",BI168-BI166)</f>
        <v/>
      </c>
      <c r="BK168" s="9"/>
      <c r="BL168" s="9" t="str">
        <f>IF(BK168="","",BK166+BM166-BK168)</f>
        <v/>
      </c>
      <c r="BM168" s="9"/>
      <c r="BN168" s="126" t="str">
        <f t="shared" si="171"/>
        <v/>
      </c>
      <c r="BO168" s="33" t="str">
        <f>IF(BG168="","",BO166)</f>
        <v/>
      </c>
      <c r="BP168" s="9" t="str">
        <f t="shared" si="211"/>
        <v/>
      </c>
      <c r="BQ168" s="10" t="str">
        <f t="shared" si="212"/>
        <v/>
      </c>
      <c r="BR168" s="11"/>
    </row>
    <row r="169" spans="1:70" ht="15" customHeight="1" x14ac:dyDescent="0.2">
      <c r="A169" s="71"/>
      <c r="B169" s="64"/>
      <c r="C169" s="38">
        <v>18237</v>
      </c>
      <c r="D169" s="9">
        <f t="shared" si="208"/>
        <v>28</v>
      </c>
      <c r="E169" s="9">
        <v>625</v>
      </c>
      <c r="F169" s="9">
        <f t="shared" si="209"/>
        <v>0</v>
      </c>
      <c r="G169" s="9">
        <v>7</v>
      </c>
      <c r="H169" s="9">
        <f t="shared" si="213"/>
        <v>0</v>
      </c>
      <c r="I169" s="13">
        <v>0</v>
      </c>
      <c r="J169" s="113" t="str">
        <f t="shared" si="207"/>
        <v>サンリオヘアバンド</v>
      </c>
      <c r="K169" s="34">
        <f t="shared" si="182"/>
        <v>638</v>
      </c>
      <c r="L169" s="9">
        <f t="shared" si="183"/>
        <v>0</v>
      </c>
      <c r="M169" s="10">
        <f t="shared" si="184"/>
        <v>0</v>
      </c>
      <c r="N169" s="11"/>
      <c r="P169" s="71"/>
      <c r="Q169" s="38">
        <v>15231</v>
      </c>
      <c r="R169" s="9">
        <f t="shared" si="185"/>
        <v>53</v>
      </c>
      <c r="S169" s="9">
        <v>966</v>
      </c>
      <c r="T169" s="9">
        <f t="shared" si="186"/>
        <v>2</v>
      </c>
      <c r="U169" s="9">
        <v>17</v>
      </c>
      <c r="V169" s="9">
        <f t="shared" si="214"/>
        <v>2</v>
      </c>
      <c r="W169" s="13"/>
      <c r="X169" s="113" t="str">
        <f t="shared" si="188"/>
        <v>ボンボンドロップシール</v>
      </c>
      <c r="Y169" s="34">
        <f t="shared" si="189"/>
        <v>200</v>
      </c>
      <c r="Z169" s="9">
        <f t="shared" si="190"/>
        <v>400</v>
      </c>
      <c r="AA169" s="10">
        <f t="shared" si="191"/>
        <v>7.5471698113207544E-2</v>
      </c>
      <c r="AB169" s="11"/>
      <c r="AD169" s="71"/>
      <c r="AE169" s="38">
        <v>15090</v>
      </c>
      <c r="AF169" s="77">
        <f t="shared" si="192"/>
        <v>16</v>
      </c>
      <c r="AG169" s="9">
        <v>2404</v>
      </c>
      <c r="AH169" s="9">
        <f t="shared" si="193"/>
        <v>1</v>
      </c>
      <c r="AI169" s="9">
        <v>8</v>
      </c>
      <c r="AJ169" s="9">
        <f t="shared" si="215"/>
        <v>1</v>
      </c>
      <c r="AK169" s="13">
        <v>1</v>
      </c>
      <c r="AL169" s="113" t="str">
        <f t="shared" si="210"/>
        <v>サンリオスカーフ付きリュック</v>
      </c>
      <c r="AM169" s="34">
        <f t="shared" si="195"/>
        <v>600</v>
      </c>
      <c r="AN169" s="9">
        <f t="shared" si="196"/>
        <v>600</v>
      </c>
      <c r="AO169" s="10">
        <f t="shared" si="197"/>
        <v>0.375</v>
      </c>
      <c r="AP169" s="11"/>
      <c r="AR169" s="71"/>
      <c r="AS169" s="38">
        <v>13093</v>
      </c>
      <c r="AT169" s="77">
        <f t="shared" si="198"/>
        <v>9</v>
      </c>
      <c r="AU169" s="9">
        <v>770</v>
      </c>
      <c r="AV169" s="9">
        <f t="shared" si="199"/>
        <v>0</v>
      </c>
      <c r="AW169" s="9">
        <v>7</v>
      </c>
      <c r="AX169" s="9">
        <f t="shared" si="216"/>
        <v>0</v>
      </c>
      <c r="AY169" s="13">
        <v>0</v>
      </c>
      <c r="AZ169" s="113" t="str">
        <f t="shared" si="205"/>
        <v>たまごっちマスコット</v>
      </c>
      <c r="BA169" s="34">
        <f t="shared" si="201"/>
        <v>1500</v>
      </c>
      <c r="BB169" s="9">
        <f t="shared" si="202"/>
        <v>0</v>
      </c>
      <c r="BC169" s="10">
        <f t="shared" si="203"/>
        <v>0</v>
      </c>
      <c r="BD169" s="11"/>
      <c r="BF169" s="97" t="str">
        <f>IF($A169="","",$A169)</f>
        <v/>
      </c>
      <c r="BG169" s="9"/>
      <c r="BH169" s="9" t="str">
        <f>IF(BG169="","",BG169-#REF!)</f>
        <v/>
      </c>
      <c r="BI169" s="9"/>
      <c r="BJ169" s="9" t="str">
        <f>IF(BI169="","",BI169-#REF!)</f>
        <v/>
      </c>
      <c r="BK169" s="9"/>
      <c r="BL169" s="9" t="str">
        <f>IF(BK169="","",#REF!+#REF!-BK169)</f>
        <v/>
      </c>
      <c r="BM169" s="9"/>
      <c r="BN169" s="126" t="str">
        <f t="shared" si="171"/>
        <v/>
      </c>
      <c r="BO169" s="33" t="str">
        <f>IF(BG169="","",#REF!)</f>
        <v/>
      </c>
      <c r="BP169" s="9" t="str">
        <f t="shared" si="211"/>
        <v/>
      </c>
      <c r="BQ169" s="10" t="str">
        <f t="shared" si="212"/>
        <v/>
      </c>
      <c r="BR169" s="11"/>
    </row>
    <row r="170" spans="1:70" ht="15" customHeight="1" thickBot="1" x14ac:dyDescent="0.25">
      <c r="A170" s="75"/>
      <c r="B170" s="67"/>
      <c r="C170" s="36">
        <v>13162</v>
      </c>
      <c r="D170" s="37">
        <f t="shared" si="208"/>
        <v>100</v>
      </c>
      <c r="E170" s="17">
        <v>1238</v>
      </c>
      <c r="F170" s="17">
        <f t="shared" si="209"/>
        <v>2</v>
      </c>
      <c r="G170" s="17">
        <v>6</v>
      </c>
      <c r="H170" s="17">
        <f t="shared" si="213"/>
        <v>2</v>
      </c>
      <c r="I170" s="29">
        <v>3</v>
      </c>
      <c r="J170" s="114" t="str">
        <f t="shared" si="207"/>
        <v>バタースクイーズ</v>
      </c>
      <c r="K170" s="37">
        <f t="shared" si="182"/>
        <v>1100</v>
      </c>
      <c r="L170" s="17">
        <f t="shared" si="183"/>
        <v>2200</v>
      </c>
      <c r="M170" s="18">
        <f t="shared" si="184"/>
        <v>0.22</v>
      </c>
      <c r="N170" s="11"/>
      <c r="P170" s="75"/>
      <c r="Q170" s="36">
        <v>12762</v>
      </c>
      <c r="R170" s="83">
        <f t="shared" si="185"/>
        <v>8</v>
      </c>
      <c r="S170" s="17">
        <v>1078</v>
      </c>
      <c r="T170" s="17">
        <f t="shared" si="186"/>
        <v>0</v>
      </c>
      <c r="U170" s="17">
        <v>5</v>
      </c>
      <c r="V170" s="17">
        <f t="shared" si="214"/>
        <v>0</v>
      </c>
      <c r="W170" s="29">
        <v>0</v>
      </c>
      <c r="X170" s="114" t="str">
        <f t="shared" si="188"/>
        <v>ゲームアーク</v>
      </c>
      <c r="Y170" s="37">
        <f t="shared" si="189"/>
        <v>648</v>
      </c>
      <c r="Z170" s="17">
        <f t="shared" si="190"/>
        <v>0</v>
      </c>
      <c r="AA170" s="18">
        <f t="shared" si="191"/>
        <v>0</v>
      </c>
      <c r="AB170" s="11"/>
      <c r="AD170" s="75"/>
      <c r="AE170" s="36">
        <v>15344</v>
      </c>
      <c r="AF170" s="37">
        <f t="shared" si="192"/>
        <v>42</v>
      </c>
      <c r="AG170" s="17">
        <v>1552</v>
      </c>
      <c r="AH170" s="17">
        <f t="shared" si="193"/>
        <v>2</v>
      </c>
      <c r="AI170" s="17">
        <v>15</v>
      </c>
      <c r="AJ170" s="17">
        <f t="shared" si="215"/>
        <v>1</v>
      </c>
      <c r="AK170" s="29">
        <v>2</v>
      </c>
      <c r="AL170" s="114" t="str">
        <f t="shared" si="210"/>
        <v>しばこ</v>
      </c>
      <c r="AM170" s="37">
        <f t="shared" si="195"/>
        <v>350</v>
      </c>
      <c r="AN170" s="17">
        <f t="shared" si="196"/>
        <v>350</v>
      </c>
      <c r="AO170" s="18">
        <f t="shared" si="197"/>
        <v>8.3333333333333329E-2</v>
      </c>
      <c r="AP170" s="11"/>
      <c r="AR170" s="75"/>
      <c r="AS170" s="36">
        <v>10994</v>
      </c>
      <c r="AT170" s="83">
        <f t="shared" si="198"/>
        <v>5</v>
      </c>
      <c r="AU170" s="17">
        <v>810</v>
      </c>
      <c r="AV170" s="17">
        <f t="shared" si="199"/>
        <v>0</v>
      </c>
      <c r="AW170" s="17">
        <v>9</v>
      </c>
      <c r="AX170" s="17">
        <f t="shared" si="216"/>
        <v>0</v>
      </c>
      <c r="AY170" s="29">
        <v>0</v>
      </c>
      <c r="AZ170" s="114" t="str">
        <f t="shared" si="205"/>
        <v>シールバインダー</v>
      </c>
      <c r="BA170" s="37">
        <f t="shared" si="201"/>
        <v>330</v>
      </c>
      <c r="BB170" s="17">
        <f t="shared" si="202"/>
        <v>0</v>
      </c>
      <c r="BC170" s="18">
        <f t="shared" si="203"/>
        <v>0</v>
      </c>
      <c r="BD170" s="11"/>
      <c r="BF170" s="97" t="str">
        <f>IF($A170="","",$A170)</f>
        <v/>
      </c>
      <c r="BG170" s="9"/>
      <c r="BH170" s="9" t="str">
        <f>IF(BG170="","",BG170-BG169)</f>
        <v/>
      </c>
      <c r="BI170" s="9"/>
      <c r="BJ170" s="9" t="str">
        <f>IF(BI170="","",BI170-BI169)</f>
        <v/>
      </c>
      <c r="BK170" s="9"/>
      <c r="BL170" s="9" t="str">
        <f>IF(BK170="","",BK169+BM169-BK170)</f>
        <v/>
      </c>
      <c r="BM170" s="9"/>
      <c r="BN170" s="126" t="str">
        <f t="shared" si="171"/>
        <v/>
      </c>
      <c r="BO170" s="33" t="str">
        <f>IF(BG170="","",BO169)</f>
        <v/>
      </c>
      <c r="BP170" s="9" t="str">
        <f t="shared" si="211"/>
        <v/>
      </c>
      <c r="BQ170" s="10" t="str">
        <f t="shared" si="212"/>
        <v/>
      </c>
      <c r="BR170" s="11"/>
    </row>
    <row r="171" spans="1:70" ht="15" customHeight="1" thickTop="1" x14ac:dyDescent="0.2">
      <c r="A171" s="71">
        <v>46115</v>
      </c>
      <c r="B171" s="61">
        <f>SUM(D171:D174)+SUM(R171:R174)+SUM(AF171:AF174)+SUM(AT171:AT174)+SUM(BH156)</f>
        <v>1002</v>
      </c>
      <c r="C171" s="33">
        <v>15603</v>
      </c>
      <c r="D171" s="94">
        <f t="shared" si="208"/>
        <v>20</v>
      </c>
      <c r="E171" s="33">
        <v>1118</v>
      </c>
      <c r="F171" s="20">
        <f t="shared" si="209"/>
        <v>1</v>
      </c>
      <c r="G171" s="33">
        <v>4</v>
      </c>
      <c r="H171" s="33">
        <f t="shared" si="213"/>
        <v>2</v>
      </c>
      <c r="I171" s="43">
        <v>2</v>
      </c>
      <c r="J171" s="110" t="s">
        <v>188</v>
      </c>
      <c r="K171" s="34">
        <f t="shared" ref="K171:K206" si="217">IF(D171="","",K167)</f>
        <v>660</v>
      </c>
      <c r="L171" s="20">
        <f t="shared" ref="L171:L206" si="218">IF(G171="","",H171*K171)</f>
        <v>1320</v>
      </c>
      <c r="M171" s="21">
        <f t="shared" ref="M171:M206" si="219">IF(H171="","",L171/(D171*100))</f>
        <v>0.66</v>
      </c>
      <c r="N171" s="11"/>
      <c r="P171" s="76">
        <f>IF($A171="","",$A171)</f>
        <v>46115</v>
      </c>
      <c r="Q171" s="33">
        <v>15310</v>
      </c>
      <c r="R171" s="33">
        <f t="shared" si="185"/>
        <v>47</v>
      </c>
      <c r="S171" s="33">
        <v>1443</v>
      </c>
      <c r="T171" s="20">
        <f t="shared" si="186"/>
        <v>0</v>
      </c>
      <c r="U171" s="33">
        <v>5</v>
      </c>
      <c r="V171" s="33">
        <f t="shared" si="214"/>
        <v>1</v>
      </c>
      <c r="W171" s="43">
        <v>0</v>
      </c>
      <c r="X171" s="112" t="str">
        <f t="shared" si="188"/>
        <v>キティボアバンスクリップ</v>
      </c>
      <c r="Y171" s="34">
        <f t="shared" si="189"/>
        <v>1100</v>
      </c>
      <c r="Z171" s="20">
        <f t="shared" si="190"/>
        <v>1100</v>
      </c>
      <c r="AA171" s="21">
        <f t="shared" si="191"/>
        <v>0.23404255319148937</v>
      </c>
      <c r="AB171" s="11"/>
      <c r="AD171" s="76">
        <f>IF($A171="","",$A171)</f>
        <v>46115</v>
      </c>
      <c r="AE171" s="33">
        <v>12467</v>
      </c>
      <c r="AF171" s="129">
        <f t="shared" si="192"/>
        <v>18</v>
      </c>
      <c r="AG171" s="33">
        <v>911</v>
      </c>
      <c r="AH171" s="20">
        <f t="shared" si="193"/>
        <v>0</v>
      </c>
      <c r="AI171" s="33">
        <v>7</v>
      </c>
      <c r="AJ171" s="33">
        <f t="shared" si="215"/>
        <v>0</v>
      </c>
      <c r="AK171" s="43">
        <v>0</v>
      </c>
      <c r="AL171" s="112" t="str">
        <f t="shared" si="210"/>
        <v>ポケモンシリコンポーチ</v>
      </c>
      <c r="AM171" s="34">
        <f t="shared" si="195"/>
        <v>600</v>
      </c>
      <c r="AN171" s="20">
        <f t="shared" si="196"/>
        <v>0</v>
      </c>
      <c r="AO171" s="21">
        <f t="shared" si="197"/>
        <v>0</v>
      </c>
      <c r="AP171" s="131" t="s">
        <v>189</v>
      </c>
      <c r="AR171" s="76">
        <f>IF($A171="","",$A171)</f>
        <v>46115</v>
      </c>
      <c r="AS171" s="33">
        <v>9605</v>
      </c>
      <c r="AT171" s="33">
        <f t="shared" si="198"/>
        <v>49</v>
      </c>
      <c r="AU171" s="33">
        <v>530</v>
      </c>
      <c r="AV171" s="20">
        <f t="shared" si="199"/>
        <v>0</v>
      </c>
      <c r="AW171" s="33">
        <v>3</v>
      </c>
      <c r="AX171" s="33">
        <f t="shared" si="216"/>
        <v>0</v>
      </c>
      <c r="AY171" s="43">
        <v>0</v>
      </c>
      <c r="AZ171" s="112" t="str">
        <f t="shared" si="205"/>
        <v>液晶ミニカメラ</v>
      </c>
      <c r="BA171" s="34">
        <f t="shared" si="201"/>
        <v>825</v>
      </c>
      <c r="BB171" s="20">
        <f t="shared" si="202"/>
        <v>0</v>
      </c>
      <c r="BC171" s="21">
        <f t="shared" si="203"/>
        <v>0</v>
      </c>
      <c r="BD171" s="11"/>
      <c r="BF171" s="97"/>
      <c r="BG171" s="9"/>
      <c r="BH171" s="9" t="str">
        <f>IF(BG171="","",BG171-BG170)</f>
        <v/>
      </c>
      <c r="BI171" s="9"/>
      <c r="BJ171" s="9" t="str">
        <f>IF(BI171="","",BI171-BI170)</f>
        <v/>
      </c>
      <c r="BK171" s="9"/>
      <c r="BL171" s="9" t="str">
        <f>IF(BK171="","",BK170+BM170-BK171)</f>
        <v/>
      </c>
      <c r="BM171" s="9"/>
      <c r="BN171" s="126" t="str">
        <f t="shared" si="171"/>
        <v/>
      </c>
      <c r="BO171" s="33" t="str">
        <f>IF(BG171="","",BO170)</f>
        <v/>
      </c>
      <c r="BP171" s="9" t="str">
        <f t="shared" si="211"/>
        <v/>
      </c>
      <c r="BQ171" s="10" t="str">
        <f t="shared" si="212"/>
        <v/>
      </c>
      <c r="BR171" s="11"/>
    </row>
    <row r="172" spans="1:70" ht="15" customHeight="1" x14ac:dyDescent="0.2">
      <c r="A172" s="72"/>
      <c r="B172" s="8"/>
      <c r="C172" s="9">
        <v>19483</v>
      </c>
      <c r="D172" s="9">
        <f t="shared" si="208"/>
        <v>39</v>
      </c>
      <c r="E172" s="9">
        <v>636</v>
      </c>
      <c r="F172" s="9">
        <f t="shared" si="209"/>
        <v>1</v>
      </c>
      <c r="G172" s="9">
        <v>29</v>
      </c>
      <c r="H172" s="9">
        <f t="shared" si="213"/>
        <v>1</v>
      </c>
      <c r="I172" s="13">
        <v>5</v>
      </c>
      <c r="J172" s="113" t="str">
        <f t="shared" ref="J172:J174" si="220">IF(C172="","",J168)</f>
        <v>電ブル</v>
      </c>
      <c r="K172" s="34">
        <f t="shared" si="217"/>
        <v>275</v>
      </c>
      <c r="L172" s="9">
        <f t="shared" si="218"/>
        <v>275</v>
      </c>
      <c r="M172" s="10">
        <f t="shared" si="219"/>
        <v>7.0512820512820512E-2</v>
      </c>
      <c r="N172" s="11"/>
      <c r="P172" s="72"/>
      <c r="Q172" s="9">
        <v>14758</v>
      </c>
      <c r="R172" s="9">
        <f t="shared" si="185"/>
        <v>45</v>
      </c>
      <c r="S172" s="9">
        <v>502</v>
      </c>
      <c r="T172" s="9">
        <f t="shared" si="186"/>
        <v>1</v>
      </c>
      <c r="U172" s="9">
        <v>4</v>
      </c>
      <c r="V172" s="9">
        <f t="shared" si="214"/>
        <v>1</v>
      </c>
      <c r="W172" s="13">
        <v>3</v>
      </c>
      <c r="X172" s="113" t="str">
        <f t="shared" si="188"/>
        <v>サンリオフェイスポーチ</v>
      </c>
      <c r="Y172" s="34">
        <f t="shared" si="189"/>
        <v>825</v>
      </c>
      <c r="Z172" s="9">
        <f t="shared" si="190"/>
        <v>825</v>
      </c>
      <c r="AA172" s="10">
        <f t="shared" si="191"/>
        <v>0.18333333333333332</v>
      </c>
      <c r="AB172" s="11"/>
      <c r="AD172" s="72"/>
      <c r="AE172" s="9">
        <v>12841</v>
      </c>
      <c r="AF172" s="9">
        <f t="shared" si="192"/>
        <v>48</v>
      </c>
      <c r="AG172" s="9">
        <v>798</v>
      </c>
      <c r="AH172" s="9">
        <f t="shared" si="193"/>
        <v>1</v>
      </c>
      <c r="AI172" s="9">
        <v>3</v>
      </c>
      <c r="AJ172" s="9">
        <f t="shared" si="215"/>
        <v>1</v>
      </c>
      <c r="AK172" s="13">
        <v>0</v>
      </c>
      <c r="AL172" s="113" t="str">
        <f t="shared" si="210"/>
        <v>ジャグラーボタン</v>
      </c>
      <c r="AM172" s="34">
        <f t="shared" si="195"/>
        <v>748</v>
      </c>
      <c r="AN172" s="9">
        <f t="shared" si="196"/>
        <v>748</v>
      </c>
      <c r="AO172" s="10">
        <f t="shared" si="197"/>
        <v>0.15583333333333332</v>
      </c>
      <c r="AP172" s="11"/>
      <c r="AR172" s="72"/>
      <c r="AS172" s="9">
        <v>10959</v>
      </c>
      <c r="AT172" s="9">
        <f t="shared" si="198"/>
        <v>28</v>
      </c>
      <c r="AU172" s="9">
        <v>548</v>
      </c>
      <c r="AV172" s="9">
        <f t="shared" si="199"/>
        <v>0</v>
      </c>
      <c r="AW172" s="9">
        <v>7</v>
      </c>
      <c r="AX172" s="9">
        <f t="shared" si="216"/>
        <v>0</v>
      </c>
      <c r="AY172" s="13">
        <v>0</v>
      </c>
      <c r="AZ172" s="113" t="str">
        <f t="shared" si="205"/>
        <v>豹柄キーケース</v>
      </c>
      <c r="BA172" s="34">
        <f t="shared" si="201"/>
        <v>358</v>
      </c>
      <c r="BB172" s="9">
        <f t="shared" si="202"/>
        <v>0</v>
      </c>
      <c r="BC172" s="10">
        <f t="shared" si="203"/>
        <v>0</v>
      </c>
      <c r="BD172" s="11"/>
      <c r="BF172" s="7"/>
      <c r="BG172" s="34"/>
      <c r="BH172" s="9" t="str">
        <f>IF(BG172="","",BG172-BG171)</f>
        <v/>
      </c>
      <c r="BI172" s="9"/>
      <c r="BJ172" s="9" t="str">
        <f>IF(BI172="","",BI172-BI171)</f>
        <v/>
      </c>
      <c r="BK172" s="9"/>
      <c r="BL172" s="9" t="str">
        <f>IF(BK172="","",BK171+BM171-BK172)</f>
        <v/>
      </c>
      <c r="BM172" s="9"/>
      <c r="BN172" s="126" t="str">
        <f t="shared" si="171"/>
        <v/>
      </c>
      <c r="BO172" s="9"/>
      <c r="BP172" s="9" t="str">
        <f t="shared" si="211"/>
        <v/>
      </c>
      <c r="BQ172" s="10" t="str">
        <f t="shared" si="212"/>
        <v/>
      </c>
      <c r="BR172" s="11"/>
    </row>
    <row r="173" spans="1:70" ht="15" customHeight="1" x14ac:dyDescent="0.2">
      <c r="A173" s="72"/>
      <c r="B173" s="66"/>
      <c r="C173" s="23">
        <v>18298</v>
      </c>
      <c r="D173" s="9">
        <f t="shared" si="208"/>
        <v>61</v>
      </c>
      <c r="E173" s="9">
        <v>626</v>
      </c>
      <c r="F173" s="9">
        <f t="shared" si="209"/>
        <v>1</v>
      </c>
      <c r="G173" s="23">
        <v>6</v>
      </c>
      <c r="H173" s="9">
        <f t="shared" si="213"/>
        <v>1</v>
      </c>
      <c r="I173" s="30">
        <v>2</v>
      </c>
      <c r="J173" s="113" t="str">
        <f t="shared" si="220"/>
        <v>サンリオヘアバンド</v>
      </c>
      <c r="K173" s="34">
        <f t="shared" si="217"/>
        <v>638</v>
      </c>
      <c r="L173" s="9">
        <f t="shared" si="218"/>
        <v>638</v>
      </c>
      <c r="M173" s="10">
        <f t="shared" si="219"/>
        <v>0.10459016393442623</v>
      </c>
      <c r="N173" s="11"/>
      <c r="P173" s="72"/>
      <c r="Q173" s="23">
        <v>15284</v>
      </c>
      <c r="R173" s="9">
        <f t="shared" si="185"/>
        <v>53</v>
      </c>
      <c r="S173" s="9">
        <v>969</v>
      </c>
      <c r="T173" s="9">
        <f t="shared" si="186"/>
        <v>3</v>
      </c>
      <c r="U173" s="23">
        <v>16</v>
      </c>
      <c r="V173" s="9">
        <f t="shared" si="214"/>
        <v>1</v>
      </c>
      <c r="W173" s="30">
        <v>5</v>
      </c>
      <c r="X173" s="113" t="str">
        <f t="shared" si="188"/>
        <v>ボンボンドロップシール</v>
      </c>
      <c r="Y173" s="34">
        <f t="shared" si="189"/>
        <v>200</v>
      </c>
      <c r="Z173" s="9">
        <f t="shared" si="190"/>
        <v>200</v>
      </c>
      <c r="AA173" s="10">
        <f t="shared" si="191"/>
        <v>3.7735849056603772E-2</v>
      </c>
      <c r="AB173" s="11"/>
      <c r="AD173" s="72"/>
      <c r="AE173" s="23">
        <v>15104</v>
      </c>
      <c r="AF173" s="77">
        <f t="shared" si="192"/>
        <v>14</v>
      </c>
      <c r="AG173" s="9">
        <v>2407</v>
      </c>
      <c r="AH173" s="9">
        <f t="shared" si="193"/>
        <v>3</v>
      </c>
      <c r="AI173" s="23">
        <v>6</v>
      </c>
      <c r="AJ173" s="9">
        <f t="shared" si="215"/>
        <v>3</v>
      </c>
      <c r="AK173" s="30">
        <v>4</v>
      </c>
      <c r="AL173" s="113" t="str">
        <f t="shared" si="210"/>
        <v>サンリオスカーフ付きリュック</v>
      </c>
      <c r="AM173" s="34">
        <f t="shared" si="195"/>
        <v>600</v>
      </c>
      <c r="AN173" s="9">
        <f t="shared" si="196"/>
        <v>1800</v>
      </c>
      <c r="AO173" s="10">
        <f t="shared" si="197"/>
        <v>1.2857142857142858</v>
      </c>
      <c r="AP173" s="11" t="s">
        <v>191</v>
      </c>
      <c r="AR173" s="72"/>
      <c r="AS173" s="23">
        <v>13103</v>
      </c>
      <c r="AT173" s="77">
        <f t="shared" si="198"/>
        <v>10</v>
      </c>
      <c r="AU173" s="9">
        <v>770</v>
      </c>
      <c r="AV173" s="9">
        <f t="shared" si="199"/>
        <v>0</v>
      </c>
      <c r="AW173" s="23">
        <v>7</v>
      </c>
      <c r="AX173" s="9">
        <f t="shared" si="216"/>
        <v>0</v>
      </c>
      <c r="AY173" s="30">
        <v>28</v>
      </c>
      <c r="AZ173" s="113" t="str">
        <f t="shared" si="205"/>
        <v>たまごっちマスコット</v>
      </c>
      <c r="BA173" s="34">
        <f t="shared" si="201"/>
        <v>1500</v>
      </c>
      <c r="BB173" s="9">
        <f t="shared" si="202"/>
        <v>0</v>
      </c>
      <c r="BC173" s="10">
        <f t="shared" si="203"/>
        <v>0</v>
      </c>
      <c r="BD173" s="11" t="s">
        <v>187</v>
      </c>
      <c r="BF173" s="7"/>
      <c r="BG173" s="34"/>
      <c r="BH173" s="9" t="str">
        <f>IF(BG173="","",BG173-BG172)</f>
        <v/>
      </c>
      <c r="BI173" s="9"/>
      <c r="BJ173" s="9" t="str">
        <f>IF(BI173="","",BI173-BI172)</f>
        <v/>
      </c>
      <c r="BK173" s="9"/>
      <c r="BL173" s="9" t="str">
        <f>IF(BK173="","",BK172+BM172-BK173)</f>
        <v/>
      </c>
      <c r="BM173" s="9"/>
      <c r="BN173" s="126" t="str">
        <f t="shared" si="171"/>
        <v/>
      </c>
      <c r="BO173" s="9"/>
      <c r="BP173" s="9" t="str">
        <f t="shared" si="211"/>
        <v/>
      </c>
      <c r="BQ173" s="10" t="str">
        <f t="shared" si="212"/>
        <v/>
      </c>
      <c r="BR173" s="11"/>
    </row>
    <row r="174" spans="1:70" ht="15" customHeight="1" thickBot="1" x14ac:dyDescent="0.25">
      <c r="A174" s="75"/>
      <c r="B174" s="67"/>
      <c r="C174" s="17">
        <v>13270</v>
      </c>
      <c r="D174" s="37">
        <f t="shared" si="208"/>
        <v>108</v>
      </c>
      <c r="E174" s="17">
        <v>1241</v>
      </c>
      <c r="F174" s="17">
        <f t="shared" si="209"/>
        <v>3</v>
      </c>
      <c r="G174" s="17">
        <v>6</v>
      </c>
      <c r="H174" s="17">
        <f t="shared" si="213"/>
        <v>3</v>
      </c>
      <c r="I174" s="29">
        <v>5</v>
      </c>
      <c r="J174" s="114" t="str">
        <f t="shared" si="220"/>
        <v>バタースクイーズ</v>
      </c>
      <c r="K174" s="37">
        <f t="shared" si="217"/>
        <v>1100</v>
      </c>
      <c r="L174" s="17">
        <f t="shared" si="218"/>
        <v>3300</v>
      </c>
      <c r="M174" s="18">
        <f t="shared" si="219"/>
        <v>0.30555555555555558</v>
      </c>
      <c r="N174" s="11"/>
      <c r="P174" s="75"/>
      <c r="Q174" s="17">
        <v>12793</v>
      </c>
      <c r="R174" s="83">
        <f t="shared" si="185"/>
        <v>31</v>
      </c>
      <c r="S174" s="17">
        <v>1078</v>
      </c>
      <c r="T174" s="17">
        <f t="shared" si="186"/>
        <v>0</v>
      </c>
      <c r="U174" s="17">
        <v>5</v>
      </c>
      <c r="V174" s="17">
        <f t="shared" si="214"/>
        <v>0</v>
      </c>
      <c r="W174" s="29">
        <v>0</v>
      </c>
      <c r="X174" s="114" t="str">
        <f t="shared" si="188"/>
        <v>ゲームアーク</v>
      </c>
      <c r="Y174" s="37">
        <f t="shared" si="189"/>
        <v>648</v>
      </c>
      <c r="Z174" s="17">
        <f t="shared" si="190"/>
        <v>0</v>
      </c>
      <c r="AA174" s="18">
        <f t="shared" si="191"/>
        <v>0</v>
      </c>
      <c r="AB174" s="131" t="s">
        <v>190</v>
      </c>
      <c r="AD174" s="75"/>
      <c r="AE174" s="17">
        <v>15382</v>
      </c>
      <c r="AF174" s="37">
        <f t="shared" si="192"/>
        <v>38</v>
      </c>
      <c r="AG174" s="17">
        <v>1552</v>
      </c>
      <c r="AH174" s="17">
        <f t="shared" si="193"/>
        <v>0</v>
      </c>
      <c r="AI174" s="17">
        <v>17</v>
      </c>
      <c r="AJ174" s="17">
        <f t="shared" si="215"/>
        <v>0</v>
      </c>
      <c r="AK174" s="29">
        <v>0</v>
      </c>
      <c r="AL174" s="114" t="str">
        <f t="shared" si="210"/>
        <v>しばこ</v>
      </c>
      <c r="AM174" s="37">
        <f t="shared" si="195"/>
        <v>350</v>
      </c>
      <c r="AN174" s="17">
        <f t="shared" si="196"/>
        <v>0</v>
      </c>
      <c r="AO174" s="18">
        <f t="shared" si="197"/>
        <v>0</v>
      </c>
      <c r="AP174" s="11"/>
      <c r="AR174" s="75"/>
      <c r="AS174" s="17">
        <v>11005</v>
      </c>
      <c r="AT174" s="130">
        <f t="shared" si="198"/>
        <v>11</v>
      </c>
      <c r="AU174" s="17">
        <v>811</v>
      </c>
      <c r="AV174" s="17">
        <f t="shared" si="199"/>
        <v>1</v>
      </c>
      <c r="AW174" s="17">
        <v>8</v>
      </c>
      <c r="AX174" s="17">
        <f t="shared" si="216"/>
        <v>1</v>
      </c>
      <c r="AY174" s="29">
        <v>0</v>
      </c>
      <c r="AZ174" s="114" t="str">
        <f t="shared" si="205"/>
        <v>シールバインダー</v>
      </c>
      <c r="BA174" s="37">
        <f t="shared" si="201"/>
        <v>330</v>
      </c>
      <c r="BB174" s="17">
        <f t="shared" si="202"/>
        <v>330</v>
      </c>
      <c r="BC174" s="18">
        <f t="shared" si="203"/>
        <v>0.3</v>
      </c>
      <c r="BD174" s="131" t="s">
        <v>189</v>
      </c>
      <c r="BF174" s="7"/>
      <c r="BG174" s="34"/>
      <c r="BH174" s="9" t="str">
        <f>IF(BG174="","",BG174-BG173)</f>
        <v/>
      </c>
      <c r="BI174" s="9"/>
      <c r="BJ174" s="9"/>
      <c r="BK174" s="9"/>
      <c r="BL174" s="9" t="str">
        <f>IF(BK174="","",BK173+BM173-BK174)</f>
        <v/>
      </c>
      <c r="BM174" s="9"/>
      <c r="BN174" s="126" t="str">
        <f t="shared" si="171"/>
        <v/>
      </c>
      <c r="BO174" s="9"/>
      <c r="BP174" s="9" t="str">
        <f t="shared" si="211"/>
        <v/>
      </c>
      <c r="BQ174" s="10" t="str">
        <f t="shared" si="212"/>
        <v/>
      </c>
      <c r="BR174" s="11"/>
    </row>
    <row r="175" spans="1:70" ht="15" customHeight="1" thickTop="1" x14ac:dyDescent="0.2">
      <c r="A175" s="71">
        <v>46118</v>
      </c>
      <c r="B175" s="61">
        <f>SUM(D175:D178)+SUM(R175:R178)+SUM(AF175:AF178)+SUM(AT175:AT178)+SUM(BH157)</f>
        <v>803</v>
      </c>
      <c r="C175" s="33">
        <v>15620</v>
      </c>
      <c r="D175" s="94">
        <f t="shared" si="208"/>
        <v>17</v>
      </c>
      <c r="E175" s="33">
        <v>1118</v>
      </c>
      <c r="F175" s="20">
        <f t="shared" si="209"/>
        <v>0</v>
      </c>
      <c r="G175" s="33">
        <v>5</v>
      </c>
      <c r="H175" s="33">
        <f t="shared" si="213"/>
        <v>1</v>
      </c>
      <c r="I175" s="43">
        <v>4</v>
      </c>
      <c r="J175" s="112" t="str">
        <f t="shared" ref="J175:J186" si="221">IF(C175="","",J171)</f>
        <v>キティバンスクリップビッグ</v>
      </c>
      <c r="K175" s="40">
        <f t="shared" ref="K175:K186" si="222">IF(D175="","",K171)</f>
        <v>660</v>
      </c>
      <c r="L175" s="20">
        <f t="shared" ref="L175:L186" si="223">IF(G175="","",H175*K175)</f>
        <v>660</v>
      </c>
      <c r="M175" s="21">
        <f t="shared" ref="M175:M186" si="224">IF(H175="","",L175/(D175*100))</f>
        <v>0.38823529411764707</v>
      </c>
      <c r="N175" s="11" t="s">
        <v>196</v>
      </c>
      <c r="P175" s="76">
        <f>IF($A175="","",$A175)</f>
        <v>46118</v>
      </c>
      <c r="Q175" s="33">
        <v>15469</v>
      </c>
      <c r="R175" s="33">
        <f t="shared" si="185"/>
        <v>159</v>
      </c>
      <c r="S175" s="33">
        <v>1444</v>
      </c>
      <c r="T175" s="20">
        <f t="shared" si="186"/>
        <v>1</v>
      </c>
      <c r="U175" s="33">
        <v>4</v>
      </c>
      <c r="V175" s="33">
        <f t="shared" si="214"/>
        <v>1</v>
      </c>
      <c r="W175" s="43">
        <v>2</v>
      </c>
      <c r="X175" s="112" t="str">
        <f t="shared" si="188"/>
        <v>キティボアバンスクリップ</v>
      </c>
      <c r="Y175" s="40">
        <f t="shared" si="189"/>
        <v>1100</v>
      </c>
      <c r="Z175" s="20">
        <f t="shared" si="190"/>
        <v>1100</v>
      </c>
      <c r="AA175" s="21">
        <f t="shared" si="191"/>
        <v>6.9182389937106917E-2</v>
      </c>
      <c r="AB175" s="11"/>
      <c r="AD175" s="76">
        <f>IF($A175="","",$A175)</f>
        <v>46118</v>
      </c>
      <c r="AE175" s="33">
        <v>12490</v>
      </c>
      <c r="AF175" s="94">
        <f t="shared" si="192"/>
        <v>23</v>
      </c>
      <c r="AG175" s="33">
        <v>912</v>
      </c>
      <c r="AH175" s="20">
        <f t="shared" si="193"/>
        <v>1</v>
      </c>
      <c r="AI175" s="33">
        <v>6</v>
      </c>
      <c r="AJ175" s="33">
        <f t="shared" si="215"/>
        <v>1</v>
      </c>
      <c r="AK175" s="43">
        <v>8</v>
      </c>
      <c r="AL175" s="112" t="str">
        <f t="shared" si="210"/>
        <v>ポケモンシリコンポーチ</v>
      </c>
      <c r="AM175" s="40">
        <f t="shared" si="195"/>
        <v>600</v>
      </c>
      <c r="AN175" s="20">
        <f t="shared" si="196"/>
        <v>600</v>
      </c>
      <c r="AO175" s="21">
        <f t="shared" si="197"/>
        <v>0.2608695652173913</v>
      </c>
      <c r="AP175" s="11" t="s">
        <v>197</v>
      </c>
      <c r="AR175" s="76">
        <f>IF($A175="","",$A175)</f>
        <v>46118</v>
      </c>
      <c r="AS175" s="33">
        <v>9644</v>
      </c>
      <c r="AT175" s="33">
        <f t="shared" si="198"/>
        <v>39</v>
      </c>
      <c r="AU175" s="33">
        <v>531</v>
      </c>
      <c r="AV175" s="20">
        <f t="shared" si="199"/>
        <v>1</v>
      </c>
      <c r="AW175" s="33">
        <v>2</v>
      </c>
      <c r="AX175" s="33">
        <f t="shared" si="216"/>
        <v>1</v>
      </c>
      <c r="AY175" s="43"/>
      <c r="AZ175" s="112" t="str">
        <f t="shared" si="205"/>
        <v>液晶ミニカメラ</v>
      </c>
      <c r="BA175" s="40">
        <f t="shared" si="201"/>
        <v>825</v>
      </c>
      <c r="BB175" s="20">
        <f t="shared" si="202"/>
        <v>825</v>
      </c>
      <c r="BC175" s="21">
        <f t="shared" si="203"/>
        <v>0.21153846153846154</v>
      </c>
      <c r="BD175" s="11"/>
      <c r="BF175" s="7"/>
      <c r="BG175" s="9"/>
      <c r="BH175" s="9" t="str">
        <f>IF(BG175="","",BG175-BG176)</f>
        <v/>
      </c>
      <c r="BI175" s="9"/>
      <c r="BJ175" s="9" t="str">
        <f>IF(BI175="","",BI175-BI176)</f>
        <v/>
      </c>
      <c r="BK175" s="9"/>
      <c r="BL175" s="9" t="str">
        <f>IF(BK175="","",BK176+BM176-BK175)</f>
        <v/>
      </c>
      <c r="BM175" s="9"/>
      <c r="BN175" s="126" t="str">
        <f t="shared" si="171"/>
        <v/>
      </c>
      <c r="BO175" s="9"/>
      <c r="BP175" s="9" t="str">
        <f t="shared" si="211"/>
        <v/>
      </c>
      <c r="BQ175" s="10" t="str">
        <f t="shared" si="212"/>
        <v/>
      </c>
      <c r="BR175" s="11"/>
    </row>
    <row r="176" spans="1:70" ht="15" customHeight="1" x14ac:dyDescent="0.2">
      <c r="A176" s="71"/>
      <c r="B176" s="61"/>
      <c r="C176" s="33">
        <v>19534</v>
      </c>
      <c r="D176" s="9">
        <f t="shared" si="208"/>
        <v>51</v>
      </c>
      <c r="E176" s="9">
        <v>637</v>
      </c>
      <c r="F176" s="9">
        <f t="shared" si="209"/>
        <v>1</v>
      </c>
      <c r="G176" s="9">
        <v>33</v>
      </c>
      <c r="H176" s="9">
        <f t="shared" si="213"/>
        <v>1</v>
      </c>
      <c r="I176" s="13">
        <v>0</v>
      </c>
      <c r="J176" s="113" t="str">
        <f t="shared" si="221"/>
        <v>電ブル</v>
      </c>
      <c r="K176" s="34">
        <f t="shared" si="222"/>
        <v>275</v>
      </c>
      <c r="L176" s="9">
        <f t="shared" si="223"/>
        <v>275</v>
      </c>
      <c r="M176" s="10">
        <f t="shared" si="224"/>
        <v>5.3921568627450983E-2</v>
      </c>
      <c r="N176" s="11"/>
      <c r="P176" s="71"/>
      <c r="Q176" s="33">
        <v>14770</v>
      </c>
      <c r="R176" s="77">
        <f>IF(Q176="","",Q176-Q172)</f>
        <v>12</v>
      </c>
      <c r="S176" s="9">
        <v>502</v>
      </c>
      <c r="T176" s="9">
        <f t="shared" si="186"/>
        <v>0</v>
      </c>
      <c r="U176" s="9">
        <v>7</v>
      </c>
      <c r="V176" s="9">
        <f t="shared" si="214"/>
        <v>0</v>
      </c>
      <c r="W176" s="13">
        <v>0</v>
      </c>
      <c r="X176" s="113" t="str">
        <f t="shared" si="188"/>
        <v>サンリオフェイスポーチ</v>
      </c>
      <c r="Y176" s="34">
        <f t="shared" si="189"/>
        <v>825</v>
      </c>
      <c r="Z176" s="9">
        <f t="shared" si="190"/>
        <v>0</v>
      </c>
      <c r="AA176" s="10">
        <f t="shared" si="191"/>
        <v>0</v>
      </c>
      <c r="AB176" s="11"/>
      <c r="AD176" s="71"/>
      <c r="AE176" s="33">
        <v>12845</v>
      </c>
      <c r="AF176" s="77">
        <f t="shared" si="192"/>
        <v>4</v>
      </c>
      <c r="AG176" s="9">
        <v>798</v>
      </c>
      <c r="AH176" s="9">
        <f t="shared" si="193"/>
        <v>0</v>
      </c>
      <c r="AI176" s="9">
        <v>3</v>
      </c>
      <c r="AJ176" s="9">
        <f t="shared" si="215"/>
        <v>0</v>
      </c>
      <c r="AK176" s="13"/>
      <c r="AL176" s="113" t="str">
        <f t="shared" si="210"/>
        <v>ジャグラーボタン</v>
      </c>
      <c r="AM176" s="34">
        <f t="shared" si="195"/>
        <v>748</v>
      </c>
      <c r="AN176" s="9">
        <f t="shared" si="196"/>
        <v>0</v>
      </c>
      <c r="AO176" s="10">
        <f t="shared" si="197"/>
        <v>0</v>
      </c>
      <c r="AP176" s="11"/>
      <c r="AR176" s="71"/>
      <c r="AS176" s="33">
        <v>10997</v>
      </c>
      <c r="AT176" s="9">
        <f t="shared" si="198"/>
        <v>38</v>
      </c>
      <c r="AU176" s="9">
        <v>549</v>
      </c>
      <c r="AV176" s="9">
        <f t="shared" si="199"/>
        <v>1</v>
      </c>
      <c r="AW176" s="9">
        <v>6</v>
      </c>
      <c r="AX176" s="9">
        <f t="shared" si="216"/>
        <v>1</v>
      </c>
      <c r="AY176" s="13"/>
      <c r="AZ176" s="113" t="str">
        <f t="shared" si="205"/>
        <v>豹柄キーケース</v>
      </c>
      <c r="BA176" s="34">
        <f t="shared" si="201"/>
        <v>358</v>
      </c>
      <c r="BB176" s="9">
        <f t="shared" si="202"/>
        <v>358</v>
      </c>
      <c r="BC176" s="10">
        <f t="shared" si="203"/>
        <v>9.4210526315789467E-2</v>
      </c>
      <c r="BD176" s="11"/>
      <c r="BF176" s="7"/>
      <c r="BG176" s="9"/>
      <c r="BH176" s="9" t="str">
        <f>IF(BG176="","",BG176-BG174)</f>
        <v/>
      </c>
      <c r="BI176" s="9"/>
      <c r="BJ176" s="9" t="str">
        <f>IF(BI176="","",BI176-BI174)</f>
        <v/>
      </c>
      <c r="BK176" s="9"/>
      <c r="BL176" s="9" t="str">
        <f>IF(BK176="","",BK174+BM174-BK176)</f>
        <v/>
      </c>
      <c r="BM176" s="9"/>
      <c r="BN176" s="126" t="str">
        <f t="shared" si="171"/>
        <v/>
      </c>
      <c r="BO176" s="9"/>
      <c r="BP176" s="9" t="str">
        <f t="shared" si="211"/>
        <v/>
      </c>
      <c r="BQ176" s="10" t="str">
        <f t="shared" si="212"/>
        <v/>
      </c>
      <c r="BR176" s="11"/>
    </row>
    <row r="177" spans="1:70" ht="15" customHeight="1" x14ac:dyDescent="0.2">
      <c r="A177" s="72"/>
      <c r="B177" s="8"/>
      <c r="C177" s="38">
        <v>18310</v>
      </c>
      <c r="D177" s="77">
        <f t="shared" si="208"/>
        <v>12</v>
      </c>
      <c r="E177" s="9">
        <v>627</v>
      </c>
      <c r="F177" s="9">
        <f t="shared" si="209"/>
        <v>1</v>
      </c>
      <c r="G177" s="9">
        <v>7</v>
      </c>
      <c r="H177" s="9">
        <f t="shared" si="213"/>
        <v>1</v>
      </c>
      <c r="I177" s="13">
        <v>2</v>
      </c>
      <c r="J177" s="113" t="str">
        <f t="shared" si="221"/>
        <v>サンリオヘアバンド</v>
      </c>
      <c r="K177" s="9">
        <f t="shared" si="222"/>
        <v>638</v>
      </c>
      <c r="L177" s="9">
        <f t="shared" si="223"/>
        <v>638</v>
      </c>
      <c r="M177" s="10">
        <f t="shared" si="224"/>
        <v>0.53166666666666662</v>
      </c>
      <c r="N177" s="11"/>
      <c r="P177" s="72"/>
      <c r="Q177" s="38">
        <v>15305</v>
      </c>
      <c r="R177" s="77">
        <f t="shared" si="185"/>
        <v>21</v>
      </c>
      <c r="S177" s="9">
        <v>973</v>
      </c>
      <c r="T177" s="9">
        <f t="shared" si="186"/>
        <v>4</v>
      </c>
      <c r="U177" s="9">
        <v>17</v>
      </c>
      <c r="V177" s="9">
        <f t="shared" si="214"/>
        <v>4</v>
      </c>
      <c r="W177" s="13">
        <v>5</v>
      </c>
      <c r="X177" s="113" t="str">
        <f t="shared" si="188"/>
        <v>ボンボンドロップシール</v>
      </c>
      <c r="Y177" s="9">
        <f t="shared" si="189"/>
        <v>200</v>
      </c>
      <c r="Z177" s="9">
        <f t="shared" si="190"/>
        <v>800</v>
      </c>
      <c r="AA177" s="10">
        <f t="shared" si="191"/>
        <v>0.38095238095238093</v>
      </c>
      <c r="AB177" s="11" t="s">
        <v>192</v>
      </c>
      <c r="AD177" s="72"/>
      <c r="AE177" s="38">
        <v>15110</v>
      </c>
      <c r="AF177" s="77">
        <f t="shared" si="192"/>
        <v>6</v>
      </c>
      <c r="AG177" s="9">
        <v>2407</v>
      </c>
      <c r="AH177" s="9">
        <f t="shared" si="193"/>
        <v>0</v>
      </c>
      <c r="AI177" s="9">
        <v>10</v>
      </c>
      <c r="AJ177" s="9">
        <f t="shared" si="215"/>
        <v>0</v>
      </c>
      <c r="AK177" s="13"/>
      <c r="AL177" s="113" t="str">
        <f t="shared" si="210"/>
        <v>サンリオスカーフ付きリュック</v>
      </c>
      <c r="AM177" s="9">
        <f t="shared" si="195"/>
        <v>600</v>
      </c>
      <c r="AN177" s="9">
        <f t="shared" si="196"/>
        <v>0</v>
      </c>
      <c r="AO177" s="10">
        <f t="shared" si="197"/>
        <v>0</v>
      </c>
      <c r="AP177" s="11"/>
      <c r="AR177" s="72"/>
      <c r="AS177" s="38">
        <v>13125</v>
      </c>
      <c r="AT177" s="77">
        <f t="shared" si="198"/>
        <v>22</v>
      </c>
      <c r="AU177" s="9">
        <v>770</v>
      </c>
      <c r="AV177" s="9">
        <f t="shared" si="199"/>
        <v>0</v>
      </c>
      <c r="AW177" s="9">
        <v>35</v>
      </c>
      <c r="AX177" s="9">
        <f t="shared" si="216"/>
        <v>0</v>
      </c>
      <c r="AY177" s="13"/>
      <c r="AZ177" s="113" t="s">
        <v>194</v>
      </c>
      <c r="BA177" s="9">
        <v>99</v>
      </c>
      <c r="BB177" s="9">
        <f t="shared" si="202"/>
        <v>0</v>
      </c>
      <c r="BC177" s="10">
        <f t="shared" si="203"/>
        <v>0</v>
      </c>
      <c r="BD177" s="131" t="s">
        <v>198</v>
      </c>
      <c r="BF177" s="7"/>
      <c r="BG177" s="34"/>
      <c r="BH177" s="9" t="str">
        <f>IF(BG177="","",BG177-BG175)</f>
        <v/>
      </c>
      <c r="BI177" s="9"/>
      <c r="BJ177" s="9"/>
      <c r="BK177" s="9"/>
      <c r="BL177" s="9" t="str">
        <f>IF(BK177="","",BK175+BM175-BK177)</f>
        <v/>
      </c>
      <c r="BM177" s="9"/>
      <c r="BN177" s="126" t="str">
        <f t="shared" si="171"/>
        <v/>
      </c>
      <c r="BO177" s="9"/>
      <c r="BP177" s="9" t="str">
        <f t="shared" si="211"/>
        <v/>
      </c>
      <c r="BQ177" s="10" t="str">
        <f t="shared" si="212"/>
        <v/>
      </c>
      <c r="BR177" s="11"/>
    </row>
    <row r="178" spans="1:70" ht="15" customHeight="1" thickBot="1" x14ac:dyDescent="0.25">
      <c r="A178" s="75"/>
      <c r="B178" s="67"/>
      <c r="C178" s="36">
        <v>13309</v>
      </c>
      <c r="D178" s="37">
        <f t="shared" si="208"/>
        <v>39</v>
      </c>
      <c r="E178" s="17">
        <v>1241</v>
      </c>
      <c r="F178" s="17">
        <f t="shared" si="209"/>
        <v>0</v>
      </c>
      <c r="G178" s="17">
        <v>11</v>
      </c>
      <c r="H178" s="17">
        <f t="shared" si="213"/>
        <v>0</v>
      </c>
      <c r="I178" s="29">
        <v>0</v>
      </c>
      <c r="J178" s="114" t="str">
        <f t="shared" si="221"/>
        <v>バタースクイーズ</v>
      </c>
      <c r="K178" s="37">
        <f t="shared" si="222"/>
        <v>1100</v>
      </c>
      <c r="L178" s="17">
        <f t="shared" si="223"/>
        <v>0</v>
      </c>
      <c r="M178" s="18">
        <f t="shared" si="224"/>
        <v>0</v>
      </c>
      <c r="N178" s="11"/>
      <c r="P178" s="75"/>
      <c r="Q178" s="36">
        <v>12812</v>
      </c>
      <c r="R178" s="83">
        <f t="shared" si="185"/>
        <v>19</v>
      </c>
      <c r="S178" s="17">
        <v>1078</v>
      </c>
      <c r="T178" s="17">
        <f t="shared" si="186"/>
        <v>0</v>
      </c>
      <c r="U178" s="17">
        <v>5</v>
      </c>
      <c r="V178" s="17">
        <f t="shared" si="214"/>
        <v>0</v>
      </c>
      <c r="W178" s="29">
        <v>3</v>
      </c>
      <c r="X178" s="114" t="str">
        <f t="shared" si="188"/>
        <v>ゲームアーク</v>
      </c>
      <c r="Y178" s="37">
        <f t="shared" si="189"/>
        <v>648</v>
      </c>
      <c r="Z178" s="17">
        <f t="shared" si="190"/>
        <v>0</v>
      </c>
      <c r="AA178" s="18">
        <f t="shared" si="191"/>
        <v>0</v>
      </c>
      <c r="AB178" s="11" t="s">
        <v>195</v>
      </c>
      <c r="AD178" s="75"/>
      <c r="AE178" s="36">
        <v>15402</v>
      </c>
      <c r="AF178" s="83">
        <f t="shared" si="192"/>
        <v>20</v>
      </c>
      <c r="AG178" s="17">
        <v>1552</v>
      </c>
      <c r="AH178" s="17">
        <f t="shared" si="193"/>
        <v>0</v>
      </c>
      <c r="AI178" s="17">
        <v>17</v>
      </c>
      <c r="AJ178" s="17">
        <f t="shared" si="215"/>
        <v>0</v>
      </c>
      <c r="AK178" s="29"/>
      <c r="AL178" s="114" t="str">
        <f t="shared" si="210"/>
        <v>しばこ</v>
      </c>
      <c r="AM178" s="37">
        <f t="shared" si="195"/>
        <v>350</v>
      </c>
      <c r="AN178" s="17">
        <f t="shared" si="196"/>
        <v>0</v>
      </c>
      <c r="AO178" s="18">
        <f t="shared" si="197"/>
        <v>0</v>
      </c>
      <c r="AP178" s="11"/>
      <c r="AR178" s="75"/>
      <c r="AS178" s="36">
        <v>11031</v>
      </c>
      <c r="AT178" s="37">
        <f t="shared" si="198"/>
        <v>26</v>
      </c>
      <c r="AU178" s="17">
        <v>811</v>
      </c>
      <c r="AV178" s="17">
        <f t="shared" si="199"/>
        <v>0</v>
      </c>
      <c r="AW178" s="17">
        <v>8</v>
      </c>
      <c r="AX178" s="17">
        <f t="shared" si="216"/>
        <v>0</v>
      </c>
      <c r="AY178" s="29">
        <v>0</v>
      </c>
      <c r="AZ178" s="114" t="str">
        <f t="shared" si="205"/>
        <v>シールバインダー</v>
      </c>
      <c r="BA178" s="37">
        <f t="shared" si="201"/>
        <v>330</v>
      </c>
      <c r="BB178" s="17">
        <f t="shared" si="202"/>
        <v>0</v>
      </c>
      <c r="BC178" s="18">
        <f t="shared" si="203"/>
        <v>0</v>
      </c>
      <c r="BD178" s="11"/>
      <c r="BF178" s="7"/>
      <c r="BG178" s="34"/>
      <c r="BH178" s="9" t="str">
        <f t="shared" ref="BH178:BH198" si="225">IF(BG178="","",BG178-BG177)</f>
        <v/>
      </c>
      <c r="BI178" s="9"/>
      <c r="BJ178" s="9"/>
      <c r="BK178" s="9"/>
      <c r="BL178" s="9" t="str">
        <f t="shared" ref="BL178:BL198" si="226">IF(BK178="","",BK177+BM177-BK178)</f>
        <v/>
      </c>
      <c r="BM178" s="9"/>
      <c r="BN178" s="126" t="str">
        <f t="shared" si="171"/>
        <v/>
      </c>
      <c r="BO178" s="9"/>
      <c r="BP178" s="9" t="str">
        <f t="shared" si="211"/>
        <v/>
      </c>
      <c r="BQ178" s="10" t="str">
        <f t="shared" si="212"/>
        <v/>
      </c>
      <c r="BR178" s="11"/>
    </row>
    <row r="179" spans="1:70" ht="15" customHeight="1" thickTop="1" x14ac:dyDescent="0.2">
      <c r="A179" s="71">
        <v>46122</v>
      </c>
      <c r="B179" s="61">
        <f>SUM(D179:D182)+SUM(R179:R182)+SUM(AF179:AF182)+SUM(AT179:AT182)+SUM(BH158)</f>
        <v>684</v>
      </c>
      <c r="C179" s="33">
        <v>15640</v>
      </c>
      <c r="D179" s="33">
        <f t="shared" si="208"/>
        <v>20</v>
      </c>
      <c r="E179" s="33">
        <v>1123</v>
      </c>
      <c r="F179" s="20">
        <f t="shared" si="209"/>
        <v>5</v>
      </c>
      <c r="G179" s="33">
        <v>3</v>
      </c>
      <c r="H179" s="33">
        <f t="shared" si="213"/>
        <v>6</v>
      </c>
      <c r="I179" s="43">
        <v>5</v>
      </c>
      <c r="J179" s="112" t="s">
        <v>20</v>
      </c>
      <c r="K179" s="40">
        <v>572</v>
      </c>
      <c r="L179" s="20">
        <f t="shared" si="223"/>
        <v>3432</v>
      </c>
      <c r="M179" s="21">
        <f t="shared" si="224"/>
        <v>1.716</v>
      </c>
      <c r="N179" s="11" t="s">
        <v>199</v>
      </c>
      <c r="P179" s="76">
        <f>IF($A179="","",$A179)</f>
        <v>46122</v>
      </c>
      <c r="Q179" s="33">
        <v>15517</v>
      </c>
      <c r="R179" s="33">
        <f t="shared" si="185"/>
        <v>48</v>
      </c>
      <c r="S179" s="33">
        <v>1445</v>
      </c>
      <c r="T179" s="20">
        <f t="shared" si="186"/>
        <v>1</v>
      </c>
      <c r="U179" s="33">
        <v>5</v>
      </c>
      <c r="V179" s="33">
        <f t="shared" si="214"/>
        <v>1</v>
      </c>
      <c r="W179" s="43">
        <v>0</v>
      </c>
      <c r="X179" s="112" t="str">
        <f t="shared" si="188"/>
        <v>キティボアバンスクリップ</v>
      </c>
      <c r="Y179" s="40">
        <f t="shared" si="189"/>
        <v>1100</v>
      </c>
      <c r="Z179" s="20">
        <f t="shared" si="190"/>
        <v>1100</v>
      </c>
      <c r="AA179" s="21">
        <f t="shared" si="191"/>
        <v>0.22916666666666666</v>
      </c>
      <c r="AB179" s="11"/>
      <c r="AD179" s="76">
        <f>IF($A179="","",$A179)</f>
        <v>46122</v>
      </c>
      <c r="AE179" s="33">
        <v>12491</v>
      </c>
      <c r="AF179" s="33">
        <f t="shared" si="192"/>
        <v>1</v>
      </c>
      <c r="AG179" s="33">
        <v>912</v>
      </c>
      <c r="AH179" s="20">
        <f t="shared" si="193"/>
        <v>0</v>
      </c>
      <c r="AI179" s="33">
        <v>14</v>
      </c>
      <c r="AJ179" s="33">
        <f t="shared" si="215"/>
        <v>0</v>
      </c>
      <c r="AK179" s="43">
        <v>-2</v>
      </c>
      <c r="AL179" s="112" t="s">
        <v>201</v>
      </c>
      <c r="AM179" s="40">
        <f t="shared" si="195"/>
        <v>600</v>
      </c>
      <c r="AN179" s="20">
        <f t="shared" si="196"/>
        <v>0</v>
      </c>
      <c r="AO179" s="21">
        <f t="shared" si="197"/>
        <v>0</v>
      </c>
      <c r="AP179" s="11" t="s">
        <v>204</v>
      </c>
      <c r="AR179" s="76">
        <f>IF($A179="","",$A179)</f>
        <v>46122</v>
      </c>
      <c r="AS179" s="33">
        <v>9662</v>
      </c>
      <c r="AT179" s="33">
        <f t="shared" si="198"/>
        <v>18</v>
      </c>
      <c r="AU179" s="33">
        <v>531</v>
      </c>
      <c r="AV179" s="20">
        <f t="shared" si="199"/>
        <v>0</v>
      </c>
      <c r="AW179" s="33">
        <v>2</v>
      </c>
      <c r="AX179" s="33">
        <f t="shared" si="216"/>
        <v>0</v>
      </c>
      <c r="AY179" s="43">
        <v>0</v>
      </c>
      <c r="AZ179" s="112" t="str">
        <f t="shared" si="205"/>
        <v>液晶ミニカメラ</v>
      </c>
      <c r="BA179" s="40">
        <f t="shared" si="201"/>
        <v>825</v>
      </c>
      <c r="BB179" s="20">
        <f t="shared" si="202"/>
        <v>0</v>
      </c>
      <c r="BC179" s="21">
        <f t="shared" si="203"/>
        <v>0</v>
      </c>
      <c r="BD179" s="11"/>
      <c r="BF179" s="7"/>
      <c r="BG179" s="34"/>
      <c r="BH179" s="9" t="str">
        <f t="shared" si="225"/>
        <v/>
      </c>
      <c r="BI179" s="9"/>
      <c r="BJ179" s="9"/>
      <c r="BK179" s="9"/>
      <c r="BL179" s="9" t="str">
        <f t="shared" si="226"/>
        <v/>
      </c>
      <c r="BM179" s="9"/>
      <c r="BN179" s="126" t="str">
        <f t="shared" si="171"/>
        <v/>
      </c>
      <c r="BO179" s="9"/>
      <c r="BP179" s="9" t="str">
        <f t="shared" si="211"/>
        <v/>
      </c>
      <c r="BQ179" s="10" t="str">
        <f t="shared" si="212"/>
        <v/>
      </c>
      <c r="BR179" s="11"/>
    </row>
    <row r="180" spans="1:70" ht="15" customHeight="1" x14ac:dyDescent="0.2">
      <c r="A180" s="72"/>
      <c r="B180" s="61"/>
      <c r="C180" s="9">
        <v>19631</v>
      </c>
      <c r="D180" s="9">
        <f t="shared" si="208"/>
        <v>97</v>
      </c>
      <c r="E180" s="9">
        <v>638</v>
      </c>
      <c r="F180" s="9">
        <f t="shared" si="209"/>
        <v>1</v>
      </c>
      <c r="G180" s="9">
        <v>32</v>
      </c>
      <c r="H180" s="9">
        <f t="shared" si="213"/>
        <v>1</v>
      </c>
      <c r="I180" s="13">
        <v>0</v>
      </c>
      <c r="J180" s="113" t="str">
        <f t="shared" si="221"/>
        <v>電ブル</v>
      </c>
      <c r="K180" s="34">
        <f t="shared" si="222"/>
        <v>275</v>
      </c>
      <c r="L180" s="9">
        <f t="shared" si="223"/>
        <v>275</v>
      </c>
      <c r="M180" s="10">
        <f t="shared" si="224"/>
        <v>2.8350515463917526E-2</v>
      </c>
      <c r="N180" s="11"/>
      <c r="P180" s="72"/>
      <c r="Q180" s="9">
        <v>14788</v>
      </c>
      <c r="R180" s="77">
        <f t="shared" si="185"/>
        <v>18</v>
      </c>
      <c r="S180" s="9">
        <v>503</v>
      </c>
      <c r="T180" s="9">
        <f t="shared" si="186"/>
        <v>1</v>
      </c>
      <c r="U180" s="9">
        <v>6</v>
      </c>
      <c r="V180" s="9">
        <f t="shared" si="214"/>
        <v>1</v>
      </c>
      <c r="W180" s="13">
        <v>0</v>
      </c>
      <c r="X180" s="113" t="str">
        <f t="shared" si="188"/>
        <v>サンリオフェイスポーチ</v>
      </c>
      <c r="Y180" s="34">
        <f t="shared" si="189"/>
        <v>825</v>
      </c>
      <c r="Z180" s="9">
        <f t="shared" si="190"/>
        <v>825</v>
      </c>
      <c r="AA180" s="10">
        <f t="shared" si="191"/>
        <v>0.45833333333333331</v>
      </c>
      <c r="AB180" s="11"/>
      <c r="AD180" s="72"/>
      <c r="AE180" s="9">
        <v>12850</v>
      </c>
      <c r="AF180" s="9">
        <f t="shared" si="192"/>
        <v>5</v>
      </c>
      <c r="AG180" s="9">
        <v>798</v>
      </c>
      <c r="AH180" s="9">
        <f t="shared" si="193"/>
        <v>0</v>
      </c>
      <c r="AI180" s="9">
        <v>3</v>
      </c>
      <c r="AJ180" s="9">
        <f t="shared" si="215"/>
        <v>0</v>
      </c>
      <c r="AK180" s="13">
        <v>0</v>
      </c>
      <c r="AL180" s="113" t="str">
        <f t="shared" si="210"/>
        <v>ジャグラーボタン</v>
      </c>
      <c r="AM180" s="34">
        <f t="shared" si="195"/>
        <v>748</v>
      </c>
      <c r="AN180" s="9">
        <f t="shared" si="196"/>
        <v>0</v>
      </c>
      <c r="AO180" s="10">
        <f t="shared" si="197"/>
        <v>0</v>
      </c>
      <c r="AP180" s="11"/>
      <c r="AR180" s="72"/>
      <c r="AS180" s="9">
        <v>11029</v>
      </c>
      <c r="AT180" s="9">
        <f t="shared" si="198"/>
        <v>32</v>
      </c>
      <c r="AU180" s="9">
        <v>551</v>
      </c>
      <c r="AV180" s="9">
        <f t="shared" si="199"/>
        <v>2</v>
      </c>
      <c r="AW180" s="9">
        <v>4</v>
      </c>
      <c r="AX180" s="9">
        <f t="shared" si="216"/>
        <v>2</v>
      </c>
      <c r="AY180" s="13">
        <v>2</v>
      </c>
      <c r="AZ180" s="113" t="str">
        <f t="shared" si="205"/>
        <v>豹柄キーケース</v>
      </c>
      <c r="BA180" s="34">
        <f t="shared" si="201"/>
        <v>358</v>
      </c>
      <c r="BB180" s="9">
        <f t="shared" si="202"/>
        <v>716</v>
      </c>
      <c r="BC180" s="10">
        <f t="shared" si="203"/>
        <v>0.22375</v>
      </c>
      <c r="BD180" s="11"/>
      <c r="BF180" s="7"/>
      <c r="BG180" s="34"/>
      <c r="BH180" s="9" t="str">
        <f t="shared" si="225"/>
        <v/>
      </c>
      <c r="BI180" s="9"/>
      <c r="BJ180" s="9"/>
      <c r="BK180" s="9"/>
      <c r="BL180" s="9" t="str">
        <f t="shared" si="226"/>
        <v/>
      </c>
      <c r="BM180" s="9"/>
      <c r="BN180" s="126" t="str">
        <f t="shared" si="171"/>
        <v/>
      </c>
      <c r="BO180" s="9"/>
      <c r="BP180" s="9" t="str">
        <f t="shared" si="211"/>
        <v/>
      </c>
      <c r="BQ180" s="10" t="str">
        <f t="shared" si="212"/>
        <v/>
      </c>
      <c r="BR180" s="11"/>
    </row>
    <row r="181" spans="1:70" ht="15" customHeight="1" x14ac:dyDescent="0.2">
      <c r="A181" s="72"/>
      <c r="B181" s="8"/>
      <c r="C181" s="23">
        <v>18322</v>
      </c>
      <c r="D181" s="77">
        <f t="shared" si="208"/>
        <v>12</v>
      </c>
      <c r="E181" s="9">
        <v>627</v>
      </c>
      <c r="F181" s="9">
        <f t="shared" si="209"/>
        <v>0</v>
      </c>
      <c r="G181" s="23">
        <v>9</v>
      </c>
      <c r="H181" s="9">
        <f t="shared" si="213"/>
        <v>0</v>
      </c>
      <c r="I181" s="30">
        <v>-2</v>
      </c>
      <c r="J181" s="113" t="str">
        <f t="shared" si="221"/>
        <v>サンリオヘアバンド</v>
      </c>
      <c r="K181" s="9">
        <f t="shared" si="222"/>
        <v>638</v>
      </c>
      <c r="L181" s="9">
        <f t="shared" si="223"/>
        <v>0</v>
      </c>
      <c r="M181" s="10">
        <f t="shared" si="224"/>
        <v>0</v>
      </c>
      <c r="N181" s="11" t="s">
        <v>203</v>
      </c>
      <c r="P181" s="72"/>
      <c r="Q181" s="23">
        <v>15331</v>
      </c>
      <c r="R181" s="9">
        <f t="shared" si="185"/>
        <v>26</v>
      </c>
      <c r="S181" s="9">
        <v>974</v>
      </c>
      <c r="T181" s="9">
        <f t="shared" si="186"/>
        <v>1</v>
      </c>
      <c r="U181" s="23">
        <v>21</v>
      </c>
      <c r="V181" s="9">
        <f t="shared" si="214"/>
        <v>1</v>
      </c>
      <c r="W181" s="30">
        <v>0</v>
      </c>
      <c r="X181" s="113" t="str">
        <f t="shared" si="188"/>
        <v>ボンボンドロップシール</v>
      </c>
      <c r="Y181" s="9">
        <f t="shared" si="189"/>
        <v>200</v>
      </c>
      <c r="Z181" s="9">
        <f t="shared" si="190"/>
        <v>200</v>
      </c>
      <c r="AA181" s="10">
        <f t="shared" si="191"/>
        <v>7.6923076923076927E-2</v>
      </c>
      <c r="AB181" s="11"/>
      <c r="AD181" s="72"/>
      <c r="AE181" s="23">
        <v>15115</v>
      </c>
      <c r="AF181" s="9">
        <f t="shared" si="192"/>
        <v>5</v>
      </c>
      <c r="AG181" s="9">
        <v>2408</v>
      </c>
      <c r="AH181" s="9">
        <f t="shared" si="193"/>
        <v>1</v>
      </c>
      <c r="AI181" s="23">
        <v>9</v>
      </c>
      <c r="AJ181" s="9">
        <f t="shared" si="215"/>
        <v>1</v>
      </c>
      <c r="AK181" s="30">
        <v>0</v>
      </c>
      <c r="AL181" s="113" t="str">
        <f t="shared" si="210"/>
        <v>サンリオスカーフ付きリュック</v>
      </c>
      <c r="AM181" s="9">
        <f t="shared" si="195"/>
        <v>600</v>
      </c>
      <c r="AN181" s="9">
        <f t="shared" si="196"/>
        <v>600</v>
      </c>
      <c r="AO181" s="10">
        <f t="shared" si="197"/>
        <v>1.2</v>
      </c>
      <c r="AP181" s="11"/>
      <c r="AR181" s="72"/>
      <c r="AS181" s="23">
        <v>13130</v>
      </c>
      <c r="AT181" s="9">
        <f t="shared" si="198"/>
        <v>5</v>
      </c>
      <c r="AU181" s="9">
        <v>770</v>
      </c>
      <c r="AV181" s="9">
        <f t="shared" si="199"/>
        <v>0</v>
      </c>
      <c r="AW181" s="23">
        <v>35</v>
      </c>
      <c r="AX181" s="9">
        <f t="shared" si="216"/>
        <v>0</v>
      </c>
      <c r="AY181" s="30">
        <v>0</v>
      </c>
      <c r="AZ181" s="113" t="str">
        <f t="shared" si="205"/>
        <v>ふわもちミニスクイーズ</v>
      </c>
      <c r="BA181" s="9">
        <f t="shared" si="201"/>
        <v>99</v>
      </c>
      <c r="BB181" s="9">
        <f t="shared" si="202"/>
        <v>0</v>
      </c>
      <c r="BC181" s="10">
        <f t="shared" si="203"/>
        <v>0</v>
      </c>
      <c r="BD181" s="11"/>
      <c r="BF181" s="7"/>
      <c r="BG181" s="34"/>
      <c r="BH181" s="9" t="str">
        <f t="shared" si="225"/>
        <v/>
      </c>
      <c r="BI181" s="9"/>
      <c r="BJ181" s="9"/>
      <c r="BK181" s="9"/>
      <c r="BL181" s="9" t="str">
        <f t="shared" si="226"/>
        <v/>
      </c>
      <c r="BM181" s="9"/>
      <c r="BN181" s="126" t="str">
        <f t="shared" si="171"/>
        <v/>
      </c>
      <c r="BO181" s="9"/>
      <c r="BP181" s="9" t="str">
        <f t="shared" si="211"/>
        <v/>
      </c>
      <c r="BQ181" s="10" t="str">
        <f t="shared" si="212"/>
        <v/>
      </c>
      <c r="BR181" s="11"/>
    </row>
    <row r="182" spans="1:70" ht="15" customHeight="1" thickBot="1" x14ac:dyDescent="0.25">
      <c r="A182" s="75"/>
      <c r="B182" s="67"/>
      <c r="C182" s="17">
        <v>13348</v>
      </c>
      <c r="D182" s="37">
        <f t="shared" si="208"/>
        <v>39</v>
      </c>
      <c r="E182" s="17">
        <v>1241</v>
      </c>
      <c r="F182" s="17">
        <f t="shared" si="209"/>
        <v>0</v>
      </c>
      <c r="G182" s="17">
        <v>11</v>
      </c>
      <c r="H182" s="17">
        <f t="shared" si="213"/>
        <v>0</v>
      </c>
      <c r="I182" s="29">
        <v>0</v>
      </c>
      <c r="J182" s="114" t="str">
        <f t="shared" si="221"/>
        <v>バタースクイーズ</v>
      </c>
      <c r="K182" s="37">
        <f t="shared" si="222"/>
        <v>1100</v>
      </c>
      <c r="L182" s="17">
        <f t="shared" si="223"/>
        <v>0</v>
      </c>
      <c r="M182" s="18">
        <f t="shared" si="224"/>
        <v>0</v>
      </c>
      <c r="N182" s="11"/>
      <c r="P182" s="75"/>
      <c r="Q182" s="17">
        <v>12964</v>
      </c>
      <c r="R182" s="37">
        <f t="shared" si="185"/>
        <v>152</v>
      </c>
      <c r="S182" s="17">
        <v>1081</v>
      </c>
      <c r="T182" s="17">
        <f t="shared" si="186"/>
        <v>3</v>
      </c>
      <c r="U182" s="17">
        <v>1</v>
      </c>
      <c r="V182" s="17">
        <f t="shared" si="214"/>
        <v>7</v>
      </c>
      <c r="W182" s="29">
        <v>3</v>
      </c>
      <c r="X182" s="114" t="s">
        <v>200</v>
      </c>
      <c r="Y182" s="37">
        <f t="shared" si="189"/>
        <v>648</v>
      </c>
      <c r="Z182" s="17">
        <f t="shared" si="190"/>
        <v>4536</v>
      </c>
      <c r="AA182" s="18">
        <f t="shared" si="191"/>
        <v>0.29842105263157892</v>
      </c>
      <c r="AB182" s="11" t="s">
        <v>202</v>
      </c>
      <c r="AD182" s="75"/>
      <c r="AE182" s="17">
        <v>15429</v>
      </c>
      <c r="AF182" s="37">
        <f t="shared" si="192"/>
        <v>27</v>
      </c>
      <c r="AG182" s="17">
        <v>1553</v>
      </c>
      <c r="AH182" s="17">
        <f t="shared" si="193"/>
        <v>1</v>
      </c>
      <c r="AI182" s="17">
        <v>16</v>
      </c>
      <c r="AJ182" s="17">
        <f t="shared" si="215"/>
        <v>1</v>
      </c>
      <c r="AK182" s="29">
        <v>0</v>
      </c>
      <c r="AL182" s="114" t="str">
        <f t="shared" si="210"/>
        <v>しばこ</v>
      </c>
      <c r="AM182" s="37">
        <f t="shared" si="195"/>
        <v>350</v>
      </c>
      <c r="AN182" s="17">
        <f t="shared" si="196"/>
        <v>350</v>
      </c>
      <c r="AO182" s="18">
        <f t="shared" si="197"/>
        <v>0.12962962962962962</v>
      </c>
      <c r="AP182" s="11"/>
      <c r="AR182" s="75"/>
      <c r="AS182" s="17">
        <v>11037</v>
      </c>
      <c r="AT182" s="37">
        <f t="shared" si="198"/>
        <v>6</v>
      </c>
      <c r="AU182" s="17">
        <v>811</v>
      </c>
      <c r="AV182" s="17">
        <f t="shared" si="199"/>
        <v>0</v>
      </c>
      <c r="AW182" s="17">
        <v>7</v>
      </c>
      <c r="AX182" s="17">
        <f t="shared" si="216"/>
        <v>1</v>
      </c>
      <c r="AY182" s="29">
        <v>0</v>
      </c>
      <c r="AZ182" s="114" t="str">
        <f t="shared" si="205"/>
        <v>シールバインダー</v>
      </c>
      <c r="BA182" s="37">
        <f t="shared" si="201"/>
        <v>330</v>
      </c>
      <c r="BB182" s="17">
        <f t="shared" si="202"/>
        <v>330</v>
      </c>
      <c r="BC182" s="18">
        <f t="shared" si="203"/>
        <v>0.55000000000000004</v>
      </c>
      <c r="BD182" s="11"/>
      <c r="BF182" s="7"/>
      <c r="BG182" s="34"/>
      <c r="BH182" s="9" t="str">
        <f t="shared" si="225"/>
        <v/>
      </c>
      <c r="BI182" s="9"/>
      <c r="BJ182" s="9"/>
      <c r="BK182" s="9"/>
      <c r="BL182" s="9" t="str">
        <f t="shared" si="226"/>
        <v/>
      </c>
      <c r="BM182" s="9"/>
      <c r="BN182" s="126" t="str">
        <f t="shared" si="171"/>
        <v/>
      </c>
      <c r="BO182" s="9"/>
      <c r="BP182" s="9" t="str">
        <f t="shared" si="211"/>
        <v/>
      </c>
      <c r="BQ182" s="10" t="str">
        <f t="shared" si="212"/>
        <v/>
      </c>
      <c r="BR182" s="11"/>
    </row>
    <row r="183" spans="1:70" ht="15" customHeight="1" thickTop="1" x14ac:dyDescent="0.2">
      <c r="A183" s="71">
        <v>46125</v>
      </c>
      <c r="B183" s="61">
        <f>SUM(D183:D186)+SUM(R183:R186)+SUM(AF183:AF186)+SUM(AT183:AT186)+SUM(BH159)</f>
        <v>728</v>
      </c>
      <c r="C183" s="33">
        <v>15649</v>
      </c>
      <c r="D183" s="94">
        <f t="shared" si="208"/>
        <v>9</v>
      </c>
      <c r="E183" s="33">
        <v>1123</v>
      </c>
      <c r="F183" s="20">
        <f t="shared" si="209"/>
        <v>0</v>
      </c>
      <c r="G183" s="33">
        <v>7</v>
      </c>
      <c r="H183" s="33">
        <f t="shared" si="213"/>
        <v>1</v>
      </c>
      <c r="I183" s="43">
        <v>0</v>
      </c>
      <c r="J183" s="112" t="str">
        <f t="shared" si="221"/>
        <v>モンチッチマスコット</v>
      </c>
      <c r="K183" s="34">
        <f t="shared" si="222"/>
        <v>572</v>
      </c>
      <c r="L183" s="20">
        <f t="shared" si="223"/>
        <v>572</v>
      </c>
      <c r="M183" s="21">
        <f t="shared" si="224"/>
        <v>0.63555555555555554</v>
      </c>
      <c r="N183" s="11"/>
      <c r="P183" s="76">
        <f>IF($A183="","",$A183)</f>
        <v>46125</v>
      </c>
      <c r="Q183" s="33">
        <v>15539</v>
      </c>
      <c r="R183" s="33">
        <f t="shared" si="185"/>
        <v>22</v>
      </c>
      <c r="S183" s="33">
        <v>1445</v>
      </c>
      <c r="T183" s="20">
        <f t="shared" si="186"/>
        <v>0</v>
      </c>
      <c r="U183" s="33">
        <v>5</v>
      </c>
      <c r="V183" s="33">
        <f t="shared" si="214"/>
        <v>0</v>
      </c>
      <c r="W183" s="43">
        <v>0</v>
      </c>
      <c r="X183" s="112" t="str">
        <f t="shared" si="188"/>
        <v>キティボアバンスクリップ</v>
      </c>
      <c r="Y183" s="34">
        <f t="shared" si="189"/>
        <v>1100</v>
      </c>
      <c r="Z183" s="20">
        <f t="shared" si="190"/>
        <v>0</v>
      </c>
      <c r="AA183" s="21">
        <f t="shared" si="191"/>
        <v>0</v>
      </c>
      <c r="AB183" s="11"/>
      <c r="AD183" s="76">
        <f>IF($A183="","",$A183)</f>
        <v>46125</v>
      </c>
      <c r="AE183" s="33">
        <v>12514</v>
      </c>
      <c r="AF183" s="33">
        <f t="shared" si="192"/>
        <v>23</v>
      </c>
      <c r="AG183" s="33">
        <v>913</v>
      </c>
      <c r="AH183" s="20">
        <f t="shared" si="193"/>
        <v>1</v>
      </c>
      <c r="AI183" s="33">
        <v>11</v>
      </c>
      <c r="AJ183" s="33">
        <f t="shared" si="215"/>
        <v>1</v>
      </c>
      <c r="AK183" s="43">
        <v>2</v>
      </c>
      <c r="AL183" s="112" t="s">
        <v>137</v>
      </c>
      <c r="AM183" s="34">
        <v>660</v>
      </c>
      <c r="AN183" s="20">
        <f t="shared" si="196"/>
        <v>660</v>
      </c>
      <c r="AO183" s="21">
        <f t="shared" si="197"/>
        <v>0.28695652173913044</v>
      </c>
      <c r="AP183" s="11"/>
      <c r="AR183" s="76">
        <f>IF($A183="","",$A183)</f>
        <v>46125</v>
      </c>
      <c r="AS183" s="33">
        <v>9702</v>
      </c>
      <c r="AT183" s="33">
        <f t="shared" si="198"/>
        <v>40</v>
      </c>
      <c r="AU183" s="33">
        <v>532</v>
      </c>
      <c r="AV183" s="20">
        <f t="shared" si="199"/>
        <v>1</v>
      </c>
      <c r="AW183" s="33">
        <v>1</v>
      </c>
      <c r="AX183" s="33">
        <f t="shared" si="216"/>
        <v>1</v>
      </c>
      <c r="AY183" s="43">
        <v>11</v>
      </c>
      <c r="AZ183" s="112" t="str">
        <f t="shared" si="205"/>
        <v>液晶ミニカメラ</v>
      </c>
      <c r="BA183" s="34">
        <f t="shared" si="201"/>
        <v>825</v>
      </c>
      <c r="BB183" s="20">
        <f t="shared" si="202"/>
        <v>825</v>
      </c>
      <c r="BC183" s="21">
        <f t="shared" si="203"/>
        <v>0.20624999999999999</v>
      </c>
      <c r="BD183" s="11" t="s">
        <v>210</v>
      </c>
      <c r="BF183" s="7"/>
      <c r="BG183" s="34"/>
      <c r="BH183" s="9" t="str">
        <f t="shared" si="225"/>
        <v/>
      </c>
      <c r="BI183" s="9"/>
      <c r="BJ183" s="9"/>
      <c r="BK183" s="9"/>
      <c r="BL183" s="9" t="str">
        <f t="shared" si="226"/>
        <v/>
      </c>
      <c r="BM183" s="9"/>
      <c r="BN183" s="126" t="str">
        <f t="shared" si="171"/>
        <v/>
      </c>
      <c r="BO183" s="9"/>
      <c r="BP183" s="9" t="str">
        <f t="shared" si="211"/>
        <v/>
      </c>
      <c r="BQ183" s="10" t="str">
        <f t="shared" si="212"/>
        <v/>
      </c>
      <c r="BR183" s="11"/>
    </row>
    <row r="184" spans="1:70" ht="15" customHeight="1" x14ac:dyDescent="0.2">
      <c r="A184" s="72"/>
      <c r="B184" s="61"/>
      <c r="C184" s="33">
        <v>19673</v>
      </c>
      <c r="D184" s="9">
        <f t="shared" si="208"/>
        <v>42</v>
      </c>
      <c r="E184" s="9">
        <v>638</v>
      </c>
      <c r="F184" s="9">
        <f t="shared" si="209"/>
        <v>0</v>
      </c>
      <c r="G184" s="9">
        <v>32</v>
      </c>
      <c r="H184" s="9">
        <f t="shared" si="213"/>
        <v>0</v>
      </c>
      <c r="I184" s="13">
        <v>5</v>
      </c>
      <c r="J184" s="113" t="str">
        <f t="shared" si="221"/>
        <v>電ブル</v>
      </c>
      <c r="K184" s="34">
        <f t="shared" si="222"/>
        <v>275</v>
      </c>
      <c r="L184" s="9">
        <f t="shared" si="223"/>
        <v>0</v>
      </c>
      <c r="M184" s="10">
        <f t="shared" si="224"/>
        <v>0</v>
      </c>
      <c r="N184" s="11"/>
      <c r="P184" s="72"/>
      <c r="Q184" s="33">
        <v>14807</v>
      </c>
      <c r="R184" s="9">
        <f t="shared" si="185"/>
        <v>19</v>
      </c>
      <c r="S184" s="9">
        <v>504</v>
      </c>
      <c r="T184" s="9">
        <f t="shared" si="186"/>
        <v>1</v>
      </c>
      <c r="U184" s="9">
        <v>5</v>
      </c>
      <c r="V184" s="9">
        <f t="shared" si="214"/>
        <v>1</v>
      </c>
      <c r="W184" s="13">
        <v>2</v>
      </c>
      <c r="X184" s="113" t="str">
        <f t="shared" si="188"/>
        <v>サンリオフェイスポーチ</v>
      </c>
      <c r="Y184" s="34">
        <f t="shared" si="189"/>
        <v>825</v>
      </c>
      <c r="Z184" s="9">
        <f t="shared" si="190"/>
        <v>825</v>
      </c>
      <c r="AA184" s="10">
        <f t="shared" si="191"/>
        <v>0.43421052631578949</v>
      </c>
      <c r="AB184" s="11" t="s">
        <v>208</v>
      </c>
      <c r="AD184" s="72"/>
      <c r="AE184" s="33">
        <v>12877</v>
      </c>
      <c r="AF184" s="9">
        <f t="shared" si="192"/>
        <v>27</v>
      </c>
      <c r="AG184" s="9">
        <v>798</v>
      </c>
      <c r="AH184" s="9">
        <f t="shared" si="193"/>
        <v>0</v>
      </c>
      <c r="AI184" s="9">
        <v>3</v>
      </c>
      <c r="AJ184" s="9">
        <f t="shared" si="215"/>
        <v>0</v>
      </c>
      <c r="AK184" s="13">
        <v>11</v>
      </c>
      <c r="AL184" s="113" t="str">
        <f t="shared" si="210"/>
        <v>ジャグラーボタン</v>
      </c>
      <c r="AM184" s="34">
        <f t="shared" si="195"/>
        <v>748</v>
      </c>
      <c r="AN184" s="9">
        <f t="shared" si="196"/>
        <v>0</v>
      </c>
      <c r="AO184" s="10">
        <f t="shared" si="197"/>
        <v>0</v>
      </c>
      <c r="AP184" s="11" t="s">
        <v>216</v>
      </c>
      <c r="AR184" s="72"/>
      <c r="AS184" s="33">
        <v>11056</v>
      </c>
      <c r="AT184" s="9">
        <f t="shared" si="198"/>
        <v>27</v>
      </c>
      <c r="AU184" s="9">
        <v>553</v>
      </c>
      <c r="AV184" s="9">
        <f t="shared" si="199"/>
        <v>2</v>
      </c>
      <c r="AW184" s="9">
        <v>4</v>
      </c>
      <c r="AX184" s="9">
        <f t="shared" si="216"/>
        <v>2</v>
      </c>
      <c r="AY184" s="13">
        <v>5</v>
      </c>
      <c r="AZ184" s="113" t="str">
        <f t="shared" si="205"/>
        <v>豹柄キーケース</v>
      </c>
      <c r="BA184" s="34">
        <f t="shared" si="201"/>
        <v>358</v>
      </c>
      <c r="BB184" s="9">
        <f t="shared" si="202"/>
        <v>716</v>
      </c>
      <c r="BC184" s="10">
        <f t="shared" si="203"/>
        <v>0.26518518518518519</v>
      </c>
      <c r="BD184" s="11"/>
      <c r="BF184" s="7"/>
      <c r="BG184" s="34"/>
      <c r="BH184" s="9" t="str">
        <f t="shared" si="225"/>
        <v/>
      </c>
      <c r="BI184" s="9"/>
      <c r="BJ184" s="9"/>
      <c r="BK184" s="9"/>
      <c r="BL184" s="9" t="str">
        <f t="shared" si="226"/>
        <v/>
      </c>
      <c r="BM184" s="9"/>
      <c r="BN184" s="126" t="str">
        <f t="shared" si="171"/>
        <v/>
      </c>
      <c r="BO184" s="9"/>
      <c r="BP184" s="9" t="str">
        <f t="shared" si="211"/>
        <v/>
      </c>
      <c r="BQ184" s="10" t="str">
        <f t="shared" si="212"/>
        <v/>
      </c>
      <c r="BR184" s="11"/>
    </row>
    <row r="185" spans="1:70" ht="15" customHeight="1" x14ac:dyDescent="0.2">
      <c r="A185" s="72"/>
      <c r="B185" s="8"/>
      <c r="C185" s="38">
        <v>18345</v>
      </c>
      <c r="D185" s="9">
        <f t="shared" si="208"/>
        <v>23</v>
      </c>
      <c r="E185" s="9">
        <v>628</v>
      </c>
      <c r="F185" s="9">
        <f t="shared" si="209"/>
        <v>1</v>
      </c>
      <c r="G185" s="9">
        <v>6</v>
      </c>
      <c r="H185" s="9">
        <f t="shared" si="213"/>
        <v>1</v>
      </c>
      <c r="I185" s="13">
        <v>1</v>
      </c>
      <c r="J185" s="113" t="s">
        <v>205</v>
      </c>
      <c r="K185" s="34">
        <v>1100</v>
      </c>
      <c r="L185" s="9">
        <f t="shared" si="223"/>
        <v>1100</v>
      </c>
      <c r="M185" s="10">
        <f t="shared" si="224"/>
        <v>0.47826086956521741</v>
      </c>
      <c r="N185" s="11" t="s">
        <v>206</v>
      </c>
      <c r="P185" s="72"/>
      <c r="Q185" s="38">
        <v>15356</v>
      </c>
      <c r="R185" s="9">
        <f t="shared" si="185"/>
        <v>25</v>
      </c>
      <c r="S185" s="9">
        <v>976</v>
      </c>
      <c r="T185" s="9">
        <f t="shared" si="186"/>
        <v>2</v>
      </c>
      <c r="U185" s="9">
        <v>19</v>
      </c>
      <c r="V185" s="9">
        <f t="shared" si="214"/>
        <v>2</v>
      </c>
      <c r="W185" s="13">
        <v>4</v>
      </c>
      <c r="X185" s="113" t="str">
        <f t="shared" si="188"/>
        <v>ボンボンドロップシール</v>
      </c>
      <c r="Y185" s="34">
        <f t="shared" si="189"/>
        <v>200</v>
      </c>
      <c r="Z185" s="9">
        <f t="shared" si="190"/>
        <v>400</v>
      </c>
      <c r="AA185" s="10">
        <f t="shared" si="191"/>
        <v>0.16</v>
      </c>
      <c r="AB185" s="11"/>
      <c r="AD185" s="72"/>
      <c r="AE185" s="38">
        <v>15129</v>
      </c>
      <c r="AF185" s="77">
        <f t="shared" si="192"/>
        <v>14</v>
      </c>
      <c r="AG185" s="9">
        <v>2409</v>
      </c>
      <c r="AH185" s="9">
        <f t="shared" si="193"/>
        <v>1</v>
      </c>
      <c r="AI185" s="9">
        <v>8</v>
      </c>
      <c r="AJ185" s="9">
        <f t="shared" si="215"/>
        <v>1</v>
      </c>
      <c r="AK185" s="13">
        <v>0</v>
      </c>
      <c r="AL185" s="113" t="str">
        <f t="shared" si="210"/>
        <v>サンリオスカーフ付きリュック</v>
      </c>
      <c r="AM185" s="34">
        <f t="shared" si="195"/>
        <v>600</v>
      </c>
      <c r="AN185" s="9">
        <f t="shared" si="196"/>
        <v>600</v>
      </c>
      <c r="AO185" s="10">
        <f t="shared" si="197"/>
        <v>0.42857142857142855</v>
      </c>
      <c r="AP185" s="11"/>
      <c r="AR185" s="72"/>
      <c r="AS185" s="38">
        <v>13176</v>
      </c>
      <c r="AT185" s="9">
        <f t="shared" si="198"/>
        <v>46</v>
      </c>
      <c r="AU185" s="9">
        <v>771</v>
      </c>
      <c r="AV185" s="9">
        <f t="shared" si="199"/>
        <v>1</v>
      </c>
      <c r="AW185" s="9">
        <v>34</v>
      </c>
      <c r="AX185" s="9">
        <f t="shared" si="216"/>
        <v>1</v>
      </c>
      <c r="AY185" s="13">
        <v>20</v>
      </c>
      <c r="AZ185" s="113" t="str">
        <f t="shared" si="205"/>
        <v>ふわもちミニスクイーズ</v>
      </c>
      <c r="BA185" s="34">
        <f t="shared" si="201"/>
        <v>99</v>
      </c>
      <c r="BB185" s="9">
        <f t="shared" si="202"/>
        <v>99</v>
      </c>
      <c r="BC185" s="10">
        <f t="shared" si="203"/>
        <v>2.1521739130434783E-2</v>
      </c>
      <c r="BD185" s="11" t="s">
        <v>209</v>
      </c>
      <c r="BF185" s="7"/>
      <c r="BG185" s="34"/>
      <c r="BH185" s="9" t="str">
        <f t="shared" si="225"/>
        <v/>
      </c>
      <c r="BI185" s="9"/>
      <c r="BJ185" s="9"/>
      <c r="BK185" s="9"/>
      <c r="BL185" s="9" t="str">
        <f t="shared" si="226"/>
        <v/>
      </c>
      <c r="BM185" s="9"/>
      <c r="BN185" s="126" t="str">
        <f t="shared" si="171"/>
        <v/>
      </c>
      <c r="BO185" s="9"/>
      <c r="BP185" s="9" t="str">
        <f t="shared" si="211"/>
        <v/>
      </c>
      <c r="BQ185" s="10" t="str">
        <f t="shared" si="212"/>
        <v/>
      </c>
      <c r="BR185" s="11"/>
    </row>
    <row r="186" spans="1:70" ht="15" customHeight="1" thickBot="1" x14ac:dyDescent="0.25">
      <c r="A186" s="75"/>
      <c r="B186" s="67"/>
      <c r="C186" s="36">
        <v>13404</v>
      </c>
      <c r="D186" s="37">
        <f t="shared" si="208"/>
        <v>56</v>
      </c>
      <c r="E186" s="17">
        <v>1243</v>
      </c>
      <c r="F186" s="17">
        <f t="shared" si="209"/>
        <v>2</v>
      </c>
      <c r="G186" s="17">
        <v>9</v>
      </c>
      <c r="H186" s="17">
        <f t="shared" si="213"/>
        <v>2</v>
      </c>
      <c r="I186" s="29">
        <v>5</v>
      </c>
      <c r="J186" s="114" t="str">
        <f t="shared" si="221"/>
        <v>バタースクイーズ</v>
      </c>
      <c r="K186" s="37">
        <f t="shared" si="222"/>
        <v>1100</v>
      </c>
      <c r="L186" s="17">
        <f t="shared" si="223"/>
        <v>2200</v>
      </c>
      <c r="M186" s="18">
        <f t="shared" si="224"/>
        <v>0.39285714285714285</v>
      </c>
      <c r="N186" s="11"/>
      <c r="P186" s="75"/>
      <c r="Q186" s="36">
        <v>13021</v>
      </c>
      <c r="R186" s="37">
        <f t="shared" si="185"/>
        <v>57</v>
      </c>
      <c r="S186" s="17">
        <v>1085</v>
      </c>
      <c r="T186" s="17">
        <f t="shared" si="186"/>
        <v>4</v>
      </c>
      <c r="U186" s="17">
        <v>0</v>
      </c>
      <c r="V186" s="17">
        <f t="shared" si="214"/>
        <v>4</v>
      </c>
      <c r="W186" s="29">
        <v>3</v>
      </c>
      <c r="X186" s="114" t="str">
        <f t="shared" si="188"/>
        <v>たまごっちブロックシール</v>
      </c>
      <c r="Y186" s="37">
        <f t="shared" si="189"/>
        <v>648</v>
      </c>
      <c r="Z186" s="17">
        <f t="shared" si="190"/>
        <v>2592</v>
      </c>
      <c r="AA186" s="18">
        <f t="shared" si="191"/>
        <v>0.45473684210526316</v>
      </c>
      <c r="AB186" s="11"/>
      <c r="AD186" s="75"/>
      <c r="AE186" s="36">
        <v>15457</v>
      </c>
      <c r="AF186" s="37">
        <f t="shared" si="192"/>
        <v>28</v>
      </c>
      <c r="AG186" s="17">
        <v>1553</v>
      </c>
      <c r="AH186" s="17">
        <f t="shared" si="193"/>
        <v>0</v>
      </c>
      <c r="AI186" s="17">
        <v>16</v>
      </c>
      <c r="AJ186" s="17">
        <f t="shared" si="215"/>
        <v>0</v>
      </c>
      <c r="AK186" s="29">
        <v>0</v>
      </c>
      <c r="AL186" s="114" t="str">
        <f t="shared" si="210"/>
        <v>しばこ</v>
      </c>
      <c r="AM186" s="37">
        <f t="shared" si="195"/>
        <v>350</v>
      </c>
      <c r="AN186" s="17">
        <f t="shared" si="196"/>
        <v>0</v>
      </c>
      <c r="AO186" s="18">
        <f t="shared" si="197"/>
        <v>0</v>
      </c>
      <c r="AP186" s="11"/>
      <c r="AR186" s="75"/>
      <c r="AS186" s="36">
        <v>11049</v>
      </c>
      <c r="AT186" s="83">
        <f t="shared" si="198"/>
        <v>12</v>
      </c>
      <c r="AU186" s="17">
        <v>812</v>
      </c>
      <c r="AV186" s="17">
        <f t="shared" si="199"/>
        <v>1</v>
      </c>
      <c r="AW186" s="17">
        <v>4</v>
      </c>
      <c r="AX186" s="17">
        <f t="shared" si="216"/>
        <v>3</v>
      </c>
      <c r="AY186" s="29">
        <v>1</v>
      </c>
      <c r="AZ186" s="114" t="str">
        <f t="shared" si="205"/>
        <v>シールバインダー</v>
      </c>
      <c r="BA186" s="37">
        <f t="shared" si="201"/>
        <v>330</v>
      </c>
      <c r="BB186" s="17">
        <f t="shared" si="202"/>
        <v>990</v>
      </c>
      <c r="BC186" s="18">
        <f t="shared" si="203"/>
        <v>0.82499999999999996</v>
      </c>
      <c r="BD186" s="11" t="s">
        <v>207</v>
      </c>
      <c r="BF186" s="7"/>
      <c r="BG186" s="34"/>
      <c r="BH186" s="9" t="str">
        <f t="shared" si="225"/>
        <v/>
      </c>
      <c r="BI186" s="9"/>
      <c r="BJ186" s="9"/>
      <c r="BK186" s="9"/>
      <c r="BL186" s="9" t="str">
        <f t="shared" si="226"/>
        <v/>
      </c>
      <c r="BM186" s="9"/>
      <c r="BN186" s="126" t="str">
        <f t="shared" si="171"/>
        <v/>
      </c>
      <c r="BO186" s="9"/>
      <c r="BP186" s="9" t="str">
        <f t="shared" si="211"/>
        <v/>
      </c>
      <c r="BQ186" s="10" t="str">
        <f t="shared" si="212"/>
        <v/>
      </c>
      <c r="BR186" s="11"/>
    </row>
    <row r="187" spans="1:70" ht="15" customHeight="1" thickTop="1" x14ac:dyDescent="0.2">
      <c r="A187" s="71">
        <v>46130</v>
      </c>
      <c r="B187" s="61">
        <f>SUM(D187:D190)+SUM(R187:R190)+SUM(AF187:AF190)+SUM(AT187:AT190)+SUM(BH160)</f>
        <v>713</v>
      </c>
      <c r="C187" s="33">
        <v>15679</v>
      </c>
      <c r="D187" s="33">
        <f t="shared" si="208"/>
        <v>30</v>
      </c>
      <c r="E187" s="33">
        <v>1123</v>
      </c>
      <c r="F187" s="20">
        <f t="shared" si="209"/>
        <v>0</v>
      </c>
      <c r="G187" s="33">
        <v>7</v>
      </c>
      <c r="H187" s="33">
        <f t="shared" si="213"/>
        <v>0</v>
      </c>
      <c r="I187" s="43">
        <v>0</v>
      </c>
      <c r="J187" s="112" t="str">
        <f t="shared" ref="J187:J206" si="227">IF(C187="","",J183)</f>
        <v>モンチッチマスコット</v>
      </c>
      <c r="K187" s="40">
        <f t="shared" si="217"/>
        <v>572</v>
      </c>
      <c r="L187" s="20">
        <f t="shared" si="218"/>
        <v>0</v>
      </c>
      <c r="M187" s="21">
        <f t="shared" si="219"/>
        <v>0</v>
      </c>
      <c r="N187" s="11"/>
      <c r="P187" s="76">
        <f>IF($A187="","",$A187)</f>
        <v>46130</v>
      </c>
      <c r="Q187" s="33">
        <v>15574</v>
      </c>
      <c r="R187" s="33">
        <f t="shared" ref="R187:R206" si="228">IF(Q187="","",Q187-Q183)</f>
        <v>35</v>
      </c>
      <c r="S187" s="33">
        <v>1446</v>
      </c>
      <c r="T187" s="20">
        <f t="shared" ref="T187:T206" si="229">IF(S187="","",S187-S183)</f>
        <v>1</v>
      </c>
      <c r="U187" s="33">
        <v>4</v>
      </c>
      <c r="V187" s="33">
        <f t="shared" ref="V187:V206" si="230">IF(U187="","",U183+W183-U187)</f>
        <v>1</v>
      </c>
      <c r="W187" s="43">
        <v>0</v>
      </c>
      <c r="X187" s="112" t="str">
        <f t="shared" ref="X187:X206" si="231">IF(Q187="","",X183)</f>
        <v>キティボアバンスクリップ</v>
      </c>
      <c r="Y187" s="40">
        <f t="shared" ref="Y187:Y206" si="232">IF(R187="","",Y183)</f>
        <v>1100</v>
      </c>
      <c r="Z187" s="20">
        <f t="shared" ref="Z187:Z206" si="233">IF(U187="","",V187*Y187)</f>
        <v>1100</v>
      </c>
      <c r="AA187" s="21">
        <f t="shared" ref="AA187:AA206" si="234">IF(V187="","",Z187/(R187*100))</f>
        <v>0.31428571428571428</v>
      </c>
      <c r="AB187" s="11"/>
      <c r="AD187" s="76">
        <f>IF($A187="","",$A187)</f>
        <v>46130</v>
      </c>
      <c r="AE187" s="33">
        <v>12584</v>
      </c>
      <c r="AF187" s="33">
        <f t="shared" ref="AF187:AF206" si="235">IF(AE187="","",AE187-AE183)</f>
        <v>70</v>
      </c>
      <c r="AG187" s="33">
        <v>915</v>
      </c>
      <c r="AH187" s="20">
        <f t="shared" ref="AH187:AH206" si="236">IF(AG187="","",AG187-AG183)</f>
        <v>2</v>
      </c>
      <c r="AI187" s="33">
        <v>11</v>
      </c>
      <c r="AJ187" s="33">
        <f t="shared" ref="AJ187:AJ206" si="237">IF(AI187="","",AI183+AK183-AI187)</f>
        <v>2</v>
      </c>
      <c r="AK187" s="43"/>
      <c r="AL187" s="112" t="str">
        <f t="shared" ref="AL187:AL206" si="238">IF(AE187="","",AL183)</f>
        <v>ギャルキティマスコット</v>
      </c>
      <c r="AM187" s="40">
        <f t="shared" ref="AM187:AM206" si="239">IF(AF187="","",AM183)</f>
        <v>660</v>
      </c>
      <c r="AN187" s="20">
        <f t="shared" ref="AN187:AN206" si="240">IF(AI187="","",AJ187*AM187)</f>
        <v>1320</v>
      </c>
      <c r="AO187" s="21">
        <f t="shared" ref="AO187:AO206" si="241">IF(AJ187="","",AN187/(AF187*100))</f>
        <v>0.18857142857142858</v>
      </c>
      <c r="AP187" s="11"/>
      <c r="AR187" s="76">
        <f>IF($A187="","",$A187)</f>
        <v>46130</v>
      </c>
      <c r="AS187" s="33">
        <v>9753</v>
      </c>
      <c r="AT187" s="33">
        <f t="shared" ref="AT187:AT206" si="242">IF(AS187="","",AS187-AS183)</f>
        <v>51</v>
      </c>
      <c r="AU187" s="33">
        <v>533</v>
      </c>
      <c r="AV187" s="20">
        <f t="shared" ref="AV187:AV206" si="243">IF(AU187="","",AU187-AU183)</f>
        <v>1</v>
      </c>
      <c r="AW187" s="33">
        <v>12</v>
      </c>
      <c r="AX187" s="33">
        <f t="shared" ref="AX187:AX206" si="244">IF(AW187="","",AW183+AY183-AW187)</f>
        <v>0</v>
      </c>
      <c r="AY187" s="43"/>
      <c r="AZ187" s="112" t="s">
        <v>212</v>
      </c>
      <c r="BA187" s="40">
        <v>1100</v>
      </c>
      <c r="BB187" s="20">
        <f t="shared" ref="BB187:BB206" si="245">IF(AW187="","",AX187*BA187)</f>
        <v>0</v>
      </c>
      <c r="BC187" s="21">
        <f t="shared" ref="BC187:BC206" si="246">IF(AX187="","",BB187/(AT187*100))</f>
        <v>0</v>
      </c>
      <c r="BD187" s="11"/>
      <c r="BF187" s="7"/>
      <c r="BG187" s="34"/>
      <c r="BH187" s="9" t="str">
        <f t="shared" si="225"/>
        <v/>
      </c>
      <c r="BI187" s="9"/>
      <c r="BJ187" s="9"/>
      <c r="BK187" s="9"/>
      <c r="BL187" s="9" t="str">
        <f t="shared" si="226"/>
        <v/>
      </c>
      <c r="BM187" s="9"/>
      <c r="BN187" s="126" t="str">
        <f t="shared" si="171"/>
        <v/>
      </c>
      <c r="BO187" s="9"/>
      <c r="BP187" s="9" t="str">
        <f t="shared" si="211"/>
        <v/>
      </c>
      <c r="BQ187" s="10" t="str">
        <f t="shared" si="212"/>
        <v/>
      </c>
      <c r="BR187" s="11"/>
    </row>
    <row r="188" spans="1:70" ht="15" customHeight="1" x14ac:dyDescent="0.2">
      <c r="A188" s="72"/>
      <c r="B188" s="8"/>
      <c r="C188" s="9">
        <v>19754</v>
      </c>
      <c r="D188" s="9">
        <f t="shared" si="208"/>
        <v>81</v>
      </c>
      <c r="E188" s="9">
        <v>640</v>
      </c>
      <c r="F188" s="9">
        <f t="shared" si="209"/>
        <v>2</v>
      </c>
      <c r="G188" s="9">
        <v>35</v>
      </c>
      <c r="H188" s="9">
        <f t="shared" si="213"/>
        <v>2</v>
      </c>
      <c r="I188" s="13">
        <v>0</v>
      </c>
      <c r="J188" s="113" t="str">
        <f t="shared" si="227"/>
        <v>電ブル</v>
      </c>
      <c r="K188" s="34">
        <f t="shared" si="217"/>
        <v>275</v>
      </c>
      <c r="L188" s="9">
        <f t="shared" si="218"/>
        <v>550</v>
      </c>
      <c r="M188" s="10">
        <f t="shared" si="219"/>
        <v>6.7901234567901231E-2</v>
      </c>
      <c r="N188" s="11"/>
      <c r="P188" s="72"/>
      <c r="Q188" s="9">
        <v>14817</v>
      </c>
      <c r="R188" s="9">
        <f t="shared" si="228"/>
        <v>10</v>
      </c>
      <c r="S188" s="9">
        <v>504</v>
      </c>
      <c r="T188" s="9">
        <f t="shared" si="229"/>
        <v>0</v>
      </c>
      <c r="U188" s="9">
        <v>7</v>
      </c>
      <c r="V188" s="9">
        <f t="shared" si="230"/>
        <v>0</v>
      </c>
      <c r="W188" s="13">
        <v>0</v>
      </c>
      <c r="X188" s="113" t="str">
        <f t="shared" si="231"/>
        <v>サンリオフェイスポーチ</v>
      </c>
      <c r="Y188" s="34">
        <f t="shared" si="232"/>
        <v>825</v>
      </c>
      <c r="Z188" s="9">
        <f t="shared" si="233"/>
        <v>0</v>
      </c>
      <c r="AA188" s="10">
        <f t="shared" si="234"/>
        <v>0</v>
      </c>
      <c r="AB188" s="11"/>
      <c r="AD188" s="72"/>
      <c r="AE188" s="9">
        <v>12901</v>
      </c>
      <c r="AF188" s="9">
        <f t="shared" si="235"/>
        <v>24</v>
      </c>
      <c r="AG188" s="9">
        <v>800</v>
      </c>
      <c r="AH188" s="9">
        <f t="shared" si="236"/>
        <v>2</v>
      </c>
      <c r="AI188" s="9">
        <v>14</v>
      </c>
      <c r="AJ188" s="9">
        <f t="shared" si="237"/>
        <v>0</v>
      </c>
      <c r="AK188" s="13"/>
      <c r="AL188" s="113" t="s">
        <v>219</v>
      </c>
      <c r="AM188" s="34">
        <f t="shared" si="239"/>
        <v>748</v>
      </c>
      <c r="AN188" s="9">
        <f t="shared" si="240"/>
        <v>0</v>
      </c>
      <c r="AO188" s="10">
        <f t="shared" si="241"/>
        <v>0</v>
      </c>
      <c r="AR188" s="72"/>
      <c r="AS188" s="9">
        <v>11081</v>
      </c>
      <c r="AT188" s="9">
        <f t="shared" si="242"/>
        <v>25</v>
      </c>
      <c r="AU188" s="9">
        <v>553</v>
      </c>
      <c r="AV188" s="9">
        <f t="shared" si="243"/>
        <v>0</v>
      </c>
      <c r="AW188" s="9">
        <v>9</v>
      </c>
      <c r="AX188" s="9">
        <f t="shared" si="244"/>
        <v>0</v>
      </c>
      <c r="AY188" s="13"/>
      <c r="AZ188" s="113" t="str">
        <f t="shared" ref="AZ188:AZ206" si="247">IF(AS188="","",AZ184)</f>
        <v>豹柄キーケース</v>
      </c>
      <c r="BA188" s="34">
        <f t="shared" ref="BA188:BA206" si="248">IF(AT188="","",BA184)</f>
        <v>358</v>
      </c>
      <c r="BB188" s="9">
        <f t="shared" si="245"/>
        <v>0</v>
      </c>
      <c r="BC188" s="10">
        <f t="shared" si="246"/>
        <v>0</v>
      </c>
      <c r="BD188" s="11"/>
      <c r="BF188" s="7"/>
      <c r="BG188" s="34"/>
      <c r="BH188" s="9" t="str">
        <f t="shared" si="225"/>
        <v/>
      </c>
      <c r="BI188" s="9"/>
      <c r="BJ188" s="9"/>
      <c r="BK188" s="9"/>
      <c r="BL188" s="9" t="str">
        <f t="shared" si="226"/>
        <v/>
      </c>
      <c r="BM188" s="9"/>
      <c r="BN188" s="126" t="str">
        <f t="shared" si="171"/>
        <v/>
      </c>
      <c r="BO188" s="9"/>
      <c r="BP188" s="9" t="str">
        <f t="shared" si="211"/>
        <v/>
      </c>
      <c r="BQ188" s="10" t="str">
        <f t="shared" si="212"/>
        <v/>
      </c>
      <c r="BR188" s="11"/>
    </row>
    <row r="189" spans="1:70" ht="15" customHeight="1" x14ac:dyDescent="0.2">
      <c r="A189" s="72"/>
      <c r="B189" s="8"/>
      <c r="C189" s="23">
        <v>18348</v>
      </c>
      <c r="D189" s="9">
        <f t="shared" si="208"/>
        <v>3</v>
      </c>
      <c r="E189" s="9">
        <v>628</v>
      </c>
      <c r="F189" s="9">
        <f t="shared" si="209"/>
        <v>0</v>
      </c>
      <c r="G189" s="23">
        <v>7</v>
      </c>
      <c r="H189" s="9">
        <f t="shared" si="213"/>
        <v>0</v>
      </c>
      <c r="I189" s="30">
        <v>0</v>
      </c>
      <c r="J189" s="113" t="str">
        <f t="shared" si="227"/>
        <v>キティ着物マスコット</v>
      </c>
      <c r="K189" s="9">
        <f t="shared" si="217"/>
        <v>1100</v>
      </c>
      <c r="L189" s="9">
        <f t="shared" si="218"/>
        <v>0</v>
      </c>
      <c r="M189" s="10">
        <f t="shared" si="219"/>
        <v>0</v>
      </c>
      <c r="N189" s="11"/>
      <c r="P189" s="72"/>
      <c r="Q189" s="23">
        <v>15370</v>
      </c>
      <c r="R189" s="9">
        <f t="shared" si="228"/>
        <v>14</v>
      </c>
      <c r="S189" s="9">
        <v>976</v>
      </c>
      <c r="T189" s="9">
        <f t="shared" si="229"/>
        <v>0</v>
      </c>
      <c r="U189" s="23">
        <v>23</v>
      </c>
      <c r="V189" s="9">
        <f t="shared" si="230"/>
        <v>0</v>
      </c>
      <c r="W189" s="30">
        <v>0</v>
      </c>
      <c r="X189" s="113" t="str">
        <f t="shared" si="231"/>
        <v>ボンボンドロップシール</v>
      </c>
      <c r="Y189" s="9">
        <f t="shared" si="232"/>
        <v>200</v>
      </c>
      <c r="Z189" s="9">
        <f t="shared" si="233"/>
        <v>0</v>
      </c>
      <c r="AA189" s="10">
        <f t="shared" si="234"/>
        <v>0</v>
      </c>
      <c r="AB189" s="11"/>
      <c r="AD189" s="72"/>
      <c r="AE189" s="23">
        <v>15139</v>
      </c>
      <c r="AF189" s="9">
        <f t="shared" si="235"/>
        <v>10</v>
      </c>
      <c r="AG189" s="9">
        <v>2409</v>
      </c>
      <c r="AH189" s="9">
        <f t="shared" si="236"/>
        <v>0</v>
      </c>
      <c r="AI189" s="23">
        <v>8</v>
      </c>
      <c r="AJ189" s="9">
        <f t="shared" si="237"/>
        <v>0</v>
      </c>
      <c r="AK189" s="30"/>
      <c r="AL189" s="113" t="str">
        <f t="shared" si="238"/>
        <v>サンリオスカーフ付きリュック</v>
      </c>
      <c r="AM189" s="9">
        <f t="shared" si="239"/>
        <v>600</v>
      </c>
      <c r="AN189" s="9">
        <f t="shared" si="240"/>
        <v>0</v>
      </c>
      <c r="AO189" s="10">
        <f t="shared" si="241"/>
        <v>0</v>
      </c>
      <c r="AP189" s="11"/>
      <c r="AR189" s="72"/>
      <c r="AS189" s="23">
        <v>13189</v>
      </c>
      <c r="AT189" s="9">
        <f t="shared" si="242"/>
        <v>13</v>
      </c>
      <c r="AU189" s="9">
        <v>771</v>
      </c>
      <c r="AV189" s="9">
        <f t="shared" si="243"/>
        <v>0</v>
      </c>
      <c r="AW189" s="23">
        <v>54</v>
      </c>
      <c r="AX189" s="9">
        <f t="shared" si="244"/>
        <v>0</v>
      </c>
      <c r="AY189" s="30"/>
      <c r="AZ189" s="113" t="str">
        <f t="shared" si="247"/>
        <v>ふわもちミニスクイーズ</v>
      </c>
      <c r="BA189" s="9">
        <f t="shared" si="248"/>
        <v>99</v>
      </c>
      <c r="BB189" s="9">
        <f t="shared" si="245"/>
        <v>0</v>
      </c>
      <c r="BC189" s="10">
        <f t="shared" si="246"/>
        <v>0</v>
      </c>
      <c r="BD189" s="11" t="s">
        <v>214</v>
      </c>
      <c r="BF189" s="7"/>
      <c r="BG189" s="34"/>
      <c r="BH189" s="9" t="str">
        <f t="shared" si="225"/>
        <v/>
      </c>
      <c r="BI189" s="9"/>
      <c r="BJ189" s="9"/>
      <c r="BK189" s="9"/>
      <c r="BL189" s="9" t="str">
        <f t="shared" si="226"/>
        <v/>
      </c>
      <c r="BM189" s="9"/>
      <c r="BN189" s="126" t="str">
        <f t="shared" si="171"/>
        <v/>
      </c>
      <c r="BO189" s="9"/>
      <c r="BP189" s="9" t="str">
        <f t="shared" si="211"/>
        <v/>
      </c>
      <c r="BQ189" s="10" t="str">
        <f t="shared" si="212"/>
        <v/>
      </c>
      <c r="BR189" s="11"/>
    </row>
    <row r="190" spans="1:70" ht="15" customHeight="1" thickBot="1" x14ac:dyDescent="0.25">
      <c r="A190" s="75"/>
      <c r="B190" s="62"/>
      <c r="C190" s="17">
        <v>13449</v>
      </c>
      <c r="D190" s="37">
        <f t="shared" si="208"/>
        <v>45</v>
      </c>
      <c r="E190" s="17">
        <v>1243</v>
      </c>
      <c r="F190" s="17">
        <f t="shared" si="209"/>
        <v>0</v>
      </c>
      <c r="G190" s="17">
        <v>14</v>
      </c>
      <c r="H190" s="17">
        <f t="shared" si="213"/>
        <v>0</v>
      </c>
      <c r="I190" s="29">
        <v>0</v>
      </c>
      <c r="J190" s="114" t="str">
        <f t="shared" si="227"/>
        <v>バタースクイーズ</v>
      </c>
      <c r="K190" s="37">
        <f t="shared" si="217"/>
        <v>1100</v>
      </c>
      <c r="L190" s="17">
        <f t="shared" si="218"/>
        <v>0</v>
      </c>
      <c r="M190" s="18">
        <f t="shared" si="219"/>
        <v>0</v>
      </c>
      <c r="N190" s="11"/>
      <c r="P190" s="75"/>
      <c r="Q190" s="17">
        <v>13074</v>
      </c>
      <c r="R190" s="37">
        <f t="shared" si="228"/>
        <v>53</v>
      </c>
      <c r="S190" s="17">
        <v>1086</v>
      </c>
      <c r="T190" s="17">
        <f t="shared" si="229"/>
        <v>1</v>
      </c>
      <c r="U190" s="17">
        <v>1</v>
      </c>
      <c r="V190" s="17">
        <f t="shared" si="230"/>
        <v>2</v>
      </c>
      <c r="W190" s="29">
        <v>6</v>
      </c>
      <c r="X190" s="114" t="str">
        <f t="shared" si="231"/>
        <v>たまごっちブロックシール</v>
      </c>
      <c r="Y190" s="37">
        <f t="shared" si="232"/>
        <v>648</v>
      </c>
      <c r="Z190" s="17">
        <f t="shared" si="233"/>
        <v>1296</v>
      </c>
      <c r="AA190" s="18">
        <f t="shared" si="234"/>
        <v>0.24452830188679245</v>
      </c>
      <c r="AB190" s="11" t="s">
        <v>211</v>
      </c>
      <c r="AD190" s="75"/>
      <c r="AE190" s="17">
        <v>15499</v>
      </c>
      <c r="AF190" s="37">
        <f t="shared" si="235"/>
        <v>42</v>
      </c>
      <c r="AG190" s="17">
        <v>1554</v>
      </c>
      <c r="AH190" s="17">
        <f t="shared" si="236"/>
        <v>1</v>
      </c>
      <c r="AI190" s="17">
        <v>15</v>
      </c>
      <c r="AJ190" s="17">
        <f t="shared" si="237"/>
        <v>1</v>
      </c>
      <c r="AK190" s="29">
        <v>0</v>
      </c>
      <c r="AL190" s="114" t="str">
        <f t="shared" si="238"/>
        <v>しばこ</v>
      </c>
      <c r="AM190" s="37">
        <f t="shared" si="239"/>
        <v>350</v>
      </c>
      <c r="AN190" s="17">
        <f t="shared" si="240"/>
        <v>350</v>
      </c>
      <c r="AO190" s="18">
        <f t="shared" si="241"/>
        <v>8.3333333333333329E-2</v>
      </c>
      <c r="AP190" s="11"/>
      <c r="AR190" s="75"/>
      <c r="AS190" s="17">
        <v>11056</v>
      </c>
      <c r="AT190" s="37">
        <f t="shared" si="242"/>
        <v>7</v>
      </c>
      <c r="AU190" s="17">
        <v>812</v>
      </c>
      <c r="AV190" s="17">
        <f t="shared" si="243"/>
        <v>0</v>
      </c>
      <c r="AW190" s="17">
        <v>3</v>
      </c>
      <c r="AX190" s="17">
        <f t="shared" si="244"/>
        <v>2</v>
      </c>
      <c r="AY190" s="29">
        <v>7</v>
      </c>
      <c r="AZ190" s="114" t="str">
        <f t="shared" si="247"/>
        <v>シールバインダー</v>
      </c>
      <c r="BA190" s="37">
        <f t="shared" si="248"/>
        <v>330</v>
      </c>
      <c r="BB190" s="17">
        <f t="shared" si="245"/>
        <v>660</v>
      </c>
      <c r="BC190" s="18">
        <f t="shared" si="246"/>
        <v>0.94285714285714284</v>
      </c>
      <c r="BD190" s="11" t="s">
        <v>213</v>
      </c>
      <c r="BF190" s="7"/>
      <c r="BG190" s="34"/>
      <c r="BH190" s="9" t="str">
        <f t="shared" si="225"/>
        <v/>
      </c>
      <c r="BI190" s="9"/>
      <c r="BJ190" s="9"/>
      <c r="BK190" s="9"/>
      <c r="BL190" s="9" t="str">
        <f t="shared" si="226"/>
        <v/>
      </c>
      <c r="BM190" s="9"/>
      <c r="BN190" s="126" t="str">
        <f t="shared" si="171"/>
        <v/>
      </c>
      <c r="BO190" s="9"/>
      <c r="BP190" s="9" t="str">
        <f t="shared" si="211"/>
        <v/>
      </c>
      <c r="BQ190" s="10" t="str">
        <f t="shared" si="212"/>
        <v/>
      </c>
      <c r="BR190" s="11"/>
    </row>
    <row r="191" spans="1:70" ht="15" customHeight="1" thickTop="1" x14ac:dyDescent="0.2">
      <c r="A191" s="71"/>
      <c r="B191" s="61"/>
      <c r="C191" s="33"/>
      <c r="D191" s="33"/>
      <c r="E191" s="33"/>
      <c r="F191" s="20"/>
      <c r="G191" s="33"/>
      <c r="H191" s="33"/>
      <c r="I191" s="43"/>
      <c r="J191" s="112"/>
      <c r="K191" s="40"/>
      <c r="L191" s="20"/>
      <c r="M191" s="21"/>
      <c r="N191" s="11"/>
      <c r="P191" s="76"/>
      <c r="Q191" s="33"/>
      <c r="R191" s="33"/>
      <c r="S191" s="33"/>
      <c r="T191" s="20"/>
      <c r="U191" s="33"/>
      <c r="V191" s="33"/>
      <c r="W191" s="43"/>
      <c r="X191" s="112"/>
      <c r="Y191" s="40"/>
      <c r="Z191" s="20"/>
      <c r="AA191" s="21"/>
      <c r="AB191" s="11"/>
      <c r="AD191" s="76"/>
      <c r="AE191" s="33"/>
      <c r="AF191" s="33"/>
      <c r="AG191" s="33"/>
      <c r="AH191" s="20"/>
      <c r="AI191" s="33"/>
      <c r="AJ191" s="33"/>
      <c r="AK191" s="43"/>
      <c r="AL191" s="112"/>
      <c r="AM191" s="40"/>
      <c r="AN191" s="20"/>
      <c r="AO191" s="21"/>
      <c r="AP191" s="11"/>
      <c r="AR191" s="76"/>
      <c r="AS191" s="33"/>
      <c r="AT191" s="33"/>
      <c r="AU191" s="33"/>
      <c r="AV191" s="20"/>
      <c r="AW191" s="33"/>
      <c r="AX191" s="33"/>
      <c r="AY191" s="43"/>
      <c r="AZ191" s="112"/>
      <c r="BA191" s="40"/>
      <c r="BB191" s="20"/>
      <c r="BC191" s="21"/>
      <c r="BD191" s="11"/>
      <c r="BF191" s="7"/>
      <c r="BG191" s="34"/>
      <c r="BH191" s="9" t="str">
        <f t="shared" si="225"/>
        <v/>
      </c>
      <c r="BI191" s="9"/>
      <c r="BJ191" s="9"/>
      <c r="BK191" s="9"/>
      <c r="BL191" s="9" t="str">
        <f t="shared" si="226"/>
        <v/>
      </c>
      <c r="BM191" s="9"/>
      <c r="BN191" s="127"/>
      <c r="BO191" s="9"/>
      <c r="BP191" s="9" t="str">
        <f t="shared" si="211"/>
        <v/>
      </c>
      <c r="BQ191" s="10" t="str">
        <f t="shared" si="212"/>
        <v/>
      </c>
      <c r="BR191" s="11"/>
    </row>
    <row r="192" spans="1:70" ht="15" customHeight="1" x14ac:dyDescent="0.2">
      <c r="A192" s="72"/>
      <c r="B192" s="8"/>
      <c r="C192" s="33"/>
      <c r="D192" s="9"/>
      <c r="E192" s="9"/>
      <c r="F192" s="9"/>
      <c r="G192" s="9"/>
      <c r="H192" s="9"/>
      <c r="I192" s="13"/>
      <c r="J192" s="113"/>
      <c r="K192" s="34"/>
      <c r="L192" s="9"/>
      <c r="M192" s="10"/>
      <c r="N192" s="11"/>
      <c r="P192" s="72"/>
      <c r="Q192" s="33"/>
      <c r="R192" s="9"/>
      <c r="S192" s="9"/>
      <c r="T192" s="9"/>
      <c r="U192" s="9"/>
      <c r="V192" s="9"/>
      <c r="W192" s="13"/>
      <c r="X192" s="113"/>
      <c r="Y192" s="34"/>
      <c r="Z192" s="9"/>
      <c r="AA192" s="10"/>
      <c r="AB192" s="11"/>
      <c r="AD192" s="72"/>
      <c r="AE192" s="33"/>
      <c r="AF192" s="9"/>
      <c r="AG192" s="9"/>
      <c r="AH192" s="9"/>
      <c r="AI192" s="9"/>
      <c r="AJ192" s="9"/>
      <c r="AK192" s="13"/>
      <c r="AL192" s="113"/>
      <c r="AM192" s="34"/>
      <c r="AN192" s="9"/>
      <c r="AO192" s="10"/>
      <c r="AP192" s="11"/>
      <c r="AR192" s="72"/>
      <c r="AS192" s="33"/>
      <c r="AT192" s="9"/>
      <c r="AU192" s="9"/>
      <c r="AV192" s="9"/>
      <c r="AW192" s="9"/>
      <c r="AX192" s="9"/>
      <c r="AY192" s="13"/>
      <c r="AZ192" s="113"/>
      <c r="BA192" s="34"/>
      <c r="BB192" s="9"/>
      <c r="BC192" s="10"/>
      <c r="BD192" s="11"/>
      <c r="BF192" s="7"/>
      <c r="BG192" s="34"/>
      <c r="BH192" s="9" t="str">
        <f t="shared" si="225"/>
        <v/>
      </c>
      <c r="BI192" s="9"/>
      <c r="BJ192" s="9"/>
      <c r="BK192" s="9"/>
      <c r="BL192" s="9" t="str">
        <f t="shared" si="226"/>
        <v/>
      </c>
      <c r="BM192" s="9"/>
      <c r="BN192" s="127"/>
      <c r="BO192" s="9"/>
      <c r="BP192" s="9" t="str">
        <f t="shared" si="211"/>
        <v/>
      </c>
      <c r="BQ192" s="10" t="str">
        <f t="shared" si="212"/>
        <v/>
      </c>
      <c r="BR192" s="11"/>
    </row>
    <row r="193" spans="1:70" ht="15" customHeight="1" x14ac:dyDescent="0.2">
      <c r="A193" s="72"/>
      <c r="B193" s="8"/>
      <c r="C193" s="38"/>
      <c r="D193" s="9"/>
      <c r="E193" s="9"/>
      <c r="F193" s="9"/>
      <c r="G193" s="9"/>
      <c r="H193" s="9"/>
      <c r="I193" s="13"/>
      <c r="J193" s="113"/>
      <c r="K193" s="9"/>
      <c r="L193" s="9"/>
      <c r="M193" s="10"/>
      <c r="N193" s="11"/>
      <c r="P193" s="72"/>
      <c r="Q193" s="38"/>
      <c r="R193" s="9"/>
      <c r="S193" s="9"/>
      <c r="T193" s="9"/>
      <c r="U193" s="9"/>
      <c r="V193" s="9"/>
      <c r="W193" s="13"/>
      <c r="X193" s="113"/>
      <c r="Y193" s="9"/>
      <c r="Z193" s="9"/>
      <c r="AA193" s="10"/>
      <c r="AB193" s="11"/>
      <c r="AD193" s="72"/>
      <c r="AE193" s="38"/>
      <c r="AF193" s="9"/>
      <c r="AG193" s="9"/>
      <c r="AH193" s="9"/>
      <c r="AI193" s="9"/>
      <c r="AJ193" s="9"/>
      <c r="AK193" s="13"/>
      <c r="AL193" s="113"/>
      <c r="AM193" s="9"/>
      <c r="AN193" s="9"/>
      <c r="AO193" s="10"/>
      <c r="AP193" s="11"/>
      <c r="AR193" s="72"/>
      <c r="AS193" s="38"/>
      <c r="AT193" s="9"/>
      <c r="AU193" s="9"/>
      <c r="AV193" s="9"/>
      <c r="AW193" s="9"/>
      <c r="AX193" s="9"/>
      <c r="AY193" s="13"/>
      <c r="AZ193" s="113"/>
      <c r="BA193" s="9"/>
      <c r="BB193" s="9"/>
      <c r="BC193" s="10"/>
      <c r="BD193" s="11"/>
      <c r="BF193" s="7"/>
      <c r="BG193" s="34"/>
      <c r="BH193" s="9" t="str">
        <f t="shared" si="225"/>
        <v/>
      </c>
      <c r="BI193" s="9"/>
      <c r="BJ193" s="9"/>
      <c r="BK193" s="9"/>
      <c r="BL193" s="9" t="str">
        <f t="shared" si="226"/>
        <v/>
      </c>
      <c r="BM193" s="9"/>
      <c r="BN193" s="127"/>
      <c r="BO193" s="9"/>
      <c r="BP193" s="9" t="str">
        <f t="shared" si="211"/>
        <v/>
      </c>
      <c r="BQ193" s="10" t="str">
        <f t="shared" si="212"/>
        <v/>
      </c>
      <c r="BR193" s="11"/>
    </row>
    <row r="194" spans="1:70" ht="15" customHeight="1" thickBot="1" x14ac:dyDescent="0.25">
      <c r="A194" s="75"/>
      <c r="B194" s="62"/>
      <c r="C194" s="36"/>
      <c r="D194" s="37"/>
      <c r="E194" s="17"/>
      <c r="F194" s="17"/>
      <c r="G194" s="17"/>
      <c r="H194" s="17"/>
      <c r="I194" s="29"/>
      <c r="J194" s="114"/>
      <c r="K194" s="37"/>
      <c r="L194" s="17"/>
      <c r="M194" s="18"/>
      <c r="N194" s="11"/>
      <c r="P194" s="75"/>
      <c r="Q194" s="36"/>
      <c r="R194" s="37"/>
      <c r="S194" s="17"/>
      <c r="T194" s="17"/>
      <c r="U194" s="17"/>
      <c r="V194" s="17"/>
      <c r="W194" s="29"/>
      <c r="X194" s="114"/>
      <c r="Y194" s="37"/>
      <c r="Z194" s="17"/>
      <c r="AA194" s="18"/>
      <c r="AB194" s="11"/>
      <c r="AD194" s="75"/>
      <c r="AE194" s="36"/>
      <c r="AF194" s="37"/>
      <c r="AG194" s="17"/>
      <c r="AH194" s="17"/>
      <c r="AI194" s="17"/>
      <c r="AJ194" s="17"/>
      <c r="AK194" s="29"/>
      <c r="AL194" s="114"/>
      <c r="AM194" s="37"/>
      <c r="AN194" s="17"/>
      <c r="AO194" s="18"/>
      <c r="AP194" s="11"/>
      <c r="AR194" s="75"/>
      <c r="AS194" s="36"/>
      <c r="AT194" s="37"/>
      <c r="AU194" s="17"/>
      <c r="AV194" s="17"/>
      <c r="AW194" s="17"/>
      <c r="AX194" s="17"/>
      <c r="AY194" s="29"/>
      <c r="AZ194" s="114"/>
      <c r="BA194" s="37"/>
      <c r="BB194" s="17"/>
      <c r="BC194" s="18"/>
      <c r="BD194" s="11"/>
      <c r="BF194" s="7"/>
      <c r="BG194" s="34"/>
      <c r="BH194" s="9" t="str">
        <f t="shared" si="225"/>
        <v/>
      </c>
      <c r="BI194" s="9"/>
      <c r="BJ194" s="9"/>
      <c r="BK194" s="9"/>
      <c r="BL194" s="9" t="str">
        <f t="shared" si="226"/>
        <v/>
      </c>
      <c r="BM194" s="9"/>
      <c r="BN194" s="127"/>
      <c r="BO194" s="9"/>
      <c r="BP194" s="9" t="str">
        <f t="shared" si="211"/>
        <v/>
      </c>
      <c r="BQ194" s="10" t="str">
        <f t="shared" si="212"/>
        <v/>
      </c>
      <c r="BR194" s="11"/>
    </row>
    <row r="195" spans="1:70" ht="15" customHeight="1" thickTop="1" x14ac:dyDescent="0.2">
      <c r="A195" s="71"/>
      <c r="B195" s="61">
        <f>SUM(D195:D198)+SUM(R195:R198)+SUM(AF195:AF198)+SUM(AT195:AT198)+SUM(BH162)</f>
        <v>0</v>
      </c>
      <c r="C195" s="33"/>
      <c r="D195" s="33" t="str">
        <f t="shared" si="208"/>
        <v/>
      </c>
      <c r="E195" s="33"/>
      <c r="F195" s="20" t="str">
        <f t="shared" si="209"/>
        <v/>
      </c>
      <c r="G195" s="33"/>
      <c r="H195" s="33" t="str">
        <f t="shared" si="213"/>
        <v/>
      </c>
      <c r="I195" s="13"/>
      <c r="J195" s="112" t="str">
        <f t="shared" si="227"/>
        <v/>
      </c>
      <c r="K195" s="40" t="str">
        <f t="shared" si="217"/>
        <v/>
      </c>
      <c r="L195" s="20" t="str">
        <f t="shared" si="218"/>
        <v/>
      </c>
      <c r="M195" s="21" t="str">
        <f t="shared" si="219"/>
        <v/>
      </c>
      <c r="N195" s="11"/>
      <c r="P195" s="76" t="str">
        <f>IF($A$417="","",$A$417)</f>
        <v/>
      </c>
      <c r="Q195" s="33"/>
      <c r="R195" s="33" t="str">
        <f t="shared" si="228"/>
        <v/>
      </c>
      <c r="S195" s="33"/>
      <c r="T195" s="20" t="str">
        <f t="shared" si="229"/>
        <v/>
      </c>
      <c r="U195" s="33"/>
      <c r="V195" s="33" t="str">
        <f t="shared" si="230"/>
        <v/>
      </c>
      <c r="W195" s="13"/>
      <c r="X195" s="112" t="str">
        <f t="shared" si="231"/>
        <v/>
      </c>
      <c r="Y195" s="40" t="str">
        <f t="shared" si="232"/>
        <v/>
      </c>
      <c r="Z195" s="20" t="str">
        <f t="shared" si="233"/>
        <v/>
      </c>
      <c r="AA195" s="21" t="str">
        <f t="shared" si="234"/>
        <v/>
      </c>
      <c r="AB195" s="11"/>
      <c r="AD195" s="76" t="str">
        <f>IF($A$417="","",$A$417)</f>
        <v/>
      </c>
      <c r="AE195" s="33"/>
      <c r="AF195" s="33" t="str">
        <f t="shared" si="235"/>
        <v/>
      </c>
      <c r="AG195" s="33"/>
      <c r="AH195" s="20" t="str">
        <f t="shared" si="236"/>
        <v/>
      </c>
      <c r="AI195" s="33"/>
      <c r="AJ195" s="33" t="str">
        <f t="shared" si="237"/>
        <v/>
      </c>
      <c r="AK195" s="13"/>
      <c r="AL195" s="112" t="str">
        <f t="shared" si="238"/>
        <v/>
      </c>
      <c r="AM195" s="40" t="str">
        <f t="shared" si="239"/>
        <v/>
      </c>
      <c r="AN195" s="20" t="str">
        <f t="shared" si="240"/>
        <v/>
      </c>
      <c r="AO195" s="21" t="str">
        <f t="shared" si="241"/>
        <v/>
      </c>
      <c r="AP195" s="11"/>
      <c r="AR195" s="76" t="str">
        <f>IF($A$417="","",$A$417)</f>
        <v/>
      </c>
      <c r="AS195" s="33"/>
      <c r="AT195" s="33" t="str">
        <f t="shared" si="242"/>
        <v/>
      </c>
      <c r="AU195" s="33"/>
      <c r="AV195" s="20" t="str">
        <f t="shared" si="243"/>
        <v/>
      </c>
      <c r="AW195" s="33"/>
      <c r="AX195" s="33" t="str">
        <f t="shared" si="244"/>
        <v/>
      </c>
      <c r="AY195" s="13"/>
      <c r="AZ195" s="112" t="str">
        <f t="shared" si="247"/>
        <v/>
      </c>
      <c r="BA195" s="40" t="str">
        <f t="shared" si="248"/>
        <v/>
      </c>
      <c r="BB195" s="20" t="str">
        <f t="shared" si="245"/>
        <v/>
      </c>
      <c r="BC195" s="21" t="str">
        <f t="shared" si="246"/>
        <v/>
      </c>
      <c r="BD195" s="11"/>
      <c r="BF195" s="7"/>
      <c r="BG195" s="34"/>
      <c r="BH195" s="9" t="str">
        <f t="shared" si="225"/>
        <v/>
      </c>
      <c r="BI195" s="9"/>
      <c r="BJ195" s="9"/>
      <c r="BK195" s="9"/>
      <c r="BL195" s="9" t="str">
        <f t="shared" si="226"/>
        <v/>
      </c>
      <c r="BM195" s="9"/>
      <c r="BN195" s="127"/>
      <c r="BO195" s="9"/>
      <c r="BP195" s="9" t="str">
        <f t="shared" si="211"/>
        <v/>
      </c>
      <c r="BQ195" s="10" t="str">
        <f t="shared" si="212"/>
        <v/>
      </c>
      <c r="BR195" s="11"/>
    </row>
    <row r="196" spans="1:70" ht="15" customHeight="1" x14ac:dyDescent="0.2">
      <c r="A196" s="72"/>
      <c r="B196" s="8"/>
      <c r="C196" s="9"/>
      <c r="D196" s="9" t="str">
        <f t="shared" si="208"/>
        <v/>
      </c>
      <c r="E196" s="9"/>
      <c r="F196" s="9" t="str">
        <f t="shared" si="209"/>
        <v/>
      </c>
      <c r="G196" s="9"/>
      <c r="H196" s="9" t="str">
        <f t="shared" si="213"/>
        <v/>
      </c>
      <c r="I196" s="13"/>
      <c r="J196" s="113" t="str">
        <f t="shared" si="227"/>
        <v/>
      </c>
      <c r="K196" s="34" t="str">
        <f t="shared" si="217"/>
        <v/>
      </c>
      <c r="L196" s="9" t="str">
        <f t="shared" si="218"/>
        <v/>
      </c>
      <c r="M196" s="10" t="str">
        <f t="shared" si="219"/>
        <v/>
      </c>
      <c r="N196" s="11"/>
      <c r="P196" s="72"/>
      <c r="Q196" s="9"/>
      <c r="R196" s="9" t="str">
        <f t="shared" si="228"/>
        <v/>
      </c>
      <c r="S196" s="9"/>
      <c r="T196" s="9" t="str">
        <f t="shared" si="229"/>
        <v/>
      </c>
      <c r="U196" s="9"/>
      <c r="V196" s="9" t="str">
        <f t="shared" si="230"/>
        <v/>
      </c>
      <c r="W196" s="13"/>
      <c r="X196" s="113" t="str">
        <f t="shared" si="231"/>
        <v/>
      </c>
      <c r="Y196" s="34" t="str">
        <f t="shared" si="232"/>
        <v/>
      </c>
      <c r="Z196" s="9" t="str">
        <f t="shared" si="233"/>
        <v/>
      </c>
      <c r="AA196" s="10" t="str">
        <f t="shared" si="234"/>
        <v/>
      </c>
      <c r="AB196" s="11"/>
      <c r="AD196" s="72"/>
      <c r="AE196" s="9"/>
      <c r="AF196" s="9" t="str">
        <f t="shared" si="235"/>
        <v/>
      </c>
      <c r="AG196" s="9"/>
      <c r="AH196" s="9" t="str">
        <f t="shared" si="236"/>
        <v/>
      </c>
      <c r="AI196" s="9"/>
      <c r="AJ196" s="9" t="str">
        <f t="shared" si="237"/>
        <v/>
      </c>
      <c r="AK196" s="13"/>
      <c r="AL196" s="113" t="str">
        <f t="shared" si="238"/>
        <v/>
      </c>
      <c r="AM196" s="34" t="str">
        <f t="shared" si="239"/>
        <v/>
      </c>
      <c r="AN196" s="9" t="str">
        <f t="shared" si="240"/>
        <v/>
      </c>
      <c r="AO196" s="10" t="str">
        <f t="shared" si="241"/>
        <v/>
      </c>
      <c r="AP196" s="11"/>
      <c r="AR196" s="72"/>
      <c r="AS196" s="9"/>
      <c r="AT196" s="9" t="str">
        <f t="shared" si="242"/>
        <v/>
      </c>
      <c r="AU196" s="9"/>
      <c r="AV196" s="9" t="str">
        <f t="shared" si="243"/>
        <v/>
      </c>
      <c r="AW196" s="9"/>
      <c r="AX196" s="9" t="str">
        <f t="shared" si="244"/>
        <v/>
      </c>
      <c r="AY196" s="13"/>
      <c r="AZ196" s="113" t="str">
        <f t="shared" si="247"/>
        <v/>
      </c>
      <c r="BA196" s="34" t="str">
        <f t="shared" si="248"/>
        <v/>
      </c>
      <c r="BB196" s="9" t="str">
        <f t="shared" si="245"/>
        <v/>
      </c>
      <c r="BC196" s="10" t="str">
        <f t="shared" si="246"/>
        <v/>
      </c>
      <c r="BD196" s="11"/>
      <c r="BF196" s="7"/>
      <c r="BG196" s="34"/>
      <c r="BH196" s="9" t="str">
        <f t="shared" si="225"/>
        <v/>
      </c>
      <c r="BI196" s="9"/>
      <c r="BJ196" s="9"/>
      <c r="BK196" s="9"/>
      <c r="BL196" s="9" t="str">
        <f t="shared" si="226"/>
        <v/>
      </c>
      <c r="BM196" s="9"/>
      <c r="BN196" s="127"/>
      <c r="BO196" s="9"/>
      <c r="BP196" s="9" t="str">
        <f t="shared" si="211"/>
        <v/>
      </c>
      <c r="BQ196" s="10" t="str">
        <f t="shared" si="212"/>
        <v/>
      </c>
      <c r="BR196" s="11"/>
    </row>
    <row r="197" spans="1:70" ht="15" customHeight="1" x14ac:dyDescent="0.2">
      <c r="A197" s="72"/>
      <c r="B197" s="8"/>
      <c r="C197" s="23"/>
      <c r="D197" s="9" t="str">
        <f t="shared" si="208"/>
        <v/>
      </c>
      <c r="E197" s="9"/>
      <c r="F197" s="9" t="str">
        <f>IF(E197="","",E197-E193)</f>
        <v/>
      </c>
      <c r="G197" s="23"/>
      <c r="H197" s="9" t="str">
        <f t="shared" si="213"/>
        <v/>
      </c>
      <c r="I197" s="30"/>
      <c r="J197" s="113" t="str">
        <f t="shared" si="227"/>
        <v/>
      </c>
      <c r="K197" s="9" t="str">
        <f t="shared" si="217"/>
        <v/>
      </c>
      <c r="L197" s="9" t="str">
        <f t="shared" si="218"/>
        <v/>
      </c>
      <c r="M197" s="10" t="str">
        <f t="shared" si="219"/>
        <v/>
      </c>
      <c r="N197" s="11"/>
      <c r="P197" s="12"/>
      <c r="Q197" s="23"/>
      <c r="R197" s="9" t="str">
        <f t="shared" si="228"/>
        <v/>
      </c>
      <c r="S197" s="9"/>
      <c r="T197" s="9" t="str">
        <f t="shared" si="229"/>
        <v/>
      </c>
      <c r="U197" s="23"/>
      <c r="V197" s="9" t="str">
        <f t="shared" si="230"/>
        <v/>
      </c>
      <c r="W197" s="13"/>
      <c r="X197" s="113" t="str">
        <f t="shared" si="231"/>
        <v/>
      </c>
      <c r="Y197" s="9" t="str">
        <f t="shared" si="232"/>
        <v/>
      </c>
      <c r="Z197" s="9" t="str">
        <f t="shared" si="233"/>
        <v/>
      </c>
      <c r="AA197" s="10" t="str">
        <f t="shared" si="234"/>
        <v/>
      </c>
      <c r="AB197" s="11"/>
      <c r="AD197" s="12"/>
      <c r="AE197" s="23"/>
      <c r="AF197" s="9" t="str">
        <f t="shared" si="235"/>
        <v/>
      </c>
      <c r="AG197" s="9"/>
      <c r="AH197" s="9" t="str">
        <f t="shared" si="236"/>
        <v/>
      </c>
      <c r="AI197" s="23"/>
      <c r="AJ197" s="9" t="str">
        <f t="shared" si="237"/>
        <v/>
      </c>
      <c r="AK197" s="13"/>
      <c r="AL197" s="113" t="str">
        <f t="shared" si="238"/>
        <v/>
      </c>
      <c r="AM197" s="9" t="str">
        <f t="shared" si="239"/>
        <v/>
      </c>
      <c r="AN197" s="9" t="str">
        <f t="shared" si="240"/>
        <v/>
      </c>
      <c r="AO197" s="10" t="str">
        <f t="shared" si="241"/>
        <v/>
      </c>
      <c r="AP197" s="11"/>
      <c r="AR197" s="12"/>
      <c r="AS197" s="23"/>
      <c r="AT197" s="9" t="str">
        <f t="shared" si="242"/>
        <v/>
      </c>
      <c r="AU197" s="9"/>
      <c r="AV197" s="9" t="str">
        <f t="shared" si="243"/>
        <v/>
      </c>
      <c r="AW197" s="23"/>
      <c r="AX197" s="9" t="str">
        <f t="shared" si="244"/>
        <v/>
      </c>
      <c r="AY197" s="13"/>
      <c r="AZ197" s="113" t="str">
        <f t="shared" si="247"/>
        <v/>
      </c>
      <c r="BA197" s="9" t="str">
        <f t="shared" si="248"/>
        <v/>
      </c>
      <c r="BB197" s="9" t="str">
        <f t="shared" si="245"/>
        <v/>
      </c>
      <c r="BC197" s="10" t="str">
        <f t="shared" si="246"/>
        <v/>
      </c>
      <c r="BD197" s="11"/>
      <c r="BF197" s="7"/>
      <c r="BG197" s="34"/>
      <c r="BH197" s="9" t="str">
        <f t="shared" si="225"/>
        <v/>
      </c>
      <c r="BI197" s="9"/>
      <c r="BJ197" s="9"/>
      <c r="BK197" s="9"/>
      <c r="BL197" s="9" t="str">
        <f t="shared" si="226"/>
        <v/>
      </c>
      <c r="BM197" s="9"/>
      <c r="BN197" s="127"/>
      <c r="BO197" s="9"/>
      <c r="BP197" s="9" t="str">
        <f t="shared" si="211"/>
        <v/>
      </c>
      <c r="BQ197" s="10" t="str">
        <f t="shared" si="212"/>
        <v/>
      </c>
      <c r="BR197" s="11"/>
    </row>
    <row r="198" spans="1:70" ht="15" customHeight="1" thickBot="1" x14ac:dyDescent="0.25">
      <c r="A198" s="75"/>
      <c r="B198" s="67"/>
      <c r="C198" s="17"/>
      <c r="D198" s="37" t="str">
        <f t="shared" si="208"/>
        <v/>
      </c>
      <c r="E198" s="17"/>
      <c r="F198" s="17" t="str">
        <f t="shared" si="209"/>
        <v/>
      </c>
      <c r="G198" s="84"/>
      <c r="H198" s="19" t="str">
        <f t="shared" si="213"/>
        <v/>
      </c>
      <c r="I198" s="85"/>
      <c r="J198" s="115" t="str">
        <f t="shared" si="227"/>
        <v/>
      </c>
      <c r="K198" s="37" t="str">
        <f t="shared" si="217"/>
        <v/>
      </c>
      <c r="L198" s="17" t="str">
        <f t="shared" si="218"/>
        <v/>
      </c>
      <c r="M198" s="18" t="str">
        <f t="shared" si="219"/>
        <v/>
      </c>
      <c r="N198" s="11"/>
      <c r="P198" s="16"/>
      <c r="Q198" s="17"/>
      <c r="R198" s="37" t="str">
        <f t="shared" si="228"/>
        <v/>
      </c>
      <c r="S198" s="17"/>
      <c r="T198" s="17" t="str">
        <f t="shared" si="229"/>
        <v/>
      </c>
      <c r="U198" s="84"/>
      <c r="V198" s="17" t="str">
        <f t="shared" si="230"/>
        <v/>
      </c>
      <c r="W198" s="85"/>
      <c r="X198" s="114" t="str">
        <f t="shared" si="231"/>
        <v/>
      </c>
      <c r="Y198" s="37" t="str">
        <f t="shared" si="232"/>
        <v/>
      </c>
      <c r="Z198" s="17" t="str">
        <f t="shared" si="233"/>
        <v/>
      </c>
      <c r="AA198" s="18" t="str">
        <f t="shared" si="234"/>
        <v/>
      </c>
      <c r="AB198" s="11"/>
      <c r="AD198" s="16"/>
      <c r="AE198" s="17"/>
      <c r="AF198" s="37" t="str">
        <f t="shared" si="235"/>
        <v/>
      </c>
      <c r="AG198" s="17"/>
      <c r="AH198" s="17" t="str">
        <f t="shared" si="236"/>
        <v/>
      </c>
      <c r="AI198" s="84"/>
      <c r="AJ198" s="17" t="str">
        <f t="shared" si="237"/>
        <v/>
      </c>
      <c r="AK198" s="85"/>
      <c r="AL198" s="114" t="str">
        <f t="shared" si="238"/>
        <v/>
      </c>
      <c r="AM198" s="37" t="str">
        <f t="shared" si="239"/>
        <v/>
      </c>
      <c r="AN198" s="17" t="str">
        <f t="shared" si="240"/>
        <v/>
      </c>
      <c r="AO198" s="18" t="str">
        <f t="shared" si="241"/>
        <v/>
      </c>
      <c r="AP198" s="11"/>
      <c r="AR198" s="16"/>
      <c r="AS198" s="17"/>
      <c r="AT198" s="37" t="str">
        <f t="shared" si="242"/>
        <v/>
      </c>
      <c r="AU198" s="17"/>
      <c r="AV198" s="17" t="str">
        <f t="shared" si="243"/>
        <v/>
      </c>
      <c r="AW198" s="84"/>
      <c r="AX198" s="17" t="str">
        <f t="shared" si="244"/>
        <v/>
      </c>
      <c r="AY198" s="85"/>
      <c r="AZ198" s="114" t="str">
        <f t="shared" si="247"/>
        <v/>
      </c>
      <c r="BA198" s="37" t="str">
        <f t="shared" si="248"/>
        <v/>
      </c>
      <c r="BB198" s="17" t="str">
        <f t="shared" si="245"/>
        <v/>
      </c>
      <c r="BC198" s="18" t="str">
        <f t="shared" si="246"/>
        <v/>
      </c>
      <c r="BD198" s="11"/>
      <c r="BF198" s="7"/>
      <c r="BG198" s="34"/>
      <c r="BH198" s="9" t="str">
        <f t="shared" si="225"/>
        <v/>
      </c>
      <c r="BI198" s="9"/>
      <c r="BJ198" s="9"/>
      <c r="BK198" s="9"/>
      <c r="BL198" s="9" t="str">
        <f t="shared" si="226"/>
        <v/>
      </c>
      <c r="BM198" s="9"/>
      <c r="BN198" s="127"/>
      <c r="BO198" s="9"/>
      <c r="BP198" s="9" t="str">
        <f t="shared" si="211"/>
        <v/>
      </c>
      <c r="BQ198" s="10" t="str">
        <f t="shared" si="212"/>
        <v/>
      </c>
      <c r="BR198" s="11"/>
    </row>
    <row r="199" spans="1:70" ht="15" customHeight="1" thickTop="1" x14ac:dyDescent="0.2">
      <c r="A199" s="71"/>
      <c r="B199" s="61">
        <f>SUM(D199:D202)+SUM(R199:R202)+SUM(AF199:AF202)+SUM(AT199:AT202)+SUM(BH163)</f>
        <v>0</v>
      </c>
      <c r="C199" s="33"/>
      <c r="D199" s="33" t="str">
        <f t="shared" si="208"/>
        <v/>
      </c>
      <c r="E199" s="33"/>
      <c r="F199" s="20" t="str">
        <f t="shared" si="209"/>
        <v/>
      </c>
      <c r="G199" s="33"/>
      <c r="H199" s="33" t="str">
        <f t="shared" si="213"/>
        <v/>
      </c>
      <c r="I199" s="33"/>
      <c r="J199" s="112" t="str">
        <f t="shared" si="227"/>
        <v/>
      </c>
      <c r="K199" s="40" t="str">
        <f t="shared" si="217"/>
        <v/>
      </c>
      <c r="L199" s="20" t="str">
        <f t="shared" si="218"/>
        <v/>
      </c>
      <c r="M199" s="21" t="str">
        <f t="shared" si="219"/>
        <v/>
      </c>
      <c r="N199" s="11"/>
      <c r="P199" s="47" t="str">
        <f>IF($A$421="","",$A$421)</f>
        <v/>
      </c>
      <c r="Q199" s="33"/>
      <c r="R199" s="33" t="str">
        <f t="shared" si="228"/>
        <v/>
      </c>
      <c r="S199" s="33"/>
      <c r="T199" s="20" t="str">
        <f t="shared" si="229"/>
        <v/>
      </c>
      <c r="U199" s="33"/>
      <c r="V199" s="33" t="str">
        <f t="shared" si="230"/>
        <v/>
      </c>
      <c r="W199" s="33"/>
      <c r="X199" s="112" t="str">
        <f t="shared" si="231"/>
        <v/>
      </c>
      <c r="Y199" s="40" t="str">
        <f t="shared" si="232"/>
        <v/>
      </c>
      <c r="Z199" s="20" t="str">
        <f t="shared" si="233"/>
        <v/>
      </c>
      <c r="AA199" s="21" t="str">
        <f t="shared" si="234"/>
        <v/>
      </c>
      <c r="AB199" s="11"/>
      <c r="AD199" s="47" t="str">
        <f>IF($A$421="","",$A$421)</f>
        <v/>
      </c>
      <c r="AE199" s="33"/>
      <c r="AF199" s="33" t="str">
        <f t="shared" si="235"/>
        <v/>
      </c>
      <c r="AG199" s="33"/>
      <c r="AH199" s="20" t="str">
        <f t="shared" si="236"/>
        <v/>
      </c>
      <c r="AI199" s="33"/>
      <c r="AJ199" s="33" t="str">
        <f t="shared" si="237"/>
        <v/>
      </c>
      <c r="AK199" s="33"/>
      <c r="AL199" s="112" t="str">
        <f t="shared" si="238"/>
        <v/>
      </c>
      <c r="AM199" s="40" t="str">
        <f t="shared" si="239"/>
        <v/>
      </c>
      <c r="AN199" s="20" t="str">
        <f t="shared" si="240"/>
        <v/>
      </c>
      <c r="AO199" s="21" t="str">
        <f t="shared" si="241"/>
        <v/>
      </c>
      <c r="AP199" s="11"/>
      <c r="AR199" s="47" t="str">
        <f>IF($A$421="","",$A$421)</f>
        <v/>
      </c>
      <c r="AS199" s="33"/>
      <c r="AT199" s="33" t="str">
        <f t="shared" si="242"/>
        <v/>
      </c>
      <c r="AU199" s="33"/>
      <c r="AV199" s="20" t="str">
        <f t="shared" si="243"/>
        <v/>
      </c>
      <c r="AW199" s="33"/>
      <c r="AX199" s="33" t="str">
        <f t="shared" si="244"/>
        <v/>
      </c>
      <c r="AY199" s="33"/>
      <c r="AZ199" s="112" t="str">
        <f t="shared" si="247"/>
        <v/>
      </c>
      <c r="BA199" s="40" t="str">
        <f t="shared" si="248"/>
        <v/>
      </c>
      <c r="BB199" s="20" t="str">
        <f t="shared" si="245"/>
        <v/>
      </c>
      <c r="BC199" s="21" t="str">
        <f t="shared" si="246"/>
        <v/>
      </c>
      <c r="BD199" s="11"/>
      <c r="BF199" s="7"/>
      <c r="BG199" s="34"/>
      <c r="BH199" s="9"/>
      <c r="BI199" s="9"/>
      <c r="BJ199" s="9"/>
      <c r="BK199" s="9"/>
      <c r="BL199" s="9"/>
      <c r="BM199" s="9"/>
      <c r="BN199" s="127"/>
      <c r="BO199" s="9"/>
      <c r="BP199" s="9"/>
      <c r="BQ199" s="10"/>
      <c r="BR199" s="11"/>
    </row>
    <row r="200" spans="1:70" ht="15" customHeight="1" x14ac:dyDescent="0.2">
      <c r="A200" s="72"/>
      <c r="B200" s="8"/>
      <c r="C200" s="9"/>
      <c r="D200" s="9" t="str">
        <f t="shared" si="208"/>
        <v/>
      </c>
      <c r="E200" s="9"/>
      <c r="F200" s="9" t="str">
        <f t="shared" si="209"/>
        <v/>
      </c>
      <c r="G200" s="9"/>
      <c r="H200" s="9" t="str">
        <f t="shared" si="213"/>
        <v/>
      </c>
      <c r="I200" s="9"/>
      <c r="J200" s="113" t="str">
        <f t="shared" si="227"/>
        <v/>
      </c>
      <c r="K200" s="34" t="str">
        <f t="shared" si="217"/>
        <v/>
      </c>
      <c r="L200" s="9" t="str">
        <f t="shared" si="218"/>
        <v/>
      </c>
      <c r="M200" s="10" t="str">
        <f t="shared" si="219"/>
        <v/>
      </c>
      <c r="N200" s="11"/>
      <c r="P200" s="12"/>
      <c r="Q200" s="9"/>
      <c r="R200" s="9" t="str">
        <f t="shared" si="228"/>
        <v/>
      </c>
      <c r="S200" s="9"/>
      <c r="T200" s="9" t="str">
        <f t="shared" si="229"/>
        <v/>
      </c>
      <c r="U200" s="9"/>
      <c r="V200" s="9" t="str">
        <f t="shared" si="230"/>
        <v/>
      </c>
      <c r="W200" s="9"/>
      <c r="X200" s="113" t="str">
        <f t="shared" si="231"/>
        <v/>
      </c>
      <c r="Y200" s="34" t="str">
        <f t="shared" si="232"/>
        <v/>
      </c>
      <c r="Z200" s="9" t="str">
        <f t="shared" si="233"/>
        <v/>
      </c>
      <c r="AA200" s="10" t="str">
        <f t="shared" si="234"/>
        <v/>
      </c>
      <c r="AB200" s="11"/>
      <c r="AD200" s="12"/>
      <c r="AE200" s="9"/>
      <c r="AF200" s="9" t="str">
        <f t="shared" si="235"/>
        <v/>
      </c>
      <c r="AG200" s="9"/>
      <c r="AH200" s="9" t="str">
        <f t="shared" si="236"/>
        <v/>
      </c>
      <c r="AI200" s="9"/>
      <c r="AJ200" s="9" t="str">
        <f t="shared" si="237"/>
        <v/>
      </c>
      <c r="AK200" s="9"/>
      <c r="AL200" s="113" t="str">
        <f t="shared" si="238"/>
        <v/>
      </c>
      <c r="AM200" s="34" t="str">
        <f t="shared" si="239"/>
        <v/>
      </c>
      <c r="AN200" s="9" t="str">
        <f t="shared" si="240"/>
        <v/>
      </c>
      <c r="AO200" s="10" t="str">
        <f t="shared" si="241"/>
        <v/>
      </c>
      <c r="AP200" s="11"/>
      <c r="AR200" s="12"/>
      <c r="AS200" s="9"/>
      <c r="AT200" s="9" t="str">
        <f t="shared" si="242"/>
        <v/>
      </c>
      <c r="AU200" s="9"/>
      <c r="AV200" s="9" t="str">
        <f t="shared" si="243"/>
        <v/>
      </c>
      <c r="AW200" s="9"/>
      <c r="AX200" s="9" t="str">
        <f t="shared" si="244"/>
        <v/>
      </c>
      <c r="AY200" s="9"/>
      <c r="AZ200" s="113" t="str">
        <f t="shared" si="247"/>
        <v/>
      </c>
      <c r="BA200" s="34" t="str">
        <f t="shared" si="248"/>
        <v/>
      </c>
      <c r="BB200" s="9" t="str">
        <f t="shared" si="245"/>
        <v/>
      </c>
      <c r="BC200" s="10" t="str">
        <f t="shared" si="246"/>
        <v/>
      </c>
      <c r="BD200" s="11"/>
      <c r="BF200" s="7"/>
      <c r="BG200" s="34"/>
      <c r="BH200" s="9" t="str">
        <f>IF(BG200="","",BG200-#REF!)</f>
        <v/>
      </c>
      <c r="BI200" s="9"/>
      <c r="BJ200" s="9"/>
      <c r="BK200" s="9"/>
      <c r="BL200" s="9" t="str">
        <f>IF(BK200="","",#REF!+#REF!-BK200)</f>
        <v/>
      </c>
      <c r="BM200" s="9"/>
      <c r="BN200" s="127"/>
      <c r="BO200" s="9"/>
      <c r="BP200" s="9" t="str">
        <f>IF(BO200="","",BL200*BO200)</f>
        <v/>
      </c>
      <c r="BQ200" s="10" t="str">
        <f>IF(BP200="","",BP200/(BH200*100))</f>
        <v/>
      </c>
      <c r="BR200" s="11"/>
    </row>
    <row r="201" spans="1:70" ht="15" customHeight="1" x14ac:dyDescent="0.2">
      <c r="A201" s="72"/>
      <c r="B201" s="8"/>
      <c r="C201" s="9"/>
      <c r="D201" s="9" t="str">
        <f t="shared" si="208"/>
        <v/>
      </c>
      <c r="E201" s="9"/>
      <c r="F201" s="9" t="str">
        <f t="shared" si="209"/>
        <v/>
      </c>
      <c r="G201" s="9"/>
      <c r="H201" s="9" t="str">
        <f t="shared" si="213"/>
        <v/>
      </c>
      <c r="I201" s="9"/>
      <c r="J201" s="113" t="str">
        <f t="shared" si="227"/>
        <v/>
      </c>
      <c r="K201" s="9" t="str">
        <f t="shared" si="217"/>
        <v/>
      </c>
      <c r="L201" s="9" t="str">
        <f t="shared" si="218"/>
        <v/>
      </c>
      <c r="M201" s="10" t="str">
        <f t="shared" si="219"/>
        <v/>
      </c>
      <c r="N201" s="11"/>
      <c r="P201" s="12"/>
      <c r="Q201" s="9"/>
      <c r="R201" s="9" t="str">
        <f t="shared" si="228"/>
        <v/>
      </c>
      <c r="S201" s="9"/>
      <c r="T201" s="9" t="str">
        <f t="shared" si="229"/>
        <v/>
      </c>
      <c r="U201" s="9"/>
      <c r="V201" s="9" t="str">
        <f t="shared" si="230"/>
        <v/>
      </c>
      <c r="W201" s="9"/>
      <c r="X201" s="113" t="str">
        <f t="shared" si="231"/>
        <v/>
      </c>
      <c r="Y201" s="9" t="str">
        <f t="shared" si="232"/>
        <v/>
      </c>
      <c r="Z201" s="9" t="str">
        <f t="shared" si="233"/>
        <v/>
      </c>
      <c r="AA201" s="10" t="str">
        <f t="shared" si="234"/>
        <v/>
      </c>
      <c r="AB201" s="11"/>
      <c r="AD201" s="12"/>
      <c r="AE201" s="9"/>
      <c r="AF201" s="9" t="str">
        <f t="shared" si="235"/>
        <v/>
      </c>
      <c r="AG201" s="9"/>
      <c r="AH201" s="9" t="str">
        <f t="shared" si="236"/>
        <v/>
      </c>
      <c r="AI201" s="9"/>
      <c r="AJ201" s="9" t="str">
        <f t="shared" si="237"/>
        <v/>
      </c>
      <c r="AK201" s="9"/>
      <c r="AL201" s="113" t="str">
        <f t="shared" si="238"/>
        <v/>
      </c>
      <c r="AM201" s="9" t="str">
        <f t="shared" si="239"/>
        <v/>
      </c>
      <c r="AN201" s="9" t="str">
        <f t="shared" si="240"/>
        <v/>
      </c>
      <c r="AO201" s="10" t="str">
        <f t="shared" si="241"/>
        <v/>
      </c>
      <c r="AP201" s="11"/>
      <c r="AR201" s="12"/>
      <c r="AS201" s="9"/>
      <c r="AT201" s="9" t="str">
        <f t="shared" si="242"/>
        <v/>
      </c>
      <c r="AU201" s="9"/>
      <c r="AV201" s="9" t="str">
        <f t="shared" si="243"/>
        <v/>
      </c>
      <c r="AW201" s="9"/>
      <c r="AX201" s="9" t="str">
        <f t="shared" si="244"/>
        <v/>
      </c>
      <c r="AY201" s="9"/>
      <c r="AZ201" s="113" t="str">
        <f t="shared" si="247"/>
        <v/>
      </c>
      <c r="BA201" s="9" t="str">
        <f t="shared" si="248"/>
        <v/>
      </c>
      <c r="BB201" s="9" t="str">
        <f t="shared" si="245"/>
        <v/>
      </c>
      <c r="BC201" s="10" t="str">
        <f t="shared" si="246"/>
        <v/>
      </c>
      <c r="BD201" s="11"/>
      <c r="BF201" s="7"/>
      <c r="BG201" s="34"/>
      <c r="BH201" s="9" t="str">
        <f>IF(BG201="","",BG201-BG200)</f>
        <v/>
      </c>
      <c r="BI201" s="9"/>
      <c r="BJ201" s="9"/>
      <c r="BK201" s="9"/>
      <c r="BL201" s="9" t="str">
        <f>IF(BK201="","",BK200+BM200-BK201)</f>
        <v/>
      </c>
      <c r="BM201" s="9"/>
      <c r="BN201" s="127"/>
      <c r="BO201" s="9"/>
      <c r="BP201" s="9" t="str">
        <f>IF(BO201="","",BL201*BO201)</f>
        <v/>
      </c>
      <c r="BQ201" s="10" t="str">
        <f>IF(BP201="","",BP201/(BH201*100))</f>
        <v/>
      </c>
      <c r="BR201" s="11"/>
    </row>
    <row r="202" spans="1:70" ht="15" customHeight="1" thickBot="1" x14ac:dyDescent="0.25">
      <c r="A202" s="75"/>
      <c r="B202" s="67"/>
      <c r="C202" s="17"/>
      <c r="D202" s="17" t="str">
        <f t="shared" si="208"/>
        <v/>
      </c>
      <c r="E202" s="17"/>
      <c r="F202" s="17" t="str">
        <f t="shared" si="209"/>
        <v/>
      </c>
      <c r="G202" s="17"/>
      <c r="H202" s="17"/>
      <c r="I202" s="17"/>
      <c r="J202" s="114" t="str">
        <f t="shared" si="227"/>
        <v/>
      </c>
      <c r="K202" s="37" t="str">
        <f t="shared" si="217"/>
        <v/>
      </c>
      <c r="L202" s="17" t="str">
        <f t="shared" si="218"/>
        <v/>
      </c>
      <c r="M202" s="18" t="str">
        <f t="shared" si="219"/>
        <v/>
      </c>
      <c r="N202" s="11"/>
      <c r="P202" s="16"/>
      <c r="Q202" s="17"/>
      <c r="R202" s="17" t="str">
        <f t="shared" si="228"/>
        <v/>
      </c>
      <c r="S202" s="17"/>
      <c r="T202" s="17" t="str">
        <f t="shared" si="229"/>
        <v/>
      </c>
      <c r="U202" s="17"/>
      <c r="V202" s="17" t="str">
        <f t="shared" si="230"/>
        <v/>
      </c>
      <c r="W202" s="17"/>
      <c r="X202" s="114" t="str">
        <f t="shared" si="231"/>
        <v/>
      </c>
      <c r="Y202" s="37" t="str">
        <f t="shared" si="232"/>
        <v/>
      </c>
      <c r="Z202" s="17" t="str">
        <f t="shared" si="233"/>
        <v/>
      </c>
      <c r="AA202" s="18" t="str">
        <f t="shared" si="234"/>
        <v/>
      </c>
      <c r="AB202" s="11"/>
      <c r="AD202" s="16"/>
      <c r="AE202" s="17"/>
      <c r="AF202" s="17" t="str">
        <f t="shared" si="235"/>
        <v/>
      </c>
      <c r="AG202" s="17"/>
      <c r="AH202" s="17" t="str">
        <f t="shared" si="236"/>
        <v/>
      </c>
      <c r="AI202" s="17"/>
      <c r="AJ202" s="17" t="str">
        <f t="shared" si="237"/>
        <v/>
      </c>
      <c r="AK202" s="17"/>
      <c r="AL202" s="114" t="str">
        <f t="shared" si="238"/>
        <v/>
      </c>
      <c r="AM202" s="37" t="str">
        <f t="shared" si="239"/>
        <v/>
      </c>
      <c r="AN202" s="17" t="str">
        <f t="shared" si="240"/>
        <v/>
      </c>
      <c r="AO202" s="18" t="str">
        <f t="shared" si="241"/>
        <v/>
      </c>
      <c r="AP202" s="11"/>
      <c r="AR202" s="16"/>
      <c r="AS202" s="17"/>
      <c r="AT202" s="17" t="str">
        <f t="shared" si="242"/>
        <v/>
      </c>
      <c r="AU202" s="17"/>
      <c r="AV202" s="17" t="str">
        <f t="shared" si="243"/>
        <v/>
      </c>
      <c r="AW202" s="17"/>
      <c r="AX202" s="17" t="str">
        <f t="shared" si="244"/>
        <v/>
      </c>
      <c r="AY202" s="17"/>
      <c r="AZ202" s="114" t="str">
        <f t="shared" si="247"/>
        <v/>
      </c>
      <c r="BA202" s="37" t="str">
        <f t="shared" si="248"/>
        <v/>
      </c>
      <c r="BB202" s="17" t="str">
        <f t="shared" si="245"/>
        <v/>
      </c>
      <c r="BC202" s="18" t="str">
        <f t="shared" si="246"/>
        <v/>
      </c>
      <c r="BD202" s="11"/>
      <c r="BF202" s="7"/>
      <c r="BG202" s="34"/>
      <c r="BH202" s="9" t="str">
        <f>IF(BG202="","",BG202-BG201)</f>
        <v/>
      </c>
      <c r="BI202" s="9"/>
      <c r="BJ202" s="9"/>
      <c r="BK202" s="9"/>
      <c r="BL202" s="9" t="str">
        <f>IF(BK202="","",BK201+BM201-BK202)</f>
        <v/>
      </c>
      <c r="BM202" s="9"/>
      <c r="BN202" s="127"/>
      <c r="BO202" s="9"/>
      <c r="BP202" s="9" t="str">
        <f>IF(BO202="","",BL202*BO202)</f>
        <v/>
      </c>
      <c r="BQ202" s="10" t="str">
        <f>IF(BP202="","",BP202/(BH202*100))</f>
        <v/>
      </c>
      <c r="BR202" s="11"/>
    </row>
    <row r="203" spans="1:70" ht="15" customHeight="1" thickTop="1" x14ac:dyDescent="0.2">
      <c r="A203" s="71"/>
      <c r="B203" s="61">
        <f>SUM(D203:D206)+SUM(R203:R206)+SUM(AF203:AF206)+SUM(AT203:AT206)+SUM(BH164)</f>
        <v>0</v>
      </c>
      <c r="C203" s="33"/>
      <c r="D203" s="33" t="str">
        <f t="shared" si="208"/>
        <v/>
      </c>
      <c r="E203" s="33"/>
      <c r="F203" s="33" t="str">
        <f t="shared" si="209"/>
        <v/>
      </c>
      <c r="G203" s="33"/>
      <c r="H203" s="33" t="str">
        <f>IF(G203="","",G199+I199-G203)</f>
        <v/>
      </c>
      <c r="I203" s="33"/>
      <c r="J203" s="112" t="str">
        <f t="shared" si="227"/>
        <v/>
      </c>
      <c r="K203" s="33" t="str">
        <f t="shared" si="217"/>
        <v/>
      </c>
      <c r="L203" s="33" t="str">
        <f t="shared" si="218"/>
        <v/>
      </c>
      <c r="M203" s="33" t="str">
        <f t="shared" si="219"/>
        <v/>
      </c>
      <c r="N203" s="11"/>
      <c r="P203" s="47" t="str">
        <f>IF($A$425="","",$A$425)</f>
        <v/>
      </c>
      <c r="Q203" s="33"/>
      <c r="R203" s="33" t="str">
        <f t="shared" si="228"/>
        <v/>
      </c>
      <c r="S203" s="33"/>
      <c r="T203" s="33" t="str">
        <f t="shared" si="229"/>
        <v/>
      </c>
      <c r="U203" s="33"/>
      <c r="V203" s="33" t="str">
        <f t="shared" si="230"/>
        <v/>
      </c>
      <c r="W203" s="33"/>
      <c r="X203" s="112" t="str">
        <f t="shared" si="231"/>
        <v/>
      </c>
      <c r="Y203" s="33" t="str">
        <f t="shared" si="232"/>
        <v/>
      </c>
      <c r="Z203" s="33" t="str">
        <f t="shared" si="233"/>
        <v/>
      </c>
      <c r="AA203" s="33" t="str">
        <f t="shared" si="234"/>
        <v/>
      </c>
      <c r="AB203" s="11"/>
      <c r="AD203" s="47" t="str">
        <f>IF($A$425="","",$A$425)</f>
        <v/>
      </c>
      <c r="AE203" s="33"/>
      <c r="AF203" s="33" t="str">
        <f t="shared" si="235"/>
        <v/>
      </c>
      <c r="AG203" s="33"/>
      <c r="AH203" s="33" t="str">
        <f t="shared" si="236"/>
        <v/>
      </c>
      <c r="AI203" s="33"/>
      <c r="AJ203" s="33" t="str">
        <f t="shared" si="237"/>
        <v/>
      </c>
      <c r="AK203" s="33"/>
      <c r="AL203" s="112" t="str">
        <f t="shared" si="238"/>
        <v/>
      </c>
      <c r="AM203" s="33" t="str">
        <f t="shared" si="239"/>
        <v/>
      </c>
      <c r="AN203" s="33" t="str">
        <f t="shared" si="240"/>
        <v/>
      </c>
      <c r="AO203" s="33" t="str">
        <f t="shared" si="241"/>
        <v/>
      </c>
      <c r="AP203" s="11"/>
      <c r="AR203" s="47" t="str">
        <f>IF($A$425="","",$A$425)</f>
        <v/>
      </c>
      <c r="AS203" s="33"/>
      <c r="AT203" s="33" t="str">
        <f t="shared" si="242"/>
        <v/>
      </c>
      <c r="AU203" s="33"/>
      <c r="AV203" s="33" t="str">
        <f t="shared" si="243"/>
        <v/>
      </c>
      <c r="AW203" s="33"/>
      <c r="AX203" s="33" t="str">
        <f t="shared" si="244"/>
        <v/>
      </c>
      <c r="AY203" s="33"/>
      <c r="AZ203" s="112" t="str">
        <f t="shared" si="247"/>
        <v/>
      </c>
      <c r="BA203" s="33" t="str">
        <f t="shared" si="248"/>
        <v/>
      </c>
      <c r="BB203" s="33" t="str">
        <f t="shared" si="245"/>
        <v/>
      </c>
      <c r="BC203" s="33" t="str">
        <f t="shared" si="246"/>
        <v/>
      </c>
      <c r="BD203" s="11"/>
      <c r="BF203" s="7"/>
      <c r="BG203" s="34"/>
      <c r="BH203" s="9"/>
      <c r="BI203" s="9"/>
      <c r="BJ203" s="9"/>
      <c r="BK203" s="9"/>
      <c r="BL203" s="9" t="str">
        <f>IF(BK203="","",BK202+BM202-BK203)</f>
        <v/>
      </c>
      <c r="BM203" s="9"/>
      <c r="BN203" s="127"/>
      <c r="BO203" s="9"/>
      <c r="BP203" s="9" t="str">
        <f>IF(BO203="","",BL203*BO203)</f>
        <v/>
      </c>
      <c r="BQ203" s="10" t="str">
        <f>IF(BP203="","",BP203/(BH203*100))</f>
        <v/>
      </c>
      <c r="BR203" s="11"/>
    </row>
    <row r="204" spans="1:70" ht="15" customHeight="1" x14ac:dyDescent="0.2">
      <c r="A204" s="71"/>
      <c r="B204" s="61"/>
      <c r="C204" s="33"/>
      <c r="D204" s="33" t="str">
        <f t="shared" si="208"/>
        <v/>
      </c>
      <c r="E204" s="33"/>
      <c r="F204" s="33" t="str">
        <f t="shared" si="209"/>
        <v/>
      </c>
      <c r="G204" s="33"/>
      <c r="H204" s="33" t="str">
        <f>IF(G204="","",G200+I200-G204)</f>
        <v/>
      </c>
      <c r="I204" s="33"/>
      <c r="J204" s="112" t="str">
        <f t="shared" si="227"/>
        <v/>
      </c>
      <c r="K204" s="33" t="str">
        <f t="shared" si="217"/>
        <v/>
      </c>
      <c r="L204" s="33" t="str">
        <f t="shared" si="218"/>
        <v/>
      </c>
      <c r="M204" s="33" t="str">
        <f t="shared" si="219"/>
        <v/>
      </c>
      <c r="N204" s="11"/>
      <c r="P204" s="42"/>
      <c r="Q204" s="33"/>
      <c r="R204" s="33" t="str">
        <f t="shared" si="228"/>
        <v/>
      </c>
      <c r="S204" s="33"/>
      <c r="T204" s="33" t="str">
        <f t="shared" si="229"/>
        <v/>
      </c>
      <c r="U204" s="33"/>
      <c r="V204" s="33" t="str">
        <f t="shared" si="230"/>
        <v/>
      </c>
      <c r="W204" s="33"/>
      <c r="X204" s="112" t="str">
        <f t="shared" si="231"/>
        <v/>
      </c>
      <c r="Y204" s="33" t="str">
        <f t="shared" si="232"/>
        <v/>
      </c>
      <c r="Z204" s="33" t="str">
        <f t="shared" si="233"/>
        <v/>
      </c>
      <c r="AA204" s="33" t="str">
        <f t="shared" si="234"/>
        <v/>
      </c>
      <c r="AB204" s="11"/>
      <c r="AD204" s="42"/>
      <c r="AE204" s="33"/>
      <c r="AF204" s="33" t="str">
        <f t="shared" si="235"/>
        <v/>
      </c>
      <c r="AG204" s="33"/>
      <c r="AH204" s="33" t="str">
        <f t="shared" si="236"/>
        <v/>
      </c>
      <c r="AI204" s="33"/>
      <c r="AJ204" s="33" t="str">
        <f t="shared" si="237"/>
        <v/>
      </c>
      <c r="AK204" s="33"/>
      <c r="AL204" s="112" t="str">
        <f t="shared" si="238"/>
        <v/>
      </c>
      <c r="AM204" s="33" t="str">
        <f t="shared" si="239"/>
        <v/>
      </c>
      <c r="AN204" s="33" t="str">
        <f t="shared" si="240"/>
        <v/>
      </c>
      <c r="AO204" s="33" t="str">
        <f t="shared" si="241"/>
        <v/>
      </c>
      <c r="AP204" s="11"/>
      <c r="AR204" s="42"/>
      <c r="AS204" s="33"/>
      <c r="AT204" s="33" t="str">
        <f t="shared" si="242"/>
        <v/>
      </c>
      <c r="AU204" s="33"/>
      <c r="AV204" s="33" t="str">
        <f t="shared" si="243"/>
        <v/>
      </c>
      <c r="AW204" s="33"/>
      <c r="AX204" s="33" t="str">
        <f t="shared" si="244"/>
        <v/>
      </c>
      <c r="AY204" s="33"/>
      <c r="AZ204" s="112" t="str">
        <f t="shared" si="247"/>
        <v/>
      </c>
      <c r="BA204" s="33" t="str">
        <f t="shared" si="248"/>
        <v/>
      </c>
      <c r="BB204" s="33" t="str">
        <f t="shared" si="245"/>
        <v/>
      </c>
      <c r="BC204" s="33" t="str">
        <f t="shared" si="246"/>
        <v/>
      </c>
      <c r="BD204" s="11"/>
      <c r="BF204" s="7"/>
      <c r="BG204" s="34"/>
      <c r="BH204" s="9"/>
      <c r="BI204" s="9"/>
      <c r="BJ204" s="9"/>
      <c r="BK204" s="9"/>
      <c r="BL204" s="9"/>
      <c r="BM204" s="9"/>
      <c r="BN204" s="127"/>
      <c r="BO204" s="9"/>
      <c r="BP204" s="9"/>
      <c r="BQ204" s="10"/>
      <c r="BR204" s="11"/>
    </row>
    <row r="205" spans="1:70" ht="15" customHeight="1" x14ac:dyDescent="0.2">
      <c r="A205" s="4"/>
      <c r="B205" s="64"/>
      <c r="C205" s="38"/>
      <c r="D205" s="38" t="str">
        <f t="shared" si="208"/>
        <v/>
      </c>
      <c r="E205" s="38"/>
      <c r="F205" s="38" t="str">
        <f t="shared" si="209"/>
        <v/>
      </c>
      <c r="G205" s="38"/>
      <c r="H205" s="38" t="str">
        <f>IF(G205="","",G201+I201-G205)</f>
        <v/>
      </c>
      <c r="I205" s="38"/>
      <c r="J205" s="116" t="str">
        <f t="shared" si="227"/>
        <v/>
      </c>
      <c r="K205" s="38" t="str">
        <f t="shared" si="217"/>
        <v/>
      </c>
      <c r="L205" s="38" t="str">
        <f t="shared" si="218"/>
        <v/>
      </c>
      <c r="M205" s="38" t="str">
        <f t="shared" si="219"/>
        <v/>
      </c>
      <c r="N205" s="26"/>
      <c r="P205" s="53"/>
      <c r="Q205" s="38"/>
      <c r="R205" s="38" t="str">
        <f t="shared" si="228"/>
        <v/>
      </c>
      <c r="S205" s="38"/>
      <c r="T205" s="38" t="str">
        <f t="shared" si="229"/>
        <v/>
      </c>
      <c r="U205" s="38"/>
      <c r="V205" s="38" t="str">
        <f t="shared" si="230"/>
        <v/>
      </c>
      <c r="W205" s="38"/>
      <c r="X205" s="116" t="str">
        <f t="shared" si="231"/>
        <v/>
      </c>
      <c r="Y205" s="38" t="str">
        <f t="shared" si="232"/>
        <v/>
      </c>
      <c r="Z205" s="38" t="str">
        <f t="shared" si="233"/>
        <v/>
      </c>
      <c r="AA205" s="38" t="str">
        <f t="shared" si="234"/>
        <v/>
      </c>
      <c r="AB205" s="26"/>
      <c r="AD205" s="53"/>
      <c r="AE205" s="38"/>
      <c r="AF205" s="38" t="str">
        <f t="shared" si="235"/>
        <v/>
      </c>
      <c r="AG205" s="38"/>
      <c r="AH205" s="38" t="str">
        <f t="shared" si="236"/>
        <v/>
      </c>
      <c r="AI205" s="38"/>
      <c r="AJ205" s="38" t="str">
        <f t="shared" si="237"/>
        <v/>
      </c>
      <c r="AK205" s="38"/>
      <c r="AL205" s="116" t="str">
        <f t="shared" si="238"/>
        <v/>
      </c>
      <c r="AM205" s="38" t="str">
        <f t="shared" si="239"/>
        <v/>
      </c>
      <c r="AN205" s="38" t="str">
        <f t="shared" si="240"/>
        <v/>
      </c>
      <c r="AO205" s="38" t="str">
        <f t="shared" si="241"/>
        <v/>
      </c>
      <c r="AP205" s="26"/>
      <c r="AR205" s="53"/>
      <c r="AS205" s="38"/>
      <c r="AT205" s="38" t="str">
        <f t="shared" si="242"/>
        <v/>
      </c>
      <c r="AU205" s="38"/>
      <c r="AV205" s="38" t="str">
        <f t="shared" si="243"/>
        <v/>
      </c>
      <c r="AW205" s="38"/>
      <c r="AX205" s="38" t="str">
        <f t="shared" si="244"/>
        <v/>
      </c>
      <c r="AY205" s="38"/>
      <c r="AZ205" s="116" t="str">
        <f t="shared" si="247"/>
        <v/>
      </c>
      <c r="BA205" s="38" t="str">
        <f t="shared" si="248"/>
        <v/>
      </c>
      <c r="BB205" s="38" t="str">
        <f t="shared" si="245"/>
        <v/>
      </c>
      <c r="BC205" s="38" t="str">
        <f t="shared" si="246"/>
        <v/>
      </c>
      <c r="BD205" s="26"/>
      <c r="BF205" s="7"/>
      <c r="BG205" s="34"/>
      <c r="BH205" s="9"/>
      <c r="BI205" s="9"/>
      <c r="BJ205" s="9"/>
      <c r="BK205" s="9"/>
      <c r="BL205" s="9"/>
      <c r="BM205" s="9"/>
      <c r="BN205" s="127"/>
      <c r="BO205" s="9"/>
      <c r="BP205" s="9"/>
      <c r="BQ205" s="10"/>
      <c r="BR205" s="11"/>
    </row>
    <row r="206" spans="1:70" ht="15" customHeight="1" thickBot="1" x14ac:dyDescent="0.25">
      <c r="A206" s="58"/>
      <c r="B206" s="65"/>
      <c r="C206" s="36"/>
      <c r="D206" s="36" t="str">
        <f t="shared" si="208"/>
        <v/>
      </c>
      <c r="E206" s="36"/>
      <c r="F206" s="36" t="str">
        <f t="shared" si="209"/>
        <v/>
      </c>
      <c r="G206" s="36"/>
      <c r="H206" s="36" t="str">
        <f>IF(G206="","",G202+I202-G206)</f>
        <v/>
      </c>
      <c r="I206" s="36"/>
      <c r="J206" s="117" t="str">
        <f t="shared" si="227"/>
        <v/>
      </c>
      <c r="K206" s="36" t="str">
        <f t="shared" si="217"/>
        <v/>
      </c>
      <c r="L206" s="36" t="str">
        <f t="shared" si="218"/>
        <v/>
      </c>
      <c r="M206" s="36" t="str">
        <f t="shared" si="219"/>
        <v/>
      </c>
      <c r="N206" s="52"/>
      <c r="P206" s="51"/>
      <c r="Q206" s="36"/>
      <c r="R206" s="36" t="str">
        <f t="shared" si="228"/>
        <v/>
      </c>
      <c r="S206" s="36"/>
      <c r="T206" s="36" t="str">
        <f t="shared" si="229"/>
        <v/>
      </c>
      <c r="U206" s="36"/>
      <c r="V206" s="36" t="str">
        <f t="shared" si="230"/>
        <v/>
      </c>
      <c r="W206" s="36"/>
      <c r="X206" s="117" t="str">
        <f t="shared" si="231"/>
        <v/>
      </c>
      <c r="Y206" s="36" t="str">
        <f t="shared" si="232"/>
        <v/>
      </c>
      <c r="Z206" s="36" t="str">
        <f t="shared" si="233"/>
        <v/>
      </c>
      <c r="AA206" s="36" t="str">
        <f t="shared" si="234"/>
        <v/>
      </c>
      <c r="AB206" s="52"/>
      <c r="AD206" s="51"/>
      <c r="AE206" s="36"/>
      <c r="AF206" s="36" t="str">
        <f t="shared" si="235"/>
        <v/>
      </c>
      <c r="AG206" s="36"/>
      <c r="AH206" s="36" t="str">
        <f t="shared" si="236"/>
        <v/>
      </c>
      <c r="AI206" s="36"/>
      <c r="AJ206" s="36" t="str">
        <f t="shared" si="237"/>
        <v/>
      </c>
      <c r="AK206" s="36"/>
      <c r="AL206" s="117" t="str">
        <f t="shared" si="238"/>
        <v/>
      </c>
      <c r="AM206" s="36" t="str">
        <f t="shared" si="239"/>
        <v/>
      </c>
      <c r="AN206" s="36" t="str">
        <f t="shared" si="240"/>
        <v/>
      </c>
      <c r="AO206" s="36" t="str">
        <f t="shared" si="241"/>
        <v/>
      </c>
      <c r="AP206" s="52"/>
      <c r="AR206" s="51"/>
      <c r="AS206" s="36"/>
      <c r="AT206" s="36" t="str">
        <f t="shared" si="242"/>
        <v/>
      </c>
      <c r="AU206" s="36"/>
      <c r="AV206" s="36" t="str">
        <f t="shared" si="243"/>
        <v/>
      </c>
      <c r="AW206" s="36"/>
      <c r="AX206" s="36" t="str">
        <f t="shared" si="244"/>
        <v/>
      </c>
      <c r="AY206" s="36"/>
      <c r="AZ206" s="117" t="str">
        <f t="shared" si="247"/>
        <v/>
      </c>
      <c r="BA206" s="36" t="str">
        <f t="shared" si="248"/>
        <v/>
      </c>
      <c r="BB206" s="36" t="str">
        <f t="shared" si="245"/>
        <v/>
      </c>
      <c r="BC206" s="36" t="str">
        <f t="shared" si="246"/>
        <v/>
      </c>
      <c r="BD206" s="52"/>
      <c r="BF206" s="7"/>
      <c r="BG206" s="34"/>
      <c r="BH206" s="9"/>
      <c r="BI206" s="9"/>
      <c r="BJ206" s="9"/>
      <c r="BK206" s="9"/>
      <c r="BL206" s="9"/>
      <c r="BM206" s="9"/>
      <c r="BN206" s="127"/>
      <c r="BO206" s="9"/>
      <c r="BP206" s="9"/>
      <c r="BQ206" s="10"/>
      <c r="BR206" s="11"/>
    </row>
    <row r="207" spans="1:70" ht="15" customHeight="1" thickTop="1" x14ac:dyDescent="0.2">
      <c r="A207" s="42"/>
      <c r="B207" s="61"/>
      <c r="C207" s="50" t="s">
        <v>22</v>
      </c>
      <c r="D207" s="33">
        <f>SUM(D151:D203)*100</f>
        <v>158000</v>
      </c>
      <c r="E207" s="70" t="s">
        <v>23</v>
      </c>
      <c r="F207" s="33"/>
      <c r="G207" s="50"/>
      <c r="H207" s="33"/>
      <c r="I207" s="33"/>
      <c r="J207" s="149" t="s">
        <v>24</v>
      </c>
      <c r="K207" s="149"/>
      <c r="L207" s="33">
        <f>SUM(L151:L203)</f>
        <v>29150</v>
      </c>
      <c r="M207" s="33"/>
      <c r="N207" s="45"/>
      <c r="P207" s="42"/>
      <c r="Q207" s="50" t="s">
        <v>22</v>
      </c>
      <c r="R207" s="33">
        <f>SUM(R151:R203)*100</f>
        <v>142300</v>
      </c>
      <c r="S207" s="70" t="s">
        <v>23</v>
      </c>
      <c r="T207" s="33"/>
      <c r="U207" s="50"/>
      <c r="V207" s="33"/>
      <c r="W207" s="33"/>
      <c r="X207" s="149" t="s">
        <v>24</v>
      </c>
      <c r="Y207" s="149"/>
      <c r="Z207" s="33">
        <f>SUM(Z151:Z203)</f>
        <v>24474</v>
      </c>
      <c r="AA207" s="33"/>
      <c r="AB207" s="45"/>
      <c r="AD207" s="42"/>
      <c r="AE207" s="50" t="s">
        <v>22</v>
      </c>
      <c r="AF207" s="33">
        <f>SUM(AF151:AF203)*100</f>
        <v>90800</v>
      </c>
      <c r="AG207" s="70" t="s">
        <v>23</v>
      </c>
      <c r="AH207" s="33"/>
      <c r="AI207" s="50"/>
      <c r="AJ207" s="33"/>
      <c r="AK207" s="33"/>
      <c r="AL207" s="149" t="s">
        <v>24</v>
      </c>
      <c r="AM207" s="149"/>
      <c r="AN207" s="33">
        <f>SUM(AN151:AN203)</f>
        <v>17118</v>
      </c>
      <c r="AO207" s="33"/>
      <c r="AP207" s="45"/>
      <c r="AR207" s="42"/>
      <c r="AS207" s="50" t="s">
        <v>22</v>
      </c>
      <c r="AT207" s="33">
        <f>SUM(AT151:AT203)*100</f>
        <v>86500</v>
      </c>
      <c r="AU207" s="70" t="s">
        <v>23</v>
      </c>
      <c r="AV207" s="33"/>
      <c r="AW207" s="50"/>
      <c r="AX207" s="33"/>
      <c r="AY207" s="33"/>
      <c r="AZ207" s="149" t="s">
        <v>24</v>
      </c>
      <c r="BA207" s="149"/>
      <c r="BB207" s="33">
        <f>SUM(BB151:BB203)</f>
        <v>15370</v>
      </c>
      <c r="BC207" s="33"/>
      <c r="BD207" s="45"/>
      <c r="BF207" s="7"/>
      <c r="BG207" s="39" t="s">
        <v>22</v>
      </c>
      <c r="BH207" s="9">
        <f>SUM(BH151:BH203)*100</f>
        <v>262600</v>
      </c>
      <c r="BI207" s="9"/>
      <c r="BJ207" s="9"/>
      <c r="BK207" s="5"/>
      <c r="BL207" s="9"/>
      <c r="BM207" s="9"/>
      <c r="BN207" s="127"/>
      <c r="BO207" s="9"/>
      <c r="BP207" s="9"/>
      <c r="BQ207" s="9"/>
      <c r="BR207" s="11"/>
    </row>
    <row r="208" spans="1:70" ht="15" customHeight="1" x14ac:dyDescent="0.2">
      <c r="A208" s="22"/>
      <c r="B208" s="66"/>
      <c r="C208" s="5" t="s">
        <v>25</v>
      </c>
      <c r="D208" s="9">
        <f>D207/A212</f>
        <v>4937.5</v>
      </c>
      <c r="E208" s="9">
        <f>D208*A211</f>
        <v>158000</v>
      </c>
      <c r="F208" s="9"/>
      <c r="G208" s="5"/>
      <c r="H208" s="9"/>
      <c r="I208" s="9"/>
      <c r="J208" s="144" t="s">
        <v>26</v>
      </c>
      <c r="K208" s="144"/>
      <c r="L208" s="9"/>
      <c r="M208" s="24">
        <f>L207/D207</f>
        <v>0.18449367088607596</v>
      </c>
      <c r="N208" s="11"/>
      <c r="P208" s="31"/>
      <c r="Q208" s="5" t="s">
        <v>25</v>
      </c>
      <c r="R208" s="9">
        <f>R207/A212</f>
        <v>4446.875</v>
      </c>
      <c r="S208" s="9">
        <f>R208*A211</f>
        <v>142300</v>
      </c>
      <c r="T208" s="9"/>
      <c r="U208" s="5"/>
      <c r="V208" s="9"/>
      <c r="W208" s="9"/>
      <c r="X208" s="144" t="s">
        <v>26</v>
      </c>
      <c r="Y208" s="144"/>
      <c r="Z208" s="9"/>
      <c r="AA208" s="24">
        <f>Z207/R207</f>
        <v>0.17198875614898101</v>
      </c>
      <c r="AB208" s="11"/>
      <c r="AD208" s="31"/>
      <c r="AE208" s="5" t="s">
        <v>25</v>
      </c>
      <c r="AF208" s="9">
        <f>AF207/A212</f>
        <v>2837.5</v>
      </c>
      <c r="AG208" s="9">
        <f>AF208*A211</f>
        <v>90800</v>
      </c>
      <c r="AH208" s="9"/>
      <c r="AI208" s="5"/>
      <c r="AJ208" s="9"/>
      <c r="AK208" s="9"/>
      <c r="AL208" s="144" t="s">
        <v>26</v>
      </c>
      <c r="AM208" s="144"/>
      <c r="AN208" s="9"/>
      <c r="AO208" s="24">
        <f>AN207/AF207</f>
        <v>0.18852422907488986</v>
      </c>
      <c r="AP208" s="11"/>
      <c r="AR208" s="31"/>
      <c r="AS208" s="5" t="s">
        <v>25</v>
      </c>
      <c r="AT208" s="9">
        <f>AT207/A212</f>
        <v>2703.125</v>
      </c>
      <c r="AU208" s="9">
        <f>AT208*A211</f>
        <v>86500</v>
      </c>
      <c r="AV208" s="9"/>
      <c r="AW208" s="5"/>
      <c r="AX208" s="9"/>
      <c r="AY208" s="9"/>
      <c r="AZ208" s="144" t="s">
        <v>26</v>
      </c>
      <c r="BA208" s="144"/>
      <c r="BB208" s="9"/>
      <c r="BC208" s="24">
        <f>BB207/AT207</f>
        <v>0.1776878612716763</v>
      </c>
      <c r="BD208" s="11"/>
      <c r="BF208" s="7"/>
      <c r="BG208" s="39" t="s">
        <v>25</v>
      </c>
      <c r="BH208" s="9">
        <f>BH207/A212</f>
        <v>8206.25</v>
      </c>
      <c r="BI208" s="9">
        <f>BH208*A211</f>
        <v>262600</v>
      </c>
      <c r="BJ208" s="9"/>
      <c r="BK208" s="5"/>
      <c r="BL208" s="9"/>
      <c r="BM208" s="9"/>
      <c r="BN208" s="127"/>
      <c r="BO208" s="9"/>
      <c r="BP208" s="9"/>
      <c r="BQ208" s="9"/>
      <c r="BR208" s="11"/>
    </row>
    <row r="209" spans="1:70" ht="15" customHeight="1" x14ac:dyDescent="0.2">
      <c r="A209" s="12"/>
      <c r="B209" s="68"/>
      <c r="C209" s="39" t="s">
        <v>27</v>
      </c>
      <c r="D209" s="9">
        <f>D207*0.6</f>
        <v>94800</v>
      </c>
      <c r="E209" s="9"/>
      <c r="F209" s="9"/>
      <c r="G209" s="5"/>
      <c r="H209" s="9"/>
      <c r="I209" s="9"/>
      <c r="J209" s="144" t="s">
        <v>28</v>
      </c>
      <c r="K209" s="144"/>
      <c r="L209" s="9">
        <f>D209-L207</f>
        <v>65650</v>
      </c>
      <c r="M209" s="24">
        <f>L209/D207</f>
        <v>0.41550632911392404</v>
      </c>
      <c r="N209" s="11"/>
      <c r="P209" s="12"/>
      <c r="Q209" s="39" t="s">
        <v>27</v>
      </c>
      <c r="R209" s="9">
        <f>R207*0.6</f>
        <v>85380</v>
      </c>
      <c r="S209" s="9"/>
      <c r="T209" s="9"/>
      <c r="U209" s="5"/>
      <c r="V209" s="9"/>
      <c r="W209" s="9"/>
      <c r="X209" s="144" t="s">
        <v>28</v>
      </c>
      <c r="Y209" s="144"/>
      <c r="Z209" s="9">
        <f>R209-Z207</f>
        <v>60906</v>
      </c>
      <c r="AA209" s="24">
        <f>Z209/R207</f>
        <v>0.42801124385101896</v>
      </c>
      <c r="AB209" s="11"/>
      <c r="AD209" s="12"/>
      <c r="AE209" s="39" t="s">
        <v>27</v>
      </c>
      <c r="AF209" s="9">
        <f>AF207*0.6</f>
        <v>54480</v>
      </c>
      <c r="AG209" s="9"/>
      <c r="AH209" s="9"/>
      <c r="AI209" s="5"/>
      <c r="AJ209" s="9"/>
      <c r="AK209" s="9"/>
      <c r="AL209" s="144" t="s">
        <v>28</v>
      </c>
      <c r="AM209" s="144"/>
      <c r="AN209" s="9">
        <f>AF209-AN207</f>
        <v>37362</v>
      </c>
      <c r="AO209" s="24">
        <f>AN209/AF207</f>
        <v>0.41147577092511012</v>
      </c>
      <c r="AP209" s="11"/>
      <c r="AR209" s="12"/>
      <c r="AS209" s="39" t="s">
        <v>27</v>
      </c>
      <c r="AT209" s="9">
        <f>AT207*0.6</f>
        <v>51900</v>
      </c>
      <c r="AU209" s="9"/>
      <c r="AV209" s="9"/>
      <c r="AW209" s="5"/>
      <c r="AX209" s="9"/>
      <c r="AY209" s="9"/>
      <c r="AZ209" s="144" t="s">
        <v>28</v>
      </c>
      <c r="BA209" s="144"/>
      <c r="BB209" s="9">
        <f>AT209-BB207</f>
        <v>36530</v>
      </c>
      <c r="BC209" s="24">
        <f>BB209/AT207</f>
        <v>0.42231213872832368</v>
      </c>
      <c r="BD209" s="11"/>
      <c r="BF209" s="7"/>
      <c r="BG209" s="39" t="s">
        <v>27</v>
      </c>
      <c r="BH209" s="9">
        <f>BH207*0.6</f>
        <v>157560</v>
      </c>
      <c r="BI209" s="9"/>
      <c r="BJ209" s="9"/>
      <c r="BK209" s="5" t="s">
        <v>50</v>
      </c>
      <c r="BL209" s="9">
        <f>SUM(BP151:BP203)</f>
        <v>60000</v>
      </c>
      <c r="BM209" s="24">
        <f>BL209/BH207</f>
        <v>0.22848438690022849</v>
      </c>
      <c r="BN209" s="128"/>
      <c r="BO209" s="9"/>
      <c r="BP209" s="9"/>
      <c r="BQ209" s="9"/>
      <c r="BR209" s="11"/>
    </row>
    <row r="210" spans="1:70" ht="15" customHeight="1" x14ac:dyDescent="0.2">
      <c r="A210" s="42"/>
      <c r="B210" s="61"/>
      <c r="C210" s="5" t="s">
        <v>29</v>
      </c>
      <c r="D210" s="9"/>
      <c r="E210" s="9"/>
      <c r="F210" s="9"/>
      <c r="G210" s="5"/>
      <c r="H210" s="9"/>
      <c r="I210" s="15"/>
      <c r="J210" s="145" t="s">
        <v>30</v>
      </c>
      <c r="K210" s="145"/>
      <c r="L210" s="33">
        <f>(G175+I175)*K175+(G176+I176)*K176+(G177+I177)*K177+(G178+I178)*K178</f>
        <v>32857</v>
      </c>
      <c r="M210" s="10"/>
      <c r="N210" s="11"/>
      <c r="P210" s="42"/>
      <c r="Q210" s="5" t="s">
        <v>29</v>
      </c>
      <c r="R210" s="9"/>
      <c r="S210" s="9"/>
      <c r="T210" s="9"/>
      <c r="U210" s="5"/>
      <c r="V210" s="9"/>
      <c r="W210" s="15"/>
      <c r="X210" s="145" t="s">
        <v>30</v>
      </c>
      <c r="Y210" s="145"/>
      <c r="Z210" s="33">
        <f>(U175+W175)*Y175+(U176+W176)*Y176+(U177+W177)*Y177+(U178+W178)*Y178</f>
        <v>21959</v>
      </c>
      <c r="AA210" s="10"/>
      <c r="AB210" s="11"/>
      <c r="AD210" s="42"/>
      <c r="AE210" s="5" t="s">
        <v>29</v>
      </c>
      <c r="AF210" s="9"/>
      <c r="AG210" s="9"/>
      <c r="AH210" s="9"/>
      <c r="AI210" s="5"/>
      <c r="AJ210" s="9"/>
      <c r="AK210" s="15"/>
      <c r="AL210" s="145" t="s">
        <v>30</v>
      </c>
      <c r="AM210" s="145"/>
      <c r="AN210" s="33">
        <f>(AI175+AK175)*AM175+(AI176+AK176)*AM176+(AI177+AK177)*AM177+(AI178+AK178)*AM178</f>
        <v>22594</v>
      </c>
      <c r="AO210" s="10"/>
      <c r="AP210" s="11"/>
      <c r="AR210" s="42"/>
      <c r="AS210" s="5" t="s">
        <v>29</v>
      </c>
      <c r="AT210" s="9"/>
      <c r="AU210" s="9"/>
      <c r="AV210" s="9"/>
      <c r="AW210" s="5"/>
      <c r="AX210" s="9"/>
      <c r="AY210" s="15"/>
      <c r="AZ210" s="145" t="s">
        <v>30</v>
      </c>
      <c r="BA210" s="145"/>
      <c r="BB210" s="33">
        <f>(AW175+AY175)*BA175+(AW176+AY176)*BA176+(AW177+AY177)*BA177+(AW178+AY178)*BA178</f>
        <v>9903</v>
      </c>
      <c r="BC210" s="10"/>
      <c r="BD210" s="11"/>
      <c r="BF210" s="7"/>
      <c r="BG210" s="39" t="s">
        <v>29</v>
      </c>
      <c r="BH210" s="9">
        <f>BH281</f>
        <v>202400</v>
      </c>
      <c r="BI210" s="9"/>
      <c r="BJ210" s="9"/>
      <c r="BK210" s="5" t="s">
        <v>28</v>
      </c>
      <c r="BL210" s="9">
        <f>BH209-BL209</f>
        <v>97560</v>
      </c>
      <c r="BM210" s="24">
        <f>BL210/BH207</f>
        <v>0.37151561309977149</v>
      </c>
      <c r="BN210" s="128"/>
      <c r="BO210" s="10"/>
      <c r="BP210" s="10"/>
      <c r="BQ210" s="10"/>
      <c r="BR210" s="11"/>
    </row>
    <row r="211" spans="1:70" ht="15" customHeight="1" x14ac:dyDescent="0.2">
      <c r="A211" s="4">
        <v>32</v>
      </c>
      <c r="B211" s="80">
        <f>SUM(B151:B203)*100</f>
        <v>740200</v>
      </c>
      <c r="C211" s="5"/>
      <c r="D211" s="9"/>
      <c r="E211" s="9"/>
      <c r="F211" s="9"/>
      <c r="G211" s="5"/>
      <c r="H211" s="9"/>
      <c r="I211" s="15"/>
      <c r="J211" s="118"/>
      <c r="K211" s="56"/>
      <c r="L211" s="40"/>
      <c r="M211" s="10"/>
      <c r="N211" s="11"/>
      <c r="P211" s="42"/>
      <c r="Q211" s="5"/>
      <c r="R211" s="9"/>
      <c r="S211" s="9"/>
      <c r="T211" s="9"/>
      <c r="U211" s="5"/>
      <c r="V211" s="9"/>
      <c r="W211" s="15"/>
      <c r="X211" s="118"/>
      <c r="Y211" s="56"/>
      <c r="Z211" s="40"/>
      <c r="AA211" s="10"/>
      <c r="AB211" s="11"/>
      <c r="AD211" s="42"/>
      <c r="AE211" s="5"/>
      <c r="AF211" s="9"/>
      <c r="AG211" s="9"/>
      <c r="AH211" s="9"/>
      <c r="AI211" s="5"/>
      <c r="AJ211" s="9"/>
      <c r="AK211" s="15"/>
      <c r="AL211" s="118"/>
      <c r="AM211" s="56"/>
      <c r="AN211" s="40"/>
      <c r="AO211" s="10"/>
      <c r="AP211" s="11"/>
      <c r="AR211" s="42"/>
      <c r="AS211" s="5"/>
      <c r="AT211" s="9"/>
      <c r="AU211" s="9"/>
      <c r="AV211" s="9"/>
      <c r="AW211" s="5"/>
      <c r="AX211" s="9"/>
      <c r="AY211" s="15"/>
      <c r="AZ211" s="118"/>
      <c r="BA211" s="56"/>
      <c r="BB211" s="40"/>
      <c r="BC211" s="10"/>
      <c r="BD211" s="11"/>
      <c r="BF211" s="7"/>
      <c r="BG211" s="34"/>
      <c r="BH211" s="9"/>
      <c r="BI211" s="9"/>
      <c r="BJ211" s="9"/>
      <c r="BK211" s="146" t="s">
        <v>30</v>
      </c>
      <c r="BL211" s="147"/>
      <c r="BM211" s="9">
        <f>(BK154+BM154)*BO154</f>
        <v>25500</v>
      </c>
      <c r="BN211" s="127"/>
      <c r="BO211" s="10"/>
      <c r="BP211" s="10"/>
      <c r="BQ211" s="10"/>
      <c r="BR211" s="11"/>
    </row>
    <row r="212" spans="1:70" ht="15" customHeight="1" x14ac:dyDescent="0.2">
      <c r="A212" s="55">
        <f>DATEDIF(A$253,A187,"d")</f>
        <v>32</v>
      </c>
      <c r="B212" s="61"/>
      <c r="C212" s="5"/>
      <c r="D212" s="9"/>
      <c r="E212" s="23"/>
      <c r="F212" s="9"/>
      <c r="G212" s="5"/>
      <c r="H212" s="9"/>
      <c r="I212" s="15"/>
      <c r="J212" s="118"/>
      <c r="K212" s="56"/>
      <c r="L212" s="40"/>
      <c r="M212" s="10"/>
      <c r="N212" s="11"/>
      <c r="P212" s="42"/>
      <c r="Q212" s="5"/>
      <c r="R212" s="9"/>
      <c r="S212" s="9"/>
      <c r="T212" s="9"/>
      <c r="U212" s="5"/>
      <c r="V212" s="9"/>
      <c r="W212" s="15"/>
      <c r="X212" s="118"/>
      <c r="Y212" s="56"/>
      <c r="Z212" s="40"/>
      <c r="AA212" s="10"/>
      <c r="AB212" s="11"/>
      <c r="AD212" s="42"/>
      <c r="AE212" s="5"/>
      <c r="AF212" s="9"/>
      <c r="AG212" s="9"/>
      <c r="AH212" s="9"/>
      <c r="AI212" s="5"/>
      <c r="AJ212" s="9"/>
      <c r="AK212" s="15"/>
      <c r="AL212" s="118"/>
      <c r="AM212" s="56"/>
      <c r="AN212" s="40"/>
      <c r="AO212" s="10"/>
      <c r="AP212" s="11"/>
      <c r="AR212" s="42"/>
      <c r="AS212" s="5"/>
      <c r="AT212" s="9"/>
      <c r="AU212" s="9"/>
      <c r="AV212" s="9"/>
      <c r="AW212" s="5"/>
      <c r="AX212" s="9"/>
      <c r="AY212" s="15"/>
      <c r="AZ212" s="118"/>
      <c r="BA212" s="56"/>
      <c r="BB212" s="40"/>
      <c r="BC212" s="10"/>
      <c r="BD212" s="11"/>
      <c r="BF212" s="7"/>
      <c r="BG212" s="34"/>
      <c r="BH212" s="9"/>
      <c r="BI212" s="9"/>
      <c r="BJ212" s="9"/>
      <c r="BK212" s="5"/>
      <c r="BL212" s="9"/>
      <c r="BM212" s="9"/>
      <c r="BN212" s="127"/>
      <c r="BO212" s="10"/>
      <c r="BP212" s="10"/>
      <c r="BQ212" s="10"/>
      <c r="BR212" s="11"/>
    </row>
    <row r="213" spans="1:70" x14ac:dyDescent="0.2">
      <c r="A213" s="142" t="s">
        <v>31</v>
      </c>
      <c r="B213" s="142"/>
      <c r="C213" s="142"/>
      <c r="D213" s="25">
        <f>SUM(D151,D155,D159,D163,D167,D171,D175,D179,D183,D187,D191,D195,D199)*100</f>
        <v>15300</v>
      </c>
      <c r="E213" s="34"/>
      <c r="F213" s="9"/>
      <c r="G213" s="5">
        <f>D213/H213</f>
        <v>1530</v>
      </c>
      <c r="H213" s="25">
        <f>SUM(H151,H155,H159,H163,H167,H171,H176,H179,H183,H187,H191,H195,H199)</f>
        <v>10</v>
      </c>
      <c r="I213" s="9"/>
      <c r="J213" s="112" t="str">
        <f t="shared" ref="J213:K213" si="249">J151</f>
        <v>キティヘアパッチン</v>
      </c>
      <c r="K213" s="40">
        <f t="shared" si="249"/>
        <v>660</v>
      </c>
      <c r="L213" s="25">
        <f>SUM(L151,L155,L159,L163,L167,L171,L176,L179,L183,L187,L191,L195,L199)</f>
        <v>5599</v>
      </c>
      <c r="M213" s="24">
        <f>L213/D213</f>
        <v>0.36594771241830065</v>
      </c>
      <c r="N213" s="11"/>
      <c r="O213" s="14"/>
      <c r="P213" s="142" t="s">
        <v>31</v>
      </c>
      <c r="Q213" s="142"/>
      <c r="R213" s="25">
        <f>SUM(R151,R155,R159,R163,R167,R171,R175,R179,R183,R187,R191,R195,R199)*100</f>
        <v>38600</v>
      </c>
      <c r="S213" s="34"/>
      <c r="T213" s="9"/>
      <c r="U213" s="5">
        <f>R213/V213</f>
        <v>6433.333333333333</v>
      </c>
      <c r="V213" s="25">
        <f>SUM(V151,V155,V159,V163,V167,V171,V176,V179,V183,V187,V191,V195,V199)</f>
        <v>6</v>
      </c>
      <c r="W213" s="9"/>
      <c r="X213" s="112" t="str">
        <f t="shared" ref="X213:Y213" si="250">X151</f>
        <v>キティボアバンスクリップ</v>
      </c>
      <c r="Y213" s="40">
        <f t="shared" si="250"/>
        <v>1100</v>
      </c>
      <c r="Z213" s="25">
        <f>SUM(Z151,Z155,Z159,Z163,Z167,Z171,Z176,Z179,Z183,Z187,Z191,Z195,Z199)</f>
        <v>6600</v>
      </c>
      <c r="AA213" s="24">
        <f>Z213/R213</f>
        <v>0.17098445595854922</v>
      </c>
      <c r="AB213" s="11"/>
      <c r="AD213" s="142" t="s">
        <v>31</v>
      </c>
      <c r="AE213" s="142"/>
      <c r="AF213" s="25">
        <f>SUM(AF151,AF155,AF159,AF163,AF167,AF171,AF175,AF179,AF183,AF187,AF191,AF195,AF199)*100</f>
        <v>21200</v>
      </c>
      <c r="AG213" s="34"/>
      <c r="AH213" s="9"/>
      <c r="AI213" s="5">
        <f>AF213/AJ213</f>
        <v>2355.5555555555557</v>
      </c>
      <c r="AJ213" s="25">
        <f>SUM(AJ151,AJ155,AJ159,AJ163,AJ167,AJ171,AJ176,AJ179,AJ183,AJ187,AJ191,AJ195,AJ199)</f>
        <v>9</v>
      </c>
      <c r="AK213" s="9"/>
      <c r="AL213" s="112" t="str">
        <f t="shared" ref="AL213:AM213" si="251">AL151</f>
        <v>キティフェイス千鳥</v>
      </c>
      <c r="AM213" s="40">
        <f t="shared" si="251"/>
        <v>600</v>
      </c>
      <c r="AN213" s="25">
        <f>SUM(AN151,AN155,AN159,AN163,AN167,AN171,AN176,AN179,AN183,AN187,AN191,AN195,AN199)</f>
        <v>5580</v>
      </c>
      <c r="AO213" s="24">
        <f>AN213/AF213</f>
        <v>0.26320754716981132</v>
      </c>
      <c r="AP213" s="11"/>
      <c r="AR213" s="142" t="s">
        <v>31</v>
      </c>
      <c r="AS213" s="142"/>
      <c r="AT213" s="25">
        <f>SUM(AT151,AT155,AT159,AT163,AT167,AT171,AT175,AT179,AT183,AT187,AT191,AT195,AT199)*100</f>
        <v>26100</v>
      </c>
      <c r="AU213" s="34"/>
      <c r="AV213" s="9"/>
      <c r="AW213" s="5">
        <f>AT213/AX213</f>
        <v>5220</v>
      </c>
      <c r="AX213" s="25">
        <f>SUM(AX151,AX155,AX159,AX163,AX167,AX171,AX176,AX179,AX183,AX187,AX191,AX195,AX199)</f>
        <v>5</v>
      </c>
      <c r="AY213" s="9"/>
      <c r="AZ213" s="112" t="str">
        <f t="shared" ref="AZ213:BA213" si="252">AZ151</f>
        <v>キティシッポ付フェイスポーチ</v>
      </c>
      <c r="BA213" s="40">
        <f t="shared" si="252"/>
        <v>825</v>
      </c>
      <c r="BB213" s="25">
        <f>SUM(BB151,BB155,BB159,BB163,BB167,BB171,BB176,BB179,BB183,BB187,BB191,BB195,BB199)</f>
        <v>3658</v>
      </c>
      <c r="BC213" s="24">
        <f>BB213/AT213</f>
        <v>0.14015325670498086</v>
      </c>
      <c r="BD213" s="11"/>
      <c r="BF213" s="7"/>
      <c r="BG213" s="34"/>
      <c r="BH213" s="9"/>
      <c r="BI213" s="9"/>
      <c r="BJ213" s="9"/>
      <c r="BK213" s="5"/>
      <c r="BL213" s="9"/>
      <c r="BM213" s="24"/>
      <c r="BN213" s="128"/>
      <c r="BO213" s="9"/>
      <c r="BP213" s="9"/>
      <c r="BQ213" s="9"/>
      <c r="BR213" s="11"/>
    </row>
    <row r="214" spans="1:70" x14ac:dyDescent="0.2">
      <c r="A214" s="142" t="s">
        <v>31</v>
      </c>
      <c r="B214" s="142"/>
      <c r="C214" s="142"/>
      <c r="D214" s="25">
        <f>SUM(D152,D156,D160,D164,D168,D172,D176,D180,D184,D188,D192,D196,D200)*100</f>
        <v>53700</v>
      </c>
      <c r="E214" s="34"/>
      <c r="F214" s="9"/>
      <c r="G214" s="5">
        <f>D214/H214</f>
        <v>6712.5</v>
      </c>
      <c r="H214" s="25">
        <f>SUM(H152,H156,H160,H164,H168,H172,H175,H180,H184,H188,H192,H196,H200)</f>
        <v>8</v>
      </c>
      <c r="I214" s="9"/>
      <c r="J214" s="112" t="str">
        <f t="shared" ref="J214:K214" si="253">J152</f>
        <v>電ブル</v>
      </c>
      <c r="K214" s="40">
        <f t="shared" si="253"/>
        <v>275</v>
      </c>
      <c r="L214" s="25">
        <f>SUM(L152,L156,L160,L164,L168,L172,L175,L180,L184,L188,L192,L196,L200)</f>
        <v>2585</v>
      </c>
      <c r="M214" s="24">
        <f>L214/D214</f>
        <v>4.8137802607076348E-2</v>
      </c>
      <c r="N214" s="11"/>
      <c r="O214" s="1"/>
      <c r="P214" s="142" t="s">
        <v>31</v>
      </c>
      <c r="Q214" s="142"/>
      <c r="R214" s="25">
        <f>SUM(R152,R156,R160,R164,R168,R172,R176,R180,R184,R188,R192,R196,R200)*100</f>
        <v>22800</v>
      </c>
      <c r="S214" s="34"/>
      <c r="T214" s="9"/>
      <c r="U214" s="5">
        <f>R214/V214</f>
        <v>3257.1428571428573</v>
      </c>
      <c r="V214" s="25">
        <f>SUM(V152,V156,V160,V164,V168,V172,V175,V180,V184,V188,V192,V196,V200)</f>
        <v>7</v>
      </c>
      <c r="W214" s="9"/>
      <c r="X214" s="112" t="str">
        <f t="shared" ref="X214:Y214" si="254">X152</f>
        <v>サンリオフェイスポーチ</v>
      </c>
      <c r="Y214" s="40">
        <f t="shared" si="254"/>
        <v>825</v>
      </c>
      <c r="Z214" s="25">
        <f>SUM(Z152,Z156,Z160,Z164,Z168,Z172,Z175,Z180,Z184,Z188,Z192,Z196,Z200)</f>
        <v>6050</v>
      </c>
      <c r="AA214" s="24">
        <f>Z214/R214</f>
        <v>0.26535087719298245</v>
      </c>
      <c r="AB214" s="11"/>
      <c r="AD214" s="142" t="s">
        <v>31</v>
      </c>
      <c r="AE214" s="142"/>
      <c r="AF214" s="25">
        <f>SUM(AF152,AF156,AF160,AF164,AF168,AF172,AF176,AF180,AF184,AF188,AF192,AF196,AF200)*100</f>
        <v>28500</v>
      </c>
      <c r="AG214" s="34"/>
      <c r="AH214" s="9"/>
      <c r="AI214" s="5">
        <f>AF214/AJ214</f>
        <v>4071.4285714285716</v>
      </c>
      <c r="AJ214" s="25">
        <f>SUM(AJ152,AJ156,AJ160,AJ164,AJ168,AJ172,AJ175,AJ180,AJ184,AJ188,AJ192,AJ196,AJ200)</f>
        <v>7</v>
      </c>
      <c r="AK214" s="9"/>
      <c r="AL214" s="112" t="str">
        <f t="shared" ref="AL214:AM214" si="255">AL152</f>
        <v>ジャグラーボタン</v>
      </c>
      <c r="AM214" s="40">
        <f t="shared" si="255"/>
        <v>748</v>
      </c>
      <c r="AN214" s="25">
        <f>SUM(AN152,AN156,AN160,AN164,AN168,AN172,AN175,AN180,AN184,AN188,AN192,AN196,AN200)</f>
        <v>5088</v>
      </c>
      <c r="AO214" s="24">
        <f>AN214/AF214</f>
        <v>0.17852631578947367</v>
      </c>
      <c r="AP214" s="11"/>
      <c r="AR214" s="142" t="s">
        <v>31</v>
      </c>
      <c r="AS214" s="142"/>
      <c r="AT214" s="25">
        <f>SUM(AT152,AT156,AT160,AT164,AT168,AT172,AT176,AT180,AT184,AT188,AT192,AT196,AT200)*100</f>
        <v>25500</v>
      </c>
      <c r="AU214" s="34"/>
      <c r="AV214" s="9"/>
      <c r="AW214" s="5">
        <f>AT214/AX214</f>
        <v>3642.8571428571427</v>
      </c>
      <c r="AX214" s="25">
        <f>SUM(AX152,AX156,AX160,AX164,AX168,AX172,AX175,AX180,AX184,AX188,AX192,AX196,AX200)</f>
        <v>7</v>
      </c>
      <c r="AY214" s="9"/>
      <c r="AZ214" s="112" t="str">
        <f t="shared" ref="AZ214:BA214" si="256">AZ152</f>
        <v>しばこ</v>
      </c>
      <c r="BA214" s="40">
        <f t="shared" si="256"/>
        <v>358</v>
      </c>
      <c r="BB214" s="25">
        <f>SUM(BB152,BB156,BB160,BB164,BB168,BB172,BB175,BB180,BB184,BB188,BB192,BB196,BB200)</f>
        <v>2973</v>
      </c>
      <c r="BC214" s="24">
        <f>BB214/AT214</f>
        <v>0.11658823529411765</v>
      </c>
      <c r="BD214" s="11"/>
      <c r="BF214" s="7"/>
      <c r="BG214" s="9"/>
      <c r="BH214" s="9"/>
      <c r="BI214" s="9"/>
      <c r="BJ214" s="9"/>
      <c r="BK214" s="5"/>
      <c r="BL214" s="9"/>
      <c r="BM214" s="24"/>
      <c r="BN214" s="128"/>
      <c r="BO214" s="9"/>
      <c r="BP214" s="9"/>
      <c r="BQ214" s="9"/>
      <c r="BR214" s="11"/>
    </row>
    <row r="215" spans="1:70" x14ac:dyDescent="0.2">
      <c r="A215" s="142" t="s">
        <v>31</v>
      </c>
      <c r="B215" s="142"/>
      <c r="C215" s="142"/>
      <c r="D215" s="25">
        <f>SUM(D153,D157,D161,D165,D169,D173,D177,D181,D185,D189,D193,D197,D201)*100</f>
        <v>18500</v>
      </c>
      <c r="E215" s="34"/>
      <c r="F215" s="9"/>
      <c r="G215" s="5">
        <f>D215/H215</f>
        <v>2642.8571428571427</v>
      </c>
      <c r="H215" s="25">
        <f>SUM(H153,H157,H161,H166,H169,H173,H177,H181,H185,H189,H193,H197,H201)</f>
        <v>7</v>
      </c>
      <c r="I215" s="9"/>
      <c r="J215" s="112" t="str">
        <f t="shared" ref="J215:K215" si="257">J153</f>
        <v>ギャルキティマスコット</v>
      </c>
      <c r="K215" s="40">
        <f t="shared" si="257"/>
        <v>638</v>
      </c>
      <c r="L215" s="25">
        <f>SUM(L153,L157,L161,L166,L169,L173,L177,L181,L185,L189,L193,L197,L201)</f>
        <v>4928</v>
      </c>
      <c r="M215" s="24">
        <f>L215/D215</f>
        <v>0.26637837837837836</v>
      </c>
      <c r="N215" s="11"/>
      <c r="O215" s="1"/>
      <c r="P215" s="142" t="s">
        <v>31</v>
      </c>
      <c r="Q215" s="142"/>
      <c r="R215" s="25">
        <f>SUM(R153,R157,R161,R165,R169,R173,R177,R181,R185,R189,R193,R197,R201)*100</f>
        <v>41500</v>
      </c>
      <c r="S215" s="34"/>
      <c r="T215" s="9"/>
      <c r="U215" s="5">
        <f>R215/V215</f>
        <v>2593.75</v>
      </c>
      <c r="V215" s="25">
        <f>SUM(V153,V157,V161,V166,V169,V173,V177,V181,V185,V189,V193,V197,V201)</f>
        <v>16</v>
      </c>
      <c r="W215" s="9"/>
      <c r="X215" s="112" t="str">
        <f t="shared" ref="X215:Y215" si="258">X153</f>
        <v>ボンボンドロップシール</v>
      </c>
      <c r="Y215" s="40">
        <f t="shared" si="258"/>
        <v>200</v>
      </c>
      <c r="Z215" s="25">
        <f>SUM(Z153,Z157,Z161,Z166,Z169,Z173,Z177,Z181,Z185,Z189,Z193,Z197,Z201)</f>
        <v>3200</v>
      </c>
      <c r="AA215" s="24">
        <f>Z215/R215</f>
        <v>7.7108433734939766E-2</v>
      </c>
      <c r="AB215" s="11"/>
      <c r="AD215" s="142" t="s">
        <v>31</v>
      </c>
      <c r="AE215" s="142"/>
      <c r="AF215" s="25">
        <f>SUM(AF153,AF157,AF161,AF165,AF169,AF173,AF177,AF181,AF185,AF189,AF193,AF197,AF201)*100</f>
        <v>16300</v>
      </c>
      <c r="AG215" s="34"/>
      <c r="AH215" s="9"/>
      <c r="AI215" s="5">
        <f>AF215/AJ215</f>
        <v>2328.5714285714284</v>
      </c>
      <c r="AJ215" s="25">
        <f>SUM(AJ153,AJ157,AJ161,AJ166,AJ169,AJ173,AJ177,AJ181,AJ185,AJ189,AJ193,AJ197,AJ201)</f>
        <v>7</v>
      </c>
      <c r="AK215" s="9"/>
      <c r="AL215" s="112" t="str">
        <f>AL153</f>
        <v>サンリオスカーフ付きリュック</v>
      </c>
      <c r="AM215" s="40">
        <f t="shared" ref="AM215" si="259">AM153</f>
        <v>600</v>
      </c>
      <c r="AN215" s="25">
        <f>SUM(AN153,AN157,AN161,AN166,AN169,AN173,AN177,AN181,AN185,AN189,AN193,AN197,AN201)</f>
        <v>4200</v>
      </c>
      <c r="AO215" s="24">
        <f>AN215/AF215</f>
        <v>0.25766871165644173</v>
      </c>
      <c r="AP215" s="11"/>
      <c r="AR215" s="142" t="s">
        <v>31</v>
      </c>
      <c r="AS215" s="142"/>
      <c r="AT215" s="25">
        <f>SUM(AT153,AT157,AT161,AT165,AT169,AT173,AT177,AT181,AT185,AT189,AT193,AT197,AT201)*100</f>
        <v>20900</v>
      </c>
      <c r="AU215" s="34"/>
      <c r="AV215" s="9"/>
      <c r="AW215" s="5">
        <f>AT215/AX215</f>
        <v>20900</v>
      </c>
      <c r="AX215" s="25">
        <f>SUM(AX153,AX157,AX161,AX166,AX169,AX173,AX177,AX181,AX185,AX189,AX193,AX197,AX201)</f>
        <v>1</v>
      </c>
      <c r="AY215" s="9"/>
      <c r="AZ215" s="112" t="str">
        <f t="shared" ref="AZ215:BA215" si="260">AZ153</f>
        <v>たまごっちマスコット</v>
      </c>
      <c r="BA215" s="40">
        <f t="shared" si="260"/>
        <v>1500</v>
      </c>
      <c r="BB215" s="25">
        <f>SUM(BB153,BB157,BB161,BB166,BB169,BB173,BB177,BB181,BB185,BB189,BB193,BB197,BB201)</f>
        <v>99</v>
      </c>
      <c r="BC215" s="24">
        <f>BB215/AT215</f>
        <v>4.7368421052631582E-3</v>
      </c>
      <c r="BD215" s="11"/>
      <c r="BF215" s="7"/>
      <c r="BG215" s="141"/>
      <c r="BH215" s="141"/>
      <c r="BI215" s="92"/>
      <c r="BJ215" s="9"/>
      <c r="BK215" s="5"/>
      <c r="BL215" s="9"/>
      <c r="BM215" s="24"/>
      <c r="BN215" s="128"/>
      <c r="BO215" s="9"/>
      <c r="BP215" s="9"/>
      <c r="BQ215" s="9"/>
      <c r="BR215" s="11"/>
    </row>
    <row r="216" spans="1:70" x14ac:dyDescent="0.2">
      <c r="A216" s="142" t="s">
        <v>31</v>
      </c>
      <c r="B216" s="142"/>
      <c r="C216" s="142"/>
      <c r="D216" s="25">
        <f>SUM(D154,D158,D162,D166,D170,D174,D178,D182,D186,D190,D194,D198,D202)*100</f>
        <v>70500</v>
      </c>
      <c r="E216" s="34"/>
      <c r="F216" s="9"/>
      <c r="G216" s="5">
        <f>D216/H216</f>
        <v>4700</v>
      </c>
      <c r="H216" s="25">
        <f>SUM(H154,H158,H162,H165,H170,H174,H178,H182,H186,H190,H194,H198,H202)</f>
        <v>15</v>
      </c>
      <c r="I216" s="9"/>
      <c r="J216" s="112" t="str">
        <f t="shared" ref="J216:K216" si="261">J154</f>
        <v>バタースクイーズ</v>
      </c>
      <c r="K216" s="40">
        <f t="shared" si="261"/>
        <v>1100</v>
      </c>
      <c r="L216" s="25">
        <f>SUM(L154,L158,L162,L165,L170,L174,L178,L182,L186,L190,L194,L198,L202)</f>
        <v>16038</v>
      </c>
      <c r="M216" s="24">
        <f>L216/D216</f>
        <v>0.22748936170212766</v>
      </c>
      <c r="N216" s="11"/>
      <c r="O216" s="1"/>
      <c r="P216" s="142" t="s">
        <v>31</v>
      </c>
      <c r="Q216" s="142"/>
      <c r="R216" s="25">
        <f>SUM(R154,R158,R162,R166,R170,R174,R178,R182,R186,R190,R194,R198,R202)*100</f>
        <v>39400</v>
      </c>
      <c r="S216" s="34"/>
      <c r="T216" s="9"/>
      <c r="U216" s="5">
        <f>R216/V216</f>
        <v>2814.2857142857142</v>
      </c>
      <c r="V216" s="25">
        <f>SUM(V154,V158,V162,V165,V170,V174,V178,V182,V186,V190,V194,V198,V202)</f>
        <v>14</v>
      </c>
      <c r="W216" s="9"/>
      <c r="X216" s="112" t="str">
        <f t="shared" ref="X216:Y216" si="262">X154</f>
        <v>ゲームアーク</v>
      </c>
      <c r="Y216" s="40">
        <f t="shared" si="262"/>
        <v>648</v>
      </c>
      <c r="Z216" s="25">
        <f>SUM(Z154,Z158,Z162,Z165,Z170,Z174,Z178,Z182,Z186,Z190,Z194,Z198,Z202)</f>
        <v>8624</v>
      </c>
      <c r="AA216" s="24">
        <f>Z216/R216</f>
        <v>0.21888324873096446</v>
      </c>
      <c r="AB216" s="11"/>
      <c r="AD216" s="142" t="s">
        <v>31</v>
      </c>
      <c r="AE216" s="142"/>
      <c r="AF216" s="25">
        <f>SUM(AF154,AF158,AF162,AF166,AF170,AF174,AF178,AF182,AF186,AF190,AF194,AF198,AF202)*100</f>
        <v>24800</v>
      </c>
      <c r="AG216" s="34"/>
      <c r="AH216" s="9"/>
      <c r="AI216" s="5">
        <f>AF216/AJ216</f>
        <v>4960</v>
      </c>
      <c r="AJ216" s="25">
        <f>SUM(AJ154,AJ158,AJ162,AJ165,AJ170,AJ174,AJ178,AJ182,AJ186,AJ190,AJ194,AJ198,AJ202)</f>
        <v>5</v>
      </c>
      <c r="AK216" s="9"/>
      <c r="AL216" s="112" t="str">
        <f>AL154</f>
        <v>ラフブマスコット</v>
      </c>
      <c r="AM216" s="40">
        <f t="shared" ref="AM216" si="263">AM154</f>
        <v>350</v>
      </c>
      <c r="AN216" s="25">
        <f>SUM(AN154,AN158,AN162,AN165,AN170,AN174,AN178,AN182,AN186,AN190,AN194,AN198,AN202)</f>
        <v>2250</v>
      </c>
      <c r="AO216" s="24">
        <f>AN216/AF216</f>
        <v>9.0725806451612906E-2</v>
      </c>
      <c r="AP216" s="11"/>
      <c r="AR216" s="142" t="s">
        <v>31</v>
      </c>
      <c r="AS216" s="142"/>
      <c r="AT216" s="25">
        <f>SUM(AT154,AT158,AT162,AT166,AT170,AT174,AT178,AT182,AT186,AT190,AT194,AT198,AT202)*100</f>
        <v>14000</v>
      </c>
      <c r="AU216" s="34"/>
      <c r="AV216" s="9"/>
      <c r="AW216" s="5">
        <f>AT216/AX216</f>
        <v>1166.6666666666667</v>
      </c>
      <c r="AX216" s="25">
        <f>SUM(AX154,AX158,AX162,AX165,AX170,AX174,AX178,AX182,AX186,AX190,AX194,AX198,AX202)</f>
        <v>12</v>
      </c>
      <c r="AY216" s="9"/>
      <c r="AZ216" s="112" t="str">
        <f t="shared" ref="AZ216:BA216" si="264">AZ154</f>
        <v>シールバインダー</v>
      </c>
      <c r="BA216" s="40">
        <f t="shared" si="264"/>
        <v>330</v>
      </c>
      <c r="BB216" s="25">
        <f>SUM(BB154,BB158,BB162,BB165,BB170,BB174,BB178,BB182,BB186,BB190,BB194,BB198,BB202)</f>
        <v>8640</v>
      </c>
      <c r="BC216" s="24">
        <f>BB216/AT216</f>
        <v>0.6171428571428571</v>
      </c>
      <c r="BD216" s="11"/>
      <c r="BF216" s="7"/>
      <c r="BG216" s="141"/>
      <c r="BH216" s="141"/>
      <c r="BI216" s="9"/>
      <c r="BJ216" s="9"/>
      <c r="BK216" s="5"/>
      <c r="BL216" s="9"/>
      <c r="BM216" s="24"/>
      <c r="BN216" s="128"/>
      <c r="BO216" s="10"/>
      <c r="BP216" s="10"/>
      <c r="BQ216" s="10"/>
      <c r="BR216" s="11"/>
    </row>
    <row r="217" spans="1:70" x14ac:dyDescent="0.2">
      <c r="A217" s="12"/>
      <c r="B217" s="8"/>
      <c r="C217" s="5" t="s">
        <v>22</v>
      </c>
      <c r="D217" s="9">
        <f>SUM(D213:D216)</f>
        <v>158000</v>
      </c>
      <c r="E217" s="34"/>
      <c r="F217" s="9"/>
      <c r="G217" s="9"/>
      <c r="H217" s="9">
        <f>SUM(H213:H216)</f>
        <v>40</v>
      </c>
      <c r="I217" s="9"/>
      <c r="J217" s="143" t="s">
        <v>32</v>
      </c>
      <c r="K217" s="143"/>
      <c r="L217" s="33">
        <f>SUM(L213:L216)</f>
        <v>29150</v>
      </c>
      <c r="M217" s="44">
        <f>L217/D217</f>
        <v>0.18449367088607596</v>
      </c>
      <c r="N217" s="45"/>
      <c r="O217" s="1"/>
      <c r="P217" s="12"/>
      <c r="Q217" s="5" t="s">
        <v>22</v>
      </c>
      <c r="R217" s="9">
        <f>SUM(R213:R216)</f>
        <v>142300</v>
      </c>
      <c r="S217" s="34"/>
      <c r="T217" s="9"/>
      <c r="U217" s="9"/>
      <c r="V217" s="9">
        <f>SUM(V213:V216)</f>
        <v>43</v>
      </c>
      <c r="W217" s="9"/>
      <c r="X217" s="143" t="s">
        <v>32</v>
      </c>
      <c r="Y217" s="143"/>
      <c r="Z217" s="33">
        <f>SUM(Z213:Z216)</f>
        <v>24474</v>
      </c>
      <c r="AA217" s="44">
        <f>Z217/R217</f>
        <v>0.17198875614898101</v>
      </c>
      <c r="AB217" s="11"/>
      <c r="AD217" s="12"/>
      <c r="AE217" s="5" t="s">
        <v>22</v>
      </c>
      <c r="AF217" s="9">
        <f>SUM(AF213:AF216)</f>
        <v>90800</v>
      </c>
      <c r="AG217" s="34"/>
      <c r="AH217" s="9"/>
      <c r="AI217" s="9"/>
      <c r="AJ217" s="9">
        <f>SUM(AJ213:AJ216)</f>
        <v>28</v>
      </c>
      <c r="AK217" s="9"/>
      <c r="AL217" s="143" t="s">
        <v>32</v>
      </c>
      <c r="AM217" s="143"/>
      <c r="AN217" s="33">
        <f>SUM(AN213:AN216)</f>
        <v>17118</v>
      </c>
      <c r="AO217" s="44">
        <f>AN217/AF217</f>
        <v>0.18852422907488986</v>
      </c>
      <c r="AP217" s="11"/>
      <c r="AR217" s="12"/>
      <c r="AS217" s="5" t="s">
        <v>22</v>
      </c>
      <c r="AT217" s="9">
        <f>SUM(AT213:AT216)</f>
        <v>86500</v>
      </c>
      <c r="AU217" s="34"/>
      <c r="AV217" s="9"/>
      <c r="AW217" s="9"/>
      <c r="AX217" s="9">
        <f>SUM(AX213:AX216)</f>
        <v>25</v>
      </c>
      <c r="AY217" s="9"/>
      <c r="AZ217" s="143" t="s">
        <v>32</v>
      </c>
      <c r="BA217" s="143"/>
      <c r="BB217" s="33">
        <f>SUM(BB213:BB216)</f>
        <v>15370</v>
      </c>
      <c r="BC217" s="44">
        <f>BB217/AT217</f>
        <v>0.1776878612716763</v>
      </c>
      <c r="BD217" s="11"/>
      <c r="BF217" s="7"/>
      <c r="BG217" s="141"/>
      <c r="BH217" s="141"/>
      <c r="BI217" s="24"/>
      <c r="BJ217" s="9"/>
      <c r="BK217" s="5"/>
      <c r="BL217" s="9"/>
      <c r="BM217" s="24"/>
      <c r="BN217" s="128"/>
      <c r="BO217" s="10"/>
      <c r="BP217" s="10"/>
      <c r="BQ217" s="10"/>
      <c r="BR217" s="11"/>
    </row>
    <row r="218" spans="1:70" x14ac:dyDescent="0.2">
      <c r="A218" s="28"/>
      <c r="B218" s="27"/>
      <c r="C218" s="2"/>
      <c r="D218" s="2"/>
      <c r="E218" s="2"/>
      <c r="F218" s="2"/>
      <c r="G218" s="2"/>
      <c r="H218" s="2"/>
      <c r="I218" s="2"/>
      <c r="J218" s="119"/>
      <c r="K218" s="2"/>
      <c r="L218" s="2"/>
      <c r="M218" s="2"/>
      <c r="N218" s="32"/>
      <c r="O218" s="1"/>
      <c r="P218" s="28"/>
      <c r="Q218" s="2"/>
      <c r="R218" s="2"/>
      <c r="S218" s="2"/>
      <c r="T218" s="2"/>
      <c r="U218" s="2"/>
      <c r="V218" s="2"/>
      <c r="W218" s="2"/>
      <c r="X218" s="119"/>
      <c r="Y218" s="2"/>
      <c r="Z218" s="2"/>
      <c r="AA218" s="2"/>
      <c r="AB218" s="32"/>
      <c r="AD218" s="28"/>
      <c r="AE218" s="2"/>
      <c r="AF218" s="2"/>
      <c r="AG218" s="2"/>
      <c r="AH218" s="2"/>
      <c r="AI218" s="2"/>
      <c r="AJ218" s="2"/>
      <c r="AK218" s="2"/>
      <c r="AL218" s="119"/>
      <c r="AM218" s="2"/>
      <c r="AN218" s="2"/>
      <c r="AO218" s="2"/>
      <c r="AP218" s="32"/>
      <c r="AR218" s="28"/>
      <c r="AS218" s="2"/>
      <c r="AT218" s="2"/>
      <c r="AU218" s="2"/>
      <c r="AV218" s="2"/>
      <c r="AW218" s="2"/>
      <c r="AX218" s="2"/>
      <c r="AY218" s="2"/>
      <c r="AZ218" s="119"/>
      <c r="BA218" s="2"/>
      <c r="BB218" s="2"/>
      <c r="BC218" s="2"/>
      <c r="BD218" s="32"/>
      <c r="BF218" s="98"/>
    </row>
    <row r="219" spans="1:70" x14ac:dyDescent="0.2">
      <c r="A219" s="28"/>
      <c r="B219" s="133" t="s">
        <v>33</v>
      </c>
      <c r="C219" s="134"/>
      <c r="D219" s="135" t="s">
        <v>34</v>
      </c>
      <c r="E219" s="136"/>
      <c r="F219" s="135" t="s">
        <v>35</v>
      </c>
      <c r="G219" s="136"/>
      <c r="H219" s="2"/>
      <c r="I219" s="2"/>
      <c r="J219" s="119"/>
      <c r="K219" s="2"/>
      <c r="L219" s="2"/>
      <c r="M219" s="2"/>
      <c r="N219" s="32"/>
      <c r="O219" s="1"/>
      <c r="P219" s="28"/>
      <c r="Q219" s="2"/>
      <c r="R219" s="2"/>
      <c r="S219" s="2"/>
      <c r="T219" s="2"/>
      <c r="U219" s="2"/>
      <c r="V219" s="2"/>
      <c r="W219" s="2"/>
      <c r="X219" s="119"/>
      <c r="Y219" s="2"/>
      <c r="Z219" s="2"/>
      <c r="AA219" s="2"/>
      <c r="AB219" s="32"/>
      <c r="AD219" s="28"/>
      <c r="AE219" s="2"/>
      <c r="AF219" s="2"/>
      <c r="AG219" s="2"/>
      <c r="AH219" s="133" t="s">
        <v>33</v>
      </c>
      <c r="AI219" s="134"/>
      <c r="AJ219" s="135" t="s">
        <v>34</v>
      </c>
      <c r="AK219" s="136"/>
      <c r="AL219" s="135" t="s">
        <v>35</v>
      </c>
      <c r="AM219" s="136"/>
      <c r="AN219" s="2"/>
      <c r="AO219" s="2"/>
      <c r="AP219" s="32"/>
      <c r="AR219" s="28"/>
      <c r="AS219" s="2"/>
      <c r="AT219" s="2"/>
      <c r="AU219" s="2"/>
      <c r="AV219" s="2"/>
      <c r="AW219" s="2"/>
      <c r="AX219" s="2"/>
      <c r="AY219" s="2"/>
      <c r="AZ219" s="119"/>
      <c r="BA219" s="2"/>
      <c r="BB219" s="2"/>
      <c r="BC219" s="2"/>
      <c r="BD219" s="32"/>
      <c r="BF219" s="98"/>
    </row>
    <row r="220" spans="1:70" x14ac:dyDescent="0.2">
      <c r="A220" s="28"/>
      <c r="B220" s="137">
        <f>B211/A212*A211</f>
        <v>740200</v>
      </c>
      <c r="C220" s="138"/>
      <c r="D220" s="139">
        <f>L207+Z207+AN207+BB207+BL209</f>
        <v>146112</v>
      </c>
      <c r="E220" s="140"/>
      <c r="F220" s="139">
        <f>K210+Y210</f>
        <v>0</v>
      </c>
      <c r="G220" s="140"/>
      <c r="H220" s="2"/>
      <c r="I220" s="2"/>
      <c r="J220" s="119"/>
      <c r="K220" s="2"/>
      <c r="L220" s="2"/>
      <c r="M220" s="2"/>
      <c r="N220" s="32"/>
      <c r="O220" s="1"/>
      <c r="P220" s="28"/>
      <c r="Q220" s="2"/>
      <c r="R220" s="2"/>
      <c r="S220" s="2"/>
      <c r="T220" s="2"/>
      <c r="U220" s="2"/>
      <c r="V220" s="2"/>
      <c r="W220" s="2"/>
      <c r="X220" s="119"/>
      <c r="Y220" s="2"/>
      <c r="Z220" s="2"/>
      <c r="AA220" s="2"/>
      <c r="AB220" s="32"/>
      <c r="AD220" s="28"/>
      <c r="AE220" s="2"/>
      <c r="AF220" s="2"/>
      <c r="AG220" s="2"/>
      <c r="AH220" s="137" t="e">
        <f>AH211/AG212*AG211</f>
        <v>#DIV/0!</v>
      </c>
      <c r="AI220" s="138"/>
      <c r="AJ220" s="139">
        <f>AR207+BF207+BU207+CI207</f>
        <v>0</v>
      </c>
      <c r="AK220" s="140"/>
      <c r="AL220" s="139">
        <f>AQ210+BE210</f>
        <v>0</v>
      </c>
      <c r="AM220" s="140"/>
      <c r="AN220" s="2"/>
      <c r="AO220" s="2"/>
      <c r="AP220" s="32"/>
      <c r="AR220" s="28"/>
      <c r="AS220" s="2"/>
      <c r="AT220" s="2"/>
      <c r="AU220" s="2"/>
      <c r="AV220" s="2"/>
      <c r="AW220" s="2"/>
      <c r="AX220" s="2"/>
      <c r="AY220" s="2"/>
      <c r="AZ220" s="119"/>
      <c r="BA220" s="2"/>
      <c r="BB220" s="2"/>
      <c r="BC220" s="2"/>
      <c r="BD220" s="32"/>
      <c r="BF220" s="98"/>
    </row>
    <row r="221" spans="1:70" ht="15" customHeight="1" x14ac:dyDescent="0.2">
      <c r="B221" s="54"/>
      <c r="C221" s="54"/>
      <c r="D221" s="124" t="s">
        <v>36</v>
      </c>
      <c r="E221" s="57">
        <f>D220/B211</f>
        <v>0.1973952985679546</v>
      </c>
      <c r="F221" s="9"/>
      <c r="G221" s="9"/>
      <c r="K221"/>
      <c r="AH221" s="54"/>
      <c r="AI221" s="54"/>
      <c r="AJ221" s="69" t="s">
        <v>36</v>
      </c>
      <c r="AK221" s="57" t="e">
        <f>AJ220/AH211</f>
        <v>#DIV/0!</v>
      </c>
      <c r="AL221" s="113"/>
      <c r="AM221" s="9"/>
      <c r="BF221" s="98"/>
    </row>
    <row r="222" spans="1:70" x14ac:dyDescent="0.2">
      <c r="K222"/>
      <c r="BF222" s="98"/>
    </row>
    <row r="223" spans="1:70" ht="18.75" x14ac:dyDescent="0.2">
      <c r="A223" s="150" t="s">
        <v>53</v>
      </c>
      <c r="B223" s="150"/>
      <c r="C223" s="150"/>
      <c r="D223" s="150"/>
      <c r="E223" s="151" t="s">
        <v>0</v>
      </c>
      <c r="F223" s="151"/>
      <c r="G223" s="86"/>
      <c r="H223" s="86"/>
      <c r="I223" s="86"/>
      <c r="J223" s="108"/>
      <c r="K223" s="86"/>
      <c r="L223" s="86"/>
      <c r="M223" s="86"/>
      <c r="N223" s="87"/>
      <c r="O223" s="88"/>
      <c r="P223" s="150" t="s">
        <v>53</v>
      </c>
      <c r="Q223" s="150"/>
      <c r="R223" s="150"/>
      <c r="S223" s="151" t="s">
        <v>1</v>
      </c>
      <c r="T223" s="151"/>
      <c r="U223" s="86"/>
      <c r="V223" s="86"/>
      <c r="W223" s="86"/>
      <c r="X223" s="108"/>
      <c r="Y223" s="86"/>
      <c r="Z223" s="86"/>
      <c r="AA223" s="86"/>
      <c r="AB223" s="87"/>
      <c r="AD223" s="150" t="s">
        <v>53</v>
      </c>
      <c r="AE223" s="150"/>
      <c r="AF223" s="150"/>
      <c r="AG223" s="151" t="s">
        <v>54</v>
      </c>
      <c r="AH223" s="151"/>
      <c r="AI223" s="86"/>
      <c r="AJ223" s="86"/>
      <c r="AK223" s="86"/>
      <c r="AL223" s="108"/>
      <c r="AM223" s="86"/>
      <c r="AN223" s="86"/>
      <c r="AO223" s="86"/>
      <c r="AP223" s="87"/>
      <c r="AR223" s="150" t="s">
        <v>53</v>
      </c>
      <c r="AS223" s="150"/>
      <c r="AT223" s="150"/>
      <c r="AU223" s="151" t="s">
        <v>55</v>
      </c>
      <c r="AV223" s="151"/>
      <c r="AW223" s="86"/>
      <c r="AX223" s="86"/>
      <c r="AY223" s="86"/>
      <c r="AZ223" s="108"/>
      <c r="BA223" s="86"/>
      <c r="BB223" s="86"/>
      <c r="BC223" s="86"/>
      <c r="BD223" s="87"/>
      <c r="BE223" s="105"/>
      <c r="BF223" s="150" t="s">
        <v>43</v>
      </c>
      <c r="BG223" s="150"/>
      <c r="BH223" s="150"/>
      <c r="BI223" s="148" t="s">
        <v>44</v>
      </c>
      <c r="BJ223" s="148"/>
      <c r="BK223" s="106"/>
      <c r="BL223" s="106"/>
      <c r="BM223" s="106"/>
      <c r="BN223" s="106"/>
      <c r="BO223" s="106"/>
      <c r="BP223" s="106"/>
      <c r="BQ223" s="106"/>
      <c r="BR223" s="106"/>
    </row>
    <row r="224" spans="1:70" x14ac:dyDescent="0.2">
      <c r="A224" s="7" t="s">
        <v>2</v>
      </c>
      <c r="B224" s="60" t="s">
        <v>3</v>
      </c>
      <c r="C224" s="5" t="s">
        <v>4</v>
      </c>
      <c r="D224" s="5" t="s">
        <v>5</v>
      </c>
      <c r="E224" s="6" t="s">
        <v>6</v>
      </c>
      <c r="F224" s="5" t="s">
        <v>5</v>
      </c>
      <c r="G224" s="5" t="s">
        <v>7</v>
      </c>
      <c r="H224" s="5" t="s">
        <v>8</v>
      </c>
      <c r="I224" s="5" t="s">
        <v>9</v>
      </c>
      <c r="J224" s="92" t="s">
        <v>10</v>
      </c>
      <c r="K224" s="5" t="s">
        <v>11</v>
      </c>
      <c r="L224" s="5" t="s">
        <v>8</v>
      </c>
      <c r="M224" s="5" t="s">
        <v>12</v>
      </c>
      <c r="N224" s="5" t="s">
        <v>13</v>
      </c>
      <c r="O224" s="3"/>
      <c r="P224" s="7" t="s">
        <v>2</v>
      </c>
      <c r="Q224" s="5" t="s">
        <v>4</v>
      </c>
      <c r="R224" s="5" t="s">
        <v>5</v>
      </c>
      <c r="S224" s="6" t="s">
        <v>6</v>
      </c>
      <c r="T224" s="5" t="s">
        <v>5</v>
      </c>
      <c r="U224" s="5" t="s">
        <v>7</v>
      </c>
      <c r="V224" s="5" t="s">
        <v>8</v>
      </c>
      <c r="W224" s="5" t="s">
        <v>9</v>
      </c>
      <c r="X224" s="92" t="s">
        <v>10</v>
      </c>
      <c r="Y224" s="5" t="s">
        <v>11</v>
      </c>
      <c r="Z224" s="5" t="s">
        <v>8</v>
      </c>
      <c r="AA224" s="5" t="s">
        <v>12</v>
      </c>
      <c r="AB224" s="5" t="s">
        <v>13</v>
      </c>
      <c r="AD224" s="7" t="s">
        <v>2</v>
      </c>
      <c r="AE224" s="5" t="s">
        <v>4</v>
      </c>
      <c r="AF224" s="5" t="s">
        <v>5</v>
      </c>
      <c r="AG224" s="6" t="s">
        <v>6</v>
      </c>
      <c r="AH224" s="5" t="s">
        <v>5</v>
      </c>
      <c r="AI224" s="5" t="s">
        <v>7</v>
      </c>
      <c r="AJ224" s="5" t="s">
        <v>8</v>
      </c>
      <c r="AK224" s="5" t="s">
        <v>9</v>
      </c>
      <c r="AL224" s="92" t="s">
        <v>10</v>
      </c>
      <c r="AM224" s="5" t="s">
        <v>11</v>
      </c>
      <c r="AN224" s="5" t="s">
        <v>8</v>
      </c>
      <c r="AO224" s="5" t="s">
        <v>12</v>
      </c>
      <c r="AP224" s="5" t="s">
        <v>13</v>
      </c>
      <c r="AR224" s="7" t="s">
        <v>2</v>
      </c>
      <c r="AS224" s="5" t="s">
        <v>4</v>
      </c>
      <c r="AT224" s="5" t="s">
        <v>5</v>
      </c>
      <c r="AU224" s="6" t="s">
        <v>6</v>
      </c>
      <c r="AV224" s="5" t="s">
        <v>5</v>
      </c>
      <c r="AW224" s="5" t="s">
        <v>7</v>
      </c>
      <c r="AX224" s="5" t="s">
        <v>8</v>
      </c>
      <c r="AY224" s="5" t="s">
        <v>9</v>
      </c>
      <c r="AZ224" s="92" t="s">
        <v>10</v>
      </c>
      <c r="BA224" s="5" t="s">
        <v>11</v>
      </c>
      <c r="BB224" s="5" t="s">
        <v>8</v>
      </c>
      <c r="BC224" s="5" t="s">
        <v>12</v>
      </c>
      <c r="BD224" s="5" t="s">
        <v>13</v>
      </c>
      <c r="BF224" s="89" t="s">
        <v>2</v>
      </c>
      <c r="BG224" s="5" t="s">
        <v>4</v>
      </c>
      <c r="BH224" s="5" t="s">
        <v>5</v>
      </c>
      <c r="BI224" s="6" t="s">
        <v>6</v>
      </c>
      <c r="BJ224" s="5" t="s">
        <v>5</v>
      </c>
      <c r="BK224" s="5" t="s">
        <v>7</v>
      </c>
      <c r="BL224" s="5" t="s">
        <v>8</v>
      </c>
      <c r="BM224" s="5" t="s">
        <v>9</v>
      </c>
      <c r="BN224" s="5"/>
      <c r="BO224" s="5" t="s">
        <v>11</v>
      </c>
      <c r="BP224" s="5" t="s">
        <v>45</v>
      </c>
      <c r="BQ224" s="5" t="s">
        <v>46</v>
      </c>
      <c r="BR224" s="5" t="s">
        <v>13</v>
      </c>
    </row>
    <row r="225" spans="1:70" x14ac:dyDescent="0.2">
      <c r="A225" s="12">
        <v>46071</v>
      </c>
      <c r="B225" s="61"/>
      <c r="C225" s="33">
        <v>15499</v>
      </c>
      <c r="D225" s="33"/>
      <c r="E225" s="33"/>
      <c r="F225" s="33"/>
      <c r="G225" s="33">
        <v>0</v>
      </c>
      <c r="H225" s="33"/>
      <c r="I225" s="33"/>
      <c r="J225" s="109"/>
      <c r="K225" s="40"/>
      <c r="L225" s="33"/>
      <c r="M225" s="41"/>
      <c r="N225" s="11"/>
      <c r="O225" s="1"/>
      <c r="P225" s="12">
        <v>46071</v>
      </c>
      <c r="Q225" s="33">
        <v>14925</v>
      </c>
      <c r="R225" s="33"/>
      <c r="S225" s="33"/>
      <c r="T225" s="33"/>
      <c r="U225" s="33">
        <v>10</v>
      </c>
      <c r="V225" s="33"/>
      <c r="W225" s="33"/>
      <c r="X225" s="109" t="s">
        <v>136</v>
      </c>
      <c r="Y225" s="40">
        <v>1100</v>
      </c>
      <c r="Z225" s="33"/>
      <c r="AA225" s="41"/>
      <c r="AB225" s="11"/>
      <c r="AD225" s="12">
        <v>46071</v>
      </c>
      <c r="AE225" s="33">
        <v>12334</v>
      </c>
      <c r="AF225" s="33"/>
      <c r="AG225" s="33"/>
      <c r="AH225" s="33"/>
      <c r="AI225" s="33">
        <v>15</v>
      </c>
      <c r="AJ225" s="33"/>
      <c r="AK225" s="33"/>
      <c r="AL225" s="109" t="s">
        <v>139</v>
      </c>
      <c r="AM225" s="40">
        <v>600</v>
      </c>
      <c r="AN225" s="33"/>
      <c r="AO225" s="41"/>
      <c r="AP225" s="11"/>
      <c r="AR225" s="12">
        <v>46071</v>
      </c>
      <c r="AS225" s="33">
        <v>9209</v>
      </c>
      <c r="AT225" s="33"/>
      <c r="AU225" s="33"/>
      <c r="AV225" s="33"/>
      <c r="AW225" s="33">
        <v>10</v>
      </c>
      <c r="AX225" s="33"/>
      <c r="AY225" s="33"/>
      <c r="AZ225" s="112" t="s">
        <v>142</v>
      </c>
      <c r="BA225" s="40">
        <v>825</v>
      </c>
      <c r="BB225" s="33"/>
      <c r="BC225" s="41"/>
      <c r="BD225" s="11"/>
      <c r="BF225" s="7">
        <v>46071</v>
      </c>
      <c r="BG225" s="13">
        <v>1774</v>
      </c>
      <c r="BH225" s="33"/>
      <c r="BI225" s="9">
        <v>993</v>
      </c>
      <c r="BJ225" s="33"/>
      <c r="BK225" s="33">
        <v>17</v>
      </c>
      <c r="BL225" s="33"/>
      <c r="BM225" s="33"/>
      <c r="BN225" s="33"/>
      <c r="BO225" s="33">
        <v>1500</v>
      </c>
      <c r="BP225" s="9"/>
      <c r="BQ225" s="10"/>
      <c r="BR225" s="93" t="s">
        <v>134</v>
      </c>
    </row>
    <row r="226" spans="1:70" x14ac:dyDescent="0.2">
      <c r="A226" s="59"/>
      <c r="B226" s="8"/>
      <c r="C226" s="33">
        <v>18827</v>
      </c>
      <c r="D226" s="9"/>
      <c r="E226" s="33"/>
      <c r="F226" s="9"/>
      <c r="G226" s="9">
        <v>50</v>
      </c>
      <c r="H226" s="9"/>
      <c r="I226" s="9"/>
      <c r="J226" s="109" t="s">
        <v>15</v>
      </c>
      <c r="K226" s="33">
        <v>275</v>
      </c>
      <c r="L226" s="9"/>
      <c r="M226" s="10"/>
      <c r="N226" s="11"/>
      <c r="O226" s="1"/>
      <c r="P226" s="12"/>
      <c r="Q226" s="33">
        <v>14380</v>
      </c>
      <c r="R226" s="9"/>
      <c r="S226" s="33"/>
      <c r="T226" s="9"/>
      <c r="U226" s="9">
        <v>10</v>
      </c>
      <c r="V226" s="9"/>
      <c r="W226" s="9"/>
      <c r="X226" s="121" t="s">
        <v>21</v>
      </c>
      <c r="Y226" s="34">
        <v>825</v>
      </c>
      <c r="Z226" s="9"/>
      <c r="AA226" s="10"/>
      <c r="AB226" s="11"/>
      <c r="AD226" s="12"/>
      <c r="AE226" s="33">
        <v>12433</v>
      </c>
      <c r="AF226" s="9"/>
      <c r="AG226" s="33"/>
      <c r="AH226" s="9"/>
      <c r="AI226" s="9">
        <v>15</v>
      </c>
      <c r="AJ226" s="9"/>
      <c r="AK226" s="9"/>
      <c r="AL226" s="121" t="s">
        <v>140</v>
      </c>
      <c r="AM226" s="34">
        <v>748</v>
      </c>
      <c r="AN226" s="9"/>
      <c r="AO226" s="10"/>
      <c r="AP226" s="11"/>
      <c r="AR226" s="12"/>
      <c r="AS226" s="33">
        <v>10690</v>
      </c>
      <c r="AT226" s="9"/>
      <c r="AU226" s="33"/>
      <c r="AV226" s="9"/>
      <c r="AW226" s="9">
        <v>20</v>
      </c>
      <c r="AX226" s="9"/>
      <c r="AY226" s="9"/>
      <c r="AZ226" s="113" t="s">
        <v>144</v>
      </c>
      <c r="BA226" s="34">
        <v>358</v>
      </c>
      <c r="BB226" s="9"/>
      <c r="BC226" s="10"/>
      <c r="BD226" s="11"/>
      <c r="BF226" s="96">
        <f>IF($A229="","",$A229)</f>
        <v>46084</v>
      </c>
      <c r="BG226" s="13">
        <v>2248</v>
      </c>
      <c r="BH226" s="9">
        <f t="shared" ref="BH226:BH238" si="265">IF(BG226="","",BG226-BG225)</f>
        <v>474</v>
      </c>
      <c r="BI226" s="9">
        <v>10</v>
      </c>
      <c r="BJ226" s="9">
        <v>17</v>
      </c>
      <c r="BK226" s="33">
        <v>0</v>
      </c>
      <c r="BL226" s="9">
        <f t="shared" ref="BL226:BL238" si="266">IF(BK226="","",BK225+BM225-BK226)</f>
        <v>17</v>
      </c>
      <c r="BM226" s="33">
        <v>12</v>
      </c>
      <c r="BN226" s="33"/>
      <c r="BO226" s="33">
        <f t="shared" ref="BO226:BO231" si="267">IF(BG226="","",BO225)</f>
        <v>1500</v>
      </c>
      <c r="BP226" s="9">
        <f t="shared" ref="BP226:BP231" si="268">IF(BO226="","",BL226*BO226)</f>
        <v>25500</v>
      </c>
      <c r="BQ226" s="10">
        <f t="shared" ref="BQ226:BQ231" si="269">IF(BP226="","",BP226/(BH226*100))</f>
        <v>0.53797468354430378</v>
      </c>
      <c r="BR226" s="11"/>
    </row>
    <row r="227" spans="1:70" x14ac:dyDescent="0.2">
      <c r="A227" s="12"/>
      <c r="B227" s="8"/>
      <c r="C227" s="33">
        <v>17946</v>
      </c>
      <c r="D227" s="9"/>
      <c r="E227" s="33"/>
      <c r="F227" s="9"/>
      <c r="G227" s="9">
        <v>20</v>
      </c>
      <c r="H227" s="9"/>
      <c r="I227" s="9"/>
      <c r="J227" s="110" t="s">
        <v>137</v>
      </c>
      <c r="K227" s="34">
        <v>638</v>
      </c>
      <c r="L227" s="9"/>
      <c r="M227" s="10"/>
      <c r="N227" s="11"/>
      <c r="O227" s="1"/>
      <c r="P227" s="12"/>
      <c r="Q227" s="33">
        <v>14540</v>
      </c>
      <c r="R227" s="9"/>
      <c r="S227" s="33"/>
      <c r="T227" s="9"/>
      <c r="U227" s="9">
        <v>20</v>
      </c>
      <c r="V227" s="9"/>
      <c r="W227" s="9"/>
      <c r="X227" s="121" t="s">
        <v>134</v>
      </c>
      <c r="Y227" s="34">
        <v>200</v>
      </c>
      <c r="Z227" s="9"/>
      <c r="AA227" s="10"/>
      <c r="AB227" s="11"/>
      <c r="AD227" s="12"/>
      <c r="AE227" s="33">
        <v>14842</v>
      </c>
      <c r="AF227" s="9"/>
      <c r="AG227" s="33"/>
      <c r="AH227" s="9"/>
      <c r="AI227" s="9">
        <v>10</v>
      </c>
      <c r="AJ227" s="9"/>
      <c r="AK227" s="9"/>
      <c r="AL227" s="121" t="s">
        <v>147</v>
      </c>
      <c r="AM227" s="34">
        <v>600</v>
      </c>
      <c r="AN227" s="9"/>
      <c r="AO227" s="10"/>
      <c r="AP227" s="11"/>
      <c r="AR227" s="12"/>
      <c r="AS227" s="33">
        <v>12865</v>
      </c>
      <c r="AT227" s="9"/>
      <c r="AU227" s="33"/>
      <c r="AV227" s="9"/>
      <c r="AW227" s="9">
        <v>15</v>
      </c>
      <c r="AX227" s="9"/>
      <c r="AY227" s="9"/>
      <c r="AZ227" s="113" t="s">
        <v>137</v>
      </c>
      <c r="BA227" s="9">
        <v>638</v>
      </c>
      <c r="BB227" s="9"/>
      <c r="BC227" s="10"/>
      <c r="BD227" s="11"/>
      <c r="BF227" s="96">
        <f>IF($A233="","",$A233)</f>
        <v>46087</v>
      </c>
      <c r="BG227" s="13">
        <v>2746</v>
      </c>
      <c r="BH227" s="9">
        <f t="shared" si="265"/>
        <v>498</v>
      </c>
      <c r="BI227" s="9">
        <v>18</v>
      </c>
      <c r="BJ227" s="9">
        <f t="shared" ref="BJ227:BJ238" si="270">IF(BI227="","",BI227-BI226)</f>
        <v>8</v>
      </c>
      <c r="BK227" s="33">
        <v>8</v>
      </c>
      <c r="BL227" s="9">
        <f>IF(BK227="","",BK226+BM226-BK227)</f>
        <v>4</v>
      </c>
      <c r="BM227" s="33">
        <v>15</v>
      </c>
      <c r="BN227" s="33"/>
      <c r="BO227" s="33">
        <f t="shared" si="267"/>
        <v>1500</v>
      </c>
      <c r="BP227" s="9">
        <f t="shared" si="268"/>
        <v>6000</v>
      </c>
      <c r="BQ227" s="10">
        <f t="shared" si="269"/>
        <v>0.12048192771084337</v>
      </c>
      <c r="BR227" s="11"/>
    </row>
    <row r="228" spans="1:70" ht="15" customHeight="1" thickBot="1" x14ac:dyDescent="0.25">
      <c r="A228" s="16"/>
      <c r="B228" s="62"/>
      <c r="C228" s="36">
        <v>12341</v>
      </c>
      <c r="D228" s="36"/>
      <c r="E228" s="36"/>
      <c r="F228" s="17"/>
      <c r="G228" s="17">
        <v>20</v>
      </c>
      <c r="H228" s="17"/>
      <c r="I228" s="17"/>
      <c r="J228" s="111" t="s">
        <v>138</v>
      </c>
      <c r="K228" s="17">
        <v>1100</v>
      </c>
      <c r="L228" s="17"/>
      <c r="M228" s="18"/>
      <c r="N228" s="11"/>
      <c r="O228" s="1"/>
      <c r="P228" s="16"/>
      <c r="Q228" s="36">
        <v>12484</v>
      </c>
      <c r="R228" s="36"/>
      <c r="S228" s="36"/>
      <c r="T228" s="17"/>
      <c r="U228" s="17">
        <v>10</v>
      </c>
      <c r="V228" s="17"/>
      <c r="W228" s="17"/>
      <c r="X228" s="122" t="s">
        <v>135</v>
      </c>
      <c r="Y228" s="17">
        <v>648</v>
      </c>
      <c r="Z228" s="17"/>
      <c r="AA228" s="18"/>
      <c r="AB228" s="11"/>
      <c r="AD228" s="16"/>
      <c r="AE228" s="36">
        <v>15107</v>
      </c>
      <c r="AF228" s="36"/>
      <c r="AG228" s="36"/>
      <c r="AH228" s="17"/>
      <c r="AI228" s="17">
        <v>15</v>
      </c>
      <c r="AJ228" s="17"/>
      <c r="AK228" s="17"/>
      <c r="AL228" s="122" t="s">
        <v>80</v>
      </c>
      <c r="AM228" s="17">
        <v>350</v>
      </c>
      <c r="AN228" s="17"/>
      <c r="AO228" s="18"/>
      <c r="AP228" s="11"/>
      <c r="AR228" s="16"/>
      <c r="AS228" s="36">
        <v>10804</v>
      </c>
      <c r="AT228" s="36"/>
      <c r="AU228" s="36"/>
      <c r="AV228" s="17"/>
      <c r="AW228" s="17">
        <v>10</v>
      </c>
      <c r="AX228" s="17"/>
      <c r="AY228" s="17"/>
      <c r="AZ228" s="114" t="s">
        <v>143</v>
      </c>
      <c r="BA228" s="37">
        <v>550</v>
      </c>
      <c r="BB228" s="17"/>
      <c r="BC228" s="18"/>
      <c r="BD228" s="11"/>
      <c r="BF228" s="96">
        <f>IF($A237="","",$A237)</f>
        <v>46090</v>
      </c>
      <c r="BG228" s="13">
        <v>3221</v>
      </c>
      <c r="BH228" s="9">
        <f t="shared" si="265"/>
        <v>475</v>
      </c>
      <c r="BI228" s="9">
        <v>25</v>
      </c>
      <c r="BJ228" s="9">
        <f t="shared" si="270"/>
        <v>7</v>
      </c>
      <c r="BK228" s="33">
        <v>16</v>
      </c>
      <c r="BL228" s="9">
        <f t="shared" si="266"/>
        <v>7</v>
      </c>
      <c r="BM228" s="33">
        <v>0</v>
      </c>
      <c r="BN228" s="33"/>
      <c r="BO228" s="33">
        <f t="shared" si="267"/>
        <v>1500</v>
      </c>
      <c r="BP228" s="9">
        <f t="shared" si="268"/>
        <v>10500</v>
      </c>
      <c r="BQ228" s="10">
        <f t="shared" si="269"/>
        <v>0.22105263157894736</v>
      </c>
      <c r="BR228" s="11"/>
    </row>
    <row r="229" spans="1:70" ht="15" customHeight="1" thickTop="1" x14ac:dyDescent="0.2">
      <c r="A229" s="71">
        <v>46084</v>
      </c>
      <c r="B229" s="61">
        <f>SUM(D229:D232)+SUM(R229:R232)+SUM(AF229:AF232)+SUM(AT229:AT232)+SUM(BH226)</f>
        <v>1257</v>
      </c>
      <c r="C229" s="33">
        <v>15499</v>
      </c>
      <c r="D229" s="33">
        <f t="shared" ref="D229:D264" si="271">IF(C229="","",C229-C225)</f>
        <v>0</v>
      </c>
      <c r="E229" s="33">
        <v>1102</v>
      </c>
      <c r="F229" s="20"/>
      <c r="G229" s="33">
        <v>0</v>
      </c>
      <c r="H229" s="33">
        <f t="shared" ref="H229:H264" si="272">IF(G229="","",G225+I225-G229)</f>
        <v>0</v>
      </c>
      <c r="I229" s="43"/>
      <c r="J229" s="112">
        <f t="shared" ref="J229:K244" si="273">IF(C229="","",J225)</f>
        <v>0</v>
      </c>
      <c r="K229" s="40">
        <f t="shared" si="273"/>
        <v>0</v>
      </c>
      <c r="L229" s="20">
        <f t="shared" ref="L229:L264" si="274">IF(G229="","",H229*K229)</f>
        <v>0</v>
      </c>
      <c r="M229" s="21" t="e">
        <f t="shared" ref="M229:M264" si="275">IF(H229="","",L229/(D229*100))</f>
        <v>#DIV/0!</v>
      </c>
      <c r="N229" s="11"/>
      <c r="O229" s="1"/>
      <c r="P229" s="76">
        <f>IF($A229="","",$A229)</f>
        <v>46084</v>
      </c>
      <c r="Q229" s="33">
        <v>14960</v>
      </c>
      <c r="R229" s="33">
        <f t="shared" ref="R229:R264" si="276">IF(Q229="","",Q229-Q225)</f>
        <v>35</v>
      </c>
      <c r="S229" s="33">
        <v>1435</v>
      </c>
      <c r="T229" s="20"/>
      <c r="U229" s="33">
        <v>6</v>
      </c>
      <c r="V229" s="33">
        <f t="shared" ref="V229:V264" si="277">IF(U229="","",U225+W225-U229)</f>
        <v>4</v>
      </c>
      <c r="W229" s="43"/>
      <c r="X229" s="112" t="str">
        <f t="shared" ref="X229:Y244" si="278">IF(Q229="","",X225)</f>
        <v>キティボアバンスクリップ</v>
      </c>
      <c r="Y229" s="40">
        <f t="shared" si="278"/>
        <v>1100</v>
      </c>
      <c r="Z229" s="20">
        <f t="shared" ref="Z229:Z264" si="279">IF(U229="","",V229*Y229)</f>
        <v>4400</v>
      </c>
      <c r="AA229" s="21">
        <f t="shared" ref="AA229:AA264" si="280">IF(V229="","",Z229/(R229*100))</f>
        <v>1.2571428571428571</v>
      </c>
      <c r="AB229" s="11"/>
      <c r="AD229" s="76">
        <f>IF($A229="","",$A229)</f>
        <v>46084</v>
      </c>
      <c r="AE229" s="33">
        <v>12343</v>
      </c>
      <c r="AF229" s="33">
        <f t="shared" ref="AF229:AF264" si="281">IF(AE229="","",AE229-AE225)</f>
        <v>9</v>
      </c>
      <c r="AG229" s="33">
        <v>905</v>
      </c>
      <c r="AH229" s="20"/>
      <c r="AI229" s="33">
        <v>10</v>
      </c>
      <c r="AJ229" s="33">
        <f t="shared" ref="AJ229:AJ264" si="282">IF(AI229="","",AI225+AK225-AI229)</f>
        <v>5</v>
      </c>
      <c r="AK229" s="43"/>
      <c r="AL229" s="112" t="str">
        <f t="shared" ref="AL229:AM244" si="283">IF(AE229="","",AL225)</f>
        <v>キティフェイス千鳥</v>
      </c>
      <c r="AM229" s="40">
        <f t="shared" si="283"/>
        <v>600</v>
      </c>
      <c r="AN229" s="20">
        <f t="shared" ref="AN229:AN264" si="284">IF(AI229="","",AJ229*AM229)</f>
        <v>3000</v>
      </c>
      <c r="AO229" s="21">
        <f t="shared" ref="AO229:AO264" si="285">IF(AJ229="","",AN229/(AF229*100))</f>
        <v>3.3333333333333335</v>
      </c>
      <c r="AP229" s="11"/>
      <c r="AR229" s="76">
        <f>IF($A229="","",$A229)</f>
        <v>46084</v>
      </c>
      <c r="AS229" s="33">
        <v>9400</v>
      </c>
      <c r="AT229" s="33">
        <f t="shared" ref="AT229:AT264" si="286">IF(AS229="","",AS229-AS225)</f>
        <v>191</v>
      </c>
      <c r="AU229" s="33">
        <v>525</v>
      </c>
      <c r="AV229" s="20"/>
      <c r="AW229" s="33">
        <v>6</v>
      </c>
      <c r="AX229" s="33">
        <f t="shared" ref="AX229:AX264" si="287">IF(AW229="","",AW225+AY225-AW229)</f>
        <v>4</v>
      </c>
      <c r="AY229" s="43"/>
      <c r="AZ229" s="113" t="str">
        <f t="shared" ref="AZ229:BA236" si="288">IF(AS229="","",AZ225)</f>
        <v>キティシッポ付フェイスポーチ</v>
      </c>
      <c r="BA229" s="34">
        <f t="shared" si="288"/>
        <v>825</v>
      </c>
      <c r="BB229" s="20">
        <f t="shared" ref="BB229:BB264" si="289">IF(AW229="","",AX229*BA229)</f>
        <v>3300</v>
      </c>
      <c r="BC229" s="21">
        <f t="shared" ref="BC229:BC264" si="290">IF(AX229="","",BB229/(AT229*100))</f>
        <v>0.17277486910994763</v>
      </c>
      <c r="BD229" s="11"/>
      <c r="BF229" s="96">
        <f>IF($A241="","",$A241)</f>
        <v>46091</v>
      </c>
      <c r="BG229" s="13">
        <v>3414</v>
      </c>
      <c r="BH229" s="9">
        <f t="shared" si="265"/>
        <v>193</v>
      </c>
      <c r="BI229" s="9">
        <v>28</v>
      </c>
      <c r="BJ229" s="9">
        <f t="shared" si="270"/>
        <v>3</v>
      </c>
      <c r="BK229" s="33">
        <v>13</v>
      </c>
      <c r="BL229" s="9">
        <f t="shared" si="266"/>
        <v>3</v>
      </c>
      <c r="BM229" s="33">
        <v>2</v>
      </c>
      <c r="BN229" s="33"/>
      <c r="BO229" s="33">
        <f t="shared" si="267"/>
        <v>1500</v>
      </c>
      <c r="BP229" s="9">
        <f t="shared" si="268"/>
        <v>4500</v>
      </c>
      <c r="BQ229" s="10">
        <f t="shared" si="269"/>
        <v>0.23316062176165803</v>
      </c>
      <c r="BR229" s="11"/>
    </row>
    <row r="230" spans="1:70" x14ac:dyDescent="0.2">
      <c r="A230" s="72"/>
      <c r="B230" s="63"/>
      <c r="C230" s="9">
        <v>18940</v>
      </c>
      <c r="D230" s="9">
        <f t="shared" si="271"/>
        <v>113</v>
      </c>
      <c r="E230" s="9">
        <v>624</v>
      </c>
      <c r="F230" s="9"/>
      <c r="G230" s="9">
        <v>40</v>
      </c>
      <c r="H230" s="9">
        <f t="shared" si="272"/>
        <v>10</v>
      </c>
      <c r="I230" s="13"/>
      <c r="J230" s="113" t="str">
        <f t="shared" si="273"/>
        <v>電ブル</v>
      </c>
      <c r="K230" s="34">
        <f t="shared" si="273"/>
        <v>275</v>
      </c>
      <c r="L230" s="9">
        <f t="shared" si="274"/>
        <v>2750</v>
      </c>
      <c r="M230" s="10">
        <f t="shared" si="275"/>
        <v>0.24336283185840707</v>
      </c>
      <c r="N230" s="11"/>
      <c r="O230" s="1"/>
      <c r="P230" s="72"/>
      <c r="Q230" s="9">
        <v>14472</v>
      </c>
      <c r="R230" s="9">
        <f t="shared" si="276"/>
        <v>92</v>
      </c>
      <c r="S230" s="9">
        <v>493</v>
      </c>
      <c r="T230" s="9"/>
      <c r="U230" s="9">
        <v>8</v>
      </c>
      <c r="V230" s="9">
        <f t="shared" si="277"/>
        <v>2</v>
      </c>
      <c r="W230" s="13"/>
      <c r="X230" s="113" t="str">
        <f t="shared" si="278"/>
        <v>サンリオフェイスポーチ</v>
      </c>
      <c r="Y230" s="34">
        <f t="shared" si="278"/>
        <v>825</v>
      </c>
      <c r="Z230" s="9">
        <f t="shared" si="279"/>
        <v>1650</v>
      </c>
      <c r="AA230" s="10">
        <f t="shared" si="280"/>
        <v>0.17934782608695651</v>
      </c>
      <c r="AB230" s="11"/>
      <c r="AD230" s="72"/>
      <c r="AE230" s="9">
        <v>12488</v>
      </c>
      <c r="AF230" s="9">
        <f t="shared" si="281"/>
        <v>55</v>
      </c>
      <c r="AG230" s="9">
        <v>785</v>
      </c>
      <c r="AH230" s="9"/>
      <c r="AI230" s="9">
        <v>13</v>
      </c>
      <c r="AJ230" s="9">
        <f t="shared" si="282"/>
        <v>2</v>
      </c>
      <c r="AK230" s="13"/>
      <c r="AL230" s="113" t="str">
        <f t="shared" si="283"/>
        <v>ジャグラーボタン</v>
      </c>
      <c r="AM230" s="34">
        <f t="shared" si="283"/>
        <v>748</v>
      </c>
      <c r="AN230" s="9">
        <f t="shared" si="284"/>
        <v>1496</v>
      </c>
      <c r="AO230" s="10">
        <f t="shared" si="285"/>
        <v>0.27200000000000002</v>
      </c>
      <c r="AP230" s="11"/>
      <c r="AR230" s="72"/>
      <c r="AS230" s="9">
        <v>10730</v>
      </c>
      <c r="AT230" s="9">
        <f t="shared" si="286"/>
        <v>40</v>
      </c>
      <c r="AU230" s="9">
        <v>544</v>
      </c>
      <c r="AV230" s="9"/>
      <c r="AW230" s="9">
        <v>18</v>
      </c>
      <c r="AX230" s="9">
        <f t="shared" si="287"/>
        <v>2</v>
      </c>
      <c r="AY230" s="13"/>
      <c r="AZ230" s="113" t="str">
        <f t="shared" si="288"/>
        <v>番長ボタン</v>
      </c>
      <c r="BA230" s="34">
        <f t="shared" si="288"/>
        <v>358</v>
      </c>
      <c r="BB230" s="9">
        <f t="shared" si="289"/>
        <v>716</v>
      </c>
      <c r="BC230" s="10">
        <f t="shared" si="290"/>
        <v>0.17899999999999999</v>
      </c>
      <c r="BD230" s="11"/>
      <c r="BF230" s="96">
        <f>IF($A245="","",$A245)</f>
        <v>46094</v>
      </c>
      <c r="BG230" s="13">
        <v>3492</v>
      </c>
      <c r="BH230" s="9">
        <f t="shared" si="265"/>
        <v>78</v>
      </c>
      <c r="BI230" s="9">
        <v>28</v>
      </c>
      <c r="BJ230" s="9">
        <f t="shared" si="270"/>
        <v>0</v>
      </c>
      <c r="BK230" s="33">
        <v>12</v>
      </c>
      <c r="BL230" s="9">
        <f t="shared" si="266"/>
        <v>3</v>
      </c>
      <c r="BM230" s="33">
        <v>3</v>
      </c>
      <c r="BN230" s="33"/>
      <c r="BO230" s="33">
        <f t="shared" si="267"/>
        <v>1500</v>
      </c>
      <c r="BP230" s="9">
        <f t="shared" si="268"/>
        <v>4500</v>
      </c>
      <c r="BQ230" s="10">
        <f t="shared" si="269"/>
        <v>0.57692307692307687</v>
      </c>
      <c r="BR230" s="11"/>
    </row>
    <row r="231" spans="1:70" x14ac:dyDescent="0.2">
      <c r="A231" s="72"/>
      <c r="B231" s="63"/>
      <c r="C231" s="23">
        <v>18023</v>
      </c>
      <c r="D231" s="9">
        <f t="shared" si="271"/>
        <v>77</v>
      </c>
      <c r="E231" s="9">
        <v>618</v>
      </c>
      <c r="F231" s="9"/>
      <c r="G231" s="23">
        <v>10</v>
      </c>
      <c r="H231" s="9">
        <f t="shared" si="272"/>
        <v>10</v>
      </c>
      <c r="I231" s="30"/>
      <c r="J231" s="113" t="str">
        <f t="shared" si="273"/>
        <v>ギャルキティマスコット</v>
      </c>
      <c r="K231" s="9">
        <f t="shared" si="273"/>
        <v>638</v>
      </c>
      <c r="L231" s="9">
        <f t="shared" si="274"/>
        <v>6380</v>
      </c>
      <c r="M231" s="10">
        <f t="shared" si="275"/>
        <v>0.82857142857142863</v>
      </c>
      <c r="N231" s="11"/>
      <c r="O231" s="1"/>
      <c r="P231" s="72"/>
      <c r="Q231" s="23">
        <v>14580</v>
      </c>
      <c r="R231" s="9">
        <f t="shared" si="276"/>
        <v>40</v>
      </c>
      <c r="S231" s="9">
        <v>939</v>
      </c>
      <c r="T231" s="9"/>
      <c r="U231" s="23">
        <v>15</v>
      </c>
      <c r="V231" s="9">
        <f t="shared" si="277"/>
        <v>5</v>
      </c>
      <c r="W231" s="30"/>
      <c r="X231" s="113" t="str">
        <f t="shared" si="278"/>
        <v>ボンボンドロップシール</v>
      </c>
      <c r="Y231" s="9">
        <f t="shared" si="278"/>
        <v>200</v>
      </c>
      <c r="Z231" s="9">
        <f t="shared" si="279"/>
        <v>1000</v>
      </c>
      <c r="AA231" s="10">
        <f t="shared" si="280"/>
        <v>0.25</v>
      </c>
      <c r="AB231" s="11"/>
      <c r="AD231" s="72"/>
      <c r="AE231" s="23">
        <v>14859</v>
      </c>
      <c r="AF231" s="9">
        <f t="shared" si="281"/>
        <v>17</v>
      </c>
      <c r="AG231" s="9">
        <v>2398</v>
      </c>
      <c r="AH231" s="9"/>
      <c r="AI231" s="23">
        <v>8</v>
      </c>
      <c r="AJ231" s="9">
        <f t="shared" si="282"/>
        <v>2</v>
      </c>
      <c r="AK231" s="30"/>
      <c r="AL231" s="113" t="str">
        <f>IF(AE231="","",AL227)</f>
        <v>サンリオスカーフ付きリュック</v>
      </c>
      <c r="AM231" s="9">
        <f t="shared" si="283"/>
        <v>600</v>
      </c>
      <c r="AN231" s="9">
        <f t="shared" si="284"/>
        <v>1200</v>
      </c>
      <c r="AO231" s="10">
        <f t="shared" si="285"/>
        <v>0.70588235294117652</v>
      </c>
      <c r="AP231" s="11"/>
      <c r="AR231" s="72"/>
      <c r="AS231" s="23">
        <v>12889</v>
      </c>
      <c r="AT231" s="9">
        <f t="shared" si="286"/>
        <v>24</v>
      </c>
      <c r="AU231" s="9">
        <v>765</v>
      </c>
      <c r="AV231" s="9"/>
      <c r="AW231" s="23">
        <v>13</v>
      </c>
      <c r="AX231" s="9">
        <f t="shared" si="287"/>
        <v>2</v>
      </c>
      <c r="AY231" s="30"/>
      <c r="AZ231" s="113" t="str">
        <f t="shared" si="288"/>
        <v>ギャルキティマスコット</v>
      </c>
      <c r="BA231" s="34">
        <f t="shared" si="288"/>
        <v>638</v>
      </c>
      <c r="BB231" s="9">
        <f t="shared" si="289"/>
        <v>1276</v>
      </c>
      <c r="BC231" s="10">
        <f t="shared" si="290"/>
        <v>0.53166666666666662</v>
      </c>
      <c r="BD231" s="11"/>
      <c r="BF231" s="96">
        <f>IF($A249="","",$A249)</f>
        <v>46097</v>
      </c>
      <c r="BG231" s="13">
        <v>3766</v>
      </c>
      <c r="BH231" s="9">
        <f t="shared" si="265"/>
        <v>274</v>
      </c>
      <c r="BI231" s="9">
        <v>33</v>
      </c>
      <c r="BJ231" s="9">
        <f t="shared" si="270"/>
        <v>5</v>
      </c>
      <c r="BK231" s="33">
        <v>10</v>
      </c>
      <c r="BL231" s="9">
        <f t="shared" si="266"/>
        <v>5</v>
      </c>
      <c r="BM231" s="33">
        <v>5</v>
      </c>
      <c r="BN231" s="33"/>
      <c r="BO231" s="33">
        <f t="shared" si="267"/>
        <v>1500</v>
      </c>
      <c r="BP231" s="9">
        <f t="shared" si="268"/>
        <v>7500</v>
      </c>
      <c r="BQ231" s="10">
        <f t="shared" si="269"/>
        <v>0.27372262773722628</v>
      </c>
      <c r="BR231" s="11"/>
    </row>
    <row r="232" spans="1:70" ht="15" customHeight="1" thickBot="1" x14ac:dyDescent="0.25">
      <c r="A232" s="75"/>
      <c r="B232" s="62"/>
      <c r="C232" s="17">
        <v>12362</v>
      </c>
      <c r="D232" s="37">
        <f t="shared" si="271"/>
        <v>21</v>
      </c>
      <c r="E232" s="17">
        <v>1221</v>
      </c>
      <c r="F232" s="17"/>
      <c r="G232" s="17">
        <v>12</v>
      </c>
      <c r="H232" s="17">
        <f t="shared" si="272"/>
        <v>8</v>
      </c>
      <c r="I232" s="29"/>
      <c r="J232" s="114" t="str">
        <f t="shared" si="273"/>
        <v>バタースクイーズ</v>
      </c>
      <c r="K232" s="37">
        <f t="shared" si="273"/>
        <v>1100</v>
      </c>
      <c r="L232" s="17">
        <f t="shared" si="274"/>
        <v>8800</v>
      </c>
      <c r="M232" s="18">
        <f t="shared" si="275"/>
        <v>4.1904761904761907</v>
      </c>
      <c r="N232" s="11"/>
      <c r="O232" s="1"/>
      <c r="P232" s="75"/>
      <c r="Q232" s="17">
        <v>12497</v>
      </c>
      <c r="R232" s="37">
        <f t="shared" si="276"/>
        <v>13</v>
      </c>
      <c r="S232" s="17">
        <v>1073</v>
      </c>
      <c r="T232" s="17"/>
      <c r="U232" s="17">
        <v>5</v>
      </c>
      <c r="V232" s="17">
        <f t="shared" si="277"/>
        <v>5</v>
      </c>
      <c r="W232" s="29"/>
      <c r="X232" s="114" t="str">
        <f t="shared" si="278"/>
        <v>ゲームアーク</v>
      </c>
      <c r="Y232" s="37">
        <f t="shared" si="278"/>
        <v>648</v>
      </c>
      <c r="Z232" s="17">
        <f t="shared" si="279"/>
        <v>3240</v>
      </c>
      <c r="AA232" s="18">
        <f t="shared" si="280"/>
        <v>2.4923076923076923</v>
      </c>
      <c r="AB232" s="11"/>
      <c r="AD232" s="75"/>
      <c r="AE232" s="17">
        <v>15157</v>
      </c>
      <c r="AF232" s="37">
        <f t="shared" si="281"/>
        <v>50</v>
      </c>
      <c r="AG232" s="17">
        <v>1546</v>
      </c>
      <c r="AH232" s="17"/>
      <c r="AI232" s="17">
        <v>10</v>
      </c>
      <c r="AJ232" s="17">
        <f t="shared" si="282"/>
        <v>5</v>
      </c>
      <c r="AK232" s="29"/>
      <c r="AL232" s="114" t="str">
        <f>IF(AE232="","",AL228)</f>
        <v>ラブブマスコット</v>
      </c>
      <c r="AM232" s="37">
        <f t="shared" si="283"/>
        <v>350</v>
      </c>
      <c r="AN232" s="17">
        <f t="shared" si="284"/>
        <v>1750</v>
      </c>
      <c r="AO232" s="18">
        <f t="shared" si="285"/>
        <v>0.35</v>
      </c>
      <c r="AP232" s="11"/>
      <c r="AR232" s="75"/>
      <c r="AS232" s="17">
        <v>10810</v>
      </c>
      <c r="AT232" s="37">
        <f t="shared" si="286"/>
        <v>6</v>
      </c>
      <c r="AU232" s="17">
        <v>802</v>
      </c>
      <c r="AV232" s="17"/>
      <c r="AW232" s="17">
        <v>4</v>
      </c>
      <c r="AX232" s="17">
        <f t="shared" si="287"/>
        <v>6</v>
      </c>
      <c r="AY232" s="29"/>
      <c r="AZ232" s="114" t="str">
        <f t="shared" si="288"/>
        <v>キティフェイスがま口</v>
      </c>
      <c r="BA232" s="37">
        <f t="shared" si="288"/>
        <v>550</v>
      </c>
      <c r="BB232" s="17">
        <f t="shared" si="289"/>
        <v>3300</v>
      </c>
      <c r="BC232" s="18">
        <f t="shared" si="290"/>
        <v>5.5</v>
      </c>
      <c r="BD232" s="11"/>
      <c r="BF232" s="96">
        <f>IF($A253="","",$A253)</f>
        <v>46098</v>
      </c>
      <c r="BG232" s="13">
        <v>3798</v>
      </c>
      <c r="BH232" s="9">
        <f t="shared" ref="BH232:BH233" si="291">IF(BG232="","",BG232-BG231)</f>
        <v>32</v>
      </c>
      <c r="BI232" s="9">
        <v>33</v>
      </c>
      <c r="BJ232" s="9">
        <f t="shared" ref="BJ232:BJ233" si="292">IF(BI232="","",BI232-BI231)</f>
        <v>0</v>
      </c>
      <c r="BK232" s="9">
        <v>15</v>
      </c>
      <c r="BL232" s="9">
        <f t="shared" ref="BL232:BL233" si="293">IF(BK232="","",BK231+BM231-BK232)</f>
        <v>0</v>
      </c>
      <c r="BM232" s="9"/>
      <c r="BN232" s="33"/>
      <c r="BO232" s="33">
        <f t="shared" ref="BO232:BO233" si="294">IF(BG232="","",BO231)</f>
        <v>1500</v>
      </c>
      <c r="BP232" s="9">
        <f t="shared" ref="BP232:BP233" si="295">IF(BO232="","",BL232*BO232)</f>
        <v>0</v>
      </c>
      <c r="BQ232" s="10">
        <f t="shared" ref="BQ232:BQ233" si="296">IF(BP232="","",BP232/(BH232*100))</f>
        <v>0</v>
      </c>
      <c r="BR232" s="91"/>
    </row>
    <row r="233" spans="1:70" ht="15" customHeight="1" thickTop="1" x14ac:dyDescent="0.2">
      <c r="A233" s="71">
        <v>46087</v>
      </c>
      <c r="B233" s="61">
        <f>SUM(D233:D236)+SUM(R233:R236)+SUM(AF233:AF236)+SUM(AT233:AT236)+SUM(BH227)</f>
        <v>962</v>
      </c>
      <c r="C233" s="33">
        <v>15500</v>
      </c>
      <c r="D233" s="33">
        <f t="shared" si="271"/>
        <v>1</v>
      </c>
      <c r="E233" s="33">
        <v>1102</v>
      </c>
      <c r="F233" s="20">
        <f t="shared" ref="F233:F264" si="297">IF(E233="","",E233-E229)</f>
        <v>0</v>
      </c>
      <c r="G233" s="33">
        <v>0</v>
      </c>
      <c r="H233" s="33">
        <f t="shared" si="272"/>
        <v>0</v>
      </c>
      <c r="I233" s="43">
        <v>10</v>
      </c>
      <c r="J233" s="112">
        <f t="shared" si="273"/>
        <v>0</v>
      </c>
      <c r="K233" s="40">
        <f t="shared" si="273"/>
        <v>0</v>
      </c>
      <c r="L233" s="20">
        <f t="shared" si="274"/>
        <v>0</v>
      </c>
      <c r="M233" s="21">
        <f t="shared" si="275"/>
        <v>0</v>
      </c>
      <c r="N233" s="11" t="s">
        <v>146</v>
      </c>
      <c r="O233" s="1"/>
      <c r="P233" s="76">
        <f>IF($A233="","",$A233)</f>
        <v>46087</v>
      </c>
      <c r="Q233" s="33">
        <v>14988</v>
      </c>
      <c r="R233" s="33">
        <f t="shared" si="276"/>
        <v>28</v>
      </c>
      <c r="S233" s="33">
        <v>1436</v>
      </c>
      <c r="T233" s="20">
        <f t="shared" ref="T233:T264" si="298">IF(S233="","",S233-S229)</f>
        <v>1</v>
      </c>
      <c r="U233" s="33">
        <v>5</v>
      </c>
      <c r="V233" s="33">
        <f t="shared" si="277"/>
        <v>1</v>
      </c>
      <c r="W233" s="43">
        <v>6</v>
      </c>
      <c r="X233" s="112" t="str">
        <f t="shared" si="278"/>
        <v>キティボアバンスクリップ</v>
      </c>
      <c r="Y233" s="40">
        <f t="shared" si="278"/>
        <v>1100</v>
      </c>
      <c r="Z233" s="20">
        <f t="shared" si="279"/>
        <v>1100</v>
      </c>
      <c r="AA233" s="21">
        <f t="shared" si="280"/>
        <v>0.39285714285714285</v>
      </c>
      <c r="AB233" s="11"/>
      <c r="AD233" s="76">
        <f>IF($A233="","",$A233)</f>
        <v>46087</v>
      </c>
      <c r="AE233" s="33">
        <v>12353</v>
      </c>
      <c r="AF233" s="33">
        <f t="shared" si="281"/>
        <v>10</v>
      </c>
      <c r="AG233" s="33">
        <v>905</v>
      </c>
      <c r="AH233" s="20">
        <f t="shared" ref="AH233:AH264" si="299">IF(AG233="","",AG233-AG229)</f>
        <v>0</v>
      </c>
      <c r="AI233" s="33">
        <v>10</v>
      </c>
      <c r="AJ233" s="33">
        <f t="shared" si="282"/>
        <v>0</v>
      </c>
      <c r="AK233" s="43"/>
      <c r="AL233" s="112" t="str">
        <f t="shared" si="283"/>
        <v>キティフェイス千鳥</v>
      </c>
      <c r="AM233" s="40">
        <f t="shared" si="283"/>
        <v>600</v>
      </c>
      <c r="AN233" s="20">
        <f t="shared" si="284"/>
        <v>0</v>
      </c>
      <c r="AO233" s="21">
        <f t="shared" si="285"/>
        <v>0</v>
      </c>
      <c r="AP233" s="11"/>
      <c r="AR233" s="76">
        <f>IF($A233="","",$A233)</f>
        <v>46087</v>
      </c>
      <c r="AS233" s="33">
        <v>9406</v>
      </c>
      <c r="AT233" s="33">
        <f t="shared" si="286"/>
        <v>6</v>
      </c>
      <c r="AU233" s="33">
        <v>526</v>
      </c>
      <c r="AV233" s="20">
        <f t="shared" ref="AV233:AV264" si="300">IF(AU233="","",AU233-AU229)</f>
        <v>1</v>
      </c>
      <c r="AW233" s="33">
        <v>5</v>
      </c>
      <c r="AX233" s="33">
        <f t="shared" si="287"/>
        <v>1</v>
      </c>
      <c r="AY233" s="43">
        <v>3</v>
      </c>
      <c r="AZ233" s="112" t="str">
        <f t="shared" si="288"/>
        <v>キティシッポ付フェイスポーチ</v>
      </c>
      <c r="BA233" s="40">
        <f t="shared" si="288"/>
        <v>825</v>
      </c>
      <c r="BB233" s="20">
        <f t="shared" si="289"/>
        <v>825</v>
      </c>
      <c r="BC233" s="21">
        <f t="shared" si="290"/>
        <v>1.375</v>
      </c>
      <c r="BD233" s="11"/>
      <c r="BF233" s="96" t="str">
        <f>IF($A257="","",$A257)</f>
        <v/>
      </c>
      <c r="BG233" s="13"/>
      <c r="BH233" s="9" t="str">
        <f t="shared" si="291"/>
        <v/>
      </c>
      <c r="BI233" s="9"/>
      <c r="BJ233" s="9" t="str">
        <f t="shared" si="292"/>
        <v/>
      </c>
      <c r="BK233" s="9"/>
      <c r="BL233" s="9" t="str">
        <f t="shared" si="293"/>
        <v/>
      </c>
      <c r="BM233" s="9"/>
      <c r="BN233" s="33"/>
      <c r="BO233" s="33" t="str">
        <f t="shared" si="294"/>
        <v/>
      </c>
      <c r="BP233" s="9" t="str">
        <f t="shared" si="295"/>
        <v/>
      </c>
      <c r="BQ233" s="10" t="str">
        <f t="shared" si="296"/>
        <v/>
      </c>
      <c r="BR233" s="91"/>
    </row>
    <row r="234" spans="1:70" x14ac:dyDescent="0.2">
      <c r="A234" s="72"/>
      <c r="B234" s="61"/>
      <c r="C234" s="33">
        <v>18996</v>
      </c>
      <c r="D234" s="9">
        <f t="shared" si="271"/>
        <v>56</v>
      </c>
      <c r="E234" s="9">
        <v>625</v>
      </c>
      <c r="F234" s="9">
        <f t="shared" si="297"/>
        <v>1</v>
      </c>
      <c r="G234" s="9">
        <v>39</v>
      </c>
      <c r="H234" s="9">
        <f t="shared" si="272"/>
        <v>1</v>
      </c>
      <c r="I234" s="13"/>
      <c r="J234" s="113" t="str">
        <f t="shared" si="273"/>
        <v>電ブル</v>
      </c>
      <c r="K234" s="34">
        <f t="shared" si="273"/>
        <v>275</v>
      </c>
      <c r="L234" s="9">
        <f t="shared" si="274"/>
        <v>275</v>
      </c>
      <c r="M234" s="10">
        <f t="shared" si="275"/>
        <v>4.9107142857142856E-2</v>
      </c>
      <c r="N234" s="11"/>
      <c r="O234" s="1"/>
      <c r="P234" s="12"/>
      <c r="Q234" s="33">
        <v>14526</v>
      </c>
      <c r="R234" s="9">
        <f t="shared" si="276"/>
        <v>54</v>
      </c>
      <c r="S234" s="9">
        <v>494</v>
      </c>
      <c r="T234" s="9">
        <f t="shared" si="298"/>
        <v>1</v>
      </c>
      <c r="U234" s="9">
        <v>7</v>
      </c>
      <c r="V234" s="9">
        <f t="shared" si="277"/>
        <v>1</v>
      </c>
      <c r="W234" s="13"/>
      <c r="X234" s="113" t="str">
        <f t="shared" si="278"/>
        <v>サンリオフェイスポーチ</v>
      </c>
      <c r="Y234" s="34">
        <f t="shared" si="278"/>
        <v>825</v>
      </c>
      <c r="Z234" s="9">
        <f t="shared" si="279"/>
        <v>825</v>
      </c>
      <c r="AA234" s="10">
        <f t="shared" si="280"/>
        <v>0.15277777777777779</v>
      </c>
      <c r="AB234" s="11"/>
      <c r="AD234" s="12"/>
      <c r="AE234" s="33">
        <v>12527</v>
      </c>
      <c r="AF234" s="9">
        <f t="shared" si="281"/>
        <v>39</v>
      </c>
      <c r="AG234" s="9">
        <v>786</v>
      </c>
      <c r="AH234" s="9">
        <f t="shared" si="299"/>
        <v>1</v>
      </c>
      <c r="AI234" s="9">
        <v>12</v>
      </c>
      <c r="AJ234" s="9">
        <f t="shared" si="282"/>
        <v>1</v>
      </c>
      <c r="AK234" s="13"/>
      <c r="AL234" s="113" t="str">
        <f t="shared" si="283"/>
        <v>ジャグラーボタン</v>
      </c>
      <c r="AM234" s="34">
        <f t="shared" si="283"/>
        <v>748</v>
      </c>
      <c r="AN234" s="9">
        <f t="shared" si="284"/>
        <v>748</v>
      </c>
      <c r="AO234" s="10">
        <f t="shared" si="285"/>
        <v>0.19179487179487179</v>
      </c>
      <c r="AP234" s="11"/>
      <c r="AR234" s="12"/>
      <c r="AS234" s="33">
        <v>10747</v>
      </c>
      <c r="AT234" s="9">
        <f t="shared" si="286"/>
        <v>17</v>
      </c>
      <c r="AU234" s="9">
        <v>545</v>
      </c>
      <c r="AV234" s="9">
        <f t="shared" si="300"/>
        <v>1</v>
      </c>
      <c r="AW234" s="9">
        <v>17</v>
      </c>
      <c r="AX234" s="9">
        <f t="shared" si="287"/>
        <v>1</v>
      </c>
      <c r="AY234" s="13">
        <v>0</v>
      </c>
      <c r="AZ234" s="113" t="str">
        <f t="shared" si="288"/>
        <v>番長ボタン</v>
      </c>
      <c r="BA234" s="34">
        <f t="shared" si="288"/>
        <v>358</v>
      </c>
      <c r="BB234" s="9">
        <f t="shared" si="289"/>
        <v>358</v>
      </c>
      <c r="BC234" s="10">
        <f t="shared" si="290"/>
        <v>0.21058823529411766</v>
      </c>
      <c r="BD234" s="11"/>
      <c r="BF234" s="96" t="str">
        <f>IF($A261="","",$A261)</f>
        <v/>
      </c>
      <c r="BG234" s="13"/>
      <c r="BH234" s="9" t="str">
        <f t="shared" si="265"/>
        <v/>
      </c>
      <c r="BI234" s="9"/>
      <c r="BJ234" s="9" t="str">
        <f t="shared" si="270"/>
        <v/>
      </c>
      <c r="BK234" s="9"/>
      <c r="BL234" s="9" t="str">
        <f t="shared" si="266"/>
        <v/>
      </c>
      <c r="BM234" s="9"/>
      <c r="BN234" s="33"/>
      <c r="BO234" s="33" t="str">
        <f>IF(BG234="","",BO233)</f>
        <v/>
      </c>
      <c r="BP234" s="9" t="str">
        <f>IF(BO234="","",BL234*BO234)</f>
        <v/>
      </c>
      <c r="BQ234" s="10" t="str">
        <f>IF(BP234="","",BP234/(BH234*100))</f>
        <v/>
      </c>
      <c r="BR234" s="91"/>
    </row>
    <row r="235" spans="1:70" x14ac:dyDescent="0.2">
      <c r="A235" s="72"/>
      <c r="B235" s="64"/>
      <c r="C235" s="38">
        <v>18064</v>
      </c>
      <c r="D235" s="9">
        <f t="shared" si="271"/>
        <v>41</v>
      </c>
      <c r="E235" s="9">
        <v>619</v>
      </c>
      <c r="F235" s="9">
        <f t="shared" si="297"/>
        <v>1</v>
      </c>
      <c r="G235" s="9">
        <v>9</v>
      </c>
      <c r="H235" s="9">
        <f t="shared" si="272"/>
        <v>1</v>
      </c>
      <c r="I235" s="13"/>
      <c r="J235" s="113" t="str">
        <f t="shared" si="273"/>
        <v>ギャルキティマスコット</v>
      </c>
      <c r="K235" s="9">
        <f t="shared" si="273"/>
        <v>638</v>
      </c>
      <c r="L235" s="9">
        <f t="shared" si="274"/>
        <v>638</v>
      </c>
      <c r="M235" s="10">
        <f t="shared" si="275"/>
        <v>0.15560975609756098</v>
      </c>
      <c r="N235" s="11"/>
      <c r="O235" s="1"/>
      <c r="P235" s="12"/>
      <c r="Q235" s="38">
        <v>14616</v>
      </c>
      <c r="R235" s="9">
        <f t="shared" si="276"/>
        <v>36</v>
      </c>
      <c r="S235" s="9">
        <v>940</v>
      </c>
      <c r="T235" s="9">
        <f t="shared" si="298"/>
        <v>1</v>
      </c>
      <c r="U235" s="9">
        <v>14</v>
      </c>
      <c r="V235" s="9">
        <f t="shared" si="277"/>
        <v>1</v>
      </c>
      <c r="W235" s="13">
        <v>20</v>
      </c>
      <c r="X235" s="113" t="str">
        <f t="shared" si="278"/>
        <v>ボンボンドロップシール</v>
      </c>
      <c r="Y235" s="9">
        <f t="shared" si="278"/>
        <v>200</v>
      </c>
      <c r="Z235" s="9">
        <f t="shared" si="279"/>
        <v>200</v>
      </c>
      <c r="AA235" s="10">
        <f t="shared" si="280"/>
        <v>5.5555555555555552E-2</v>
      </c>
      <c r="AB235" s="11"/>
      <c r="AD235" s="12"/>
      <c r="AE235" s="38">
        <v>14869</v>
      </c>
      <c r="AF235" s="9">
        <f t="shared" si="281"/>
        <v>10</v>
      </c>
      <c r="AG235" s="9">
        <v>2398</v>
      </c>
      <c r="AH235" s="9">
        <f t="shared" si="299"/>
        <v>0</v>
      </c>
      <c r="AI235" s="9">
        <v>8</v>
      </c>
      <c r="AJ235" s="9">
        <f t="shared" si="282"/>
        <v>0</v>
      </c>
      <c r="AK235" s="13">
        <v>0</v>
      </c>
      <c r="AL235" s="113" t="str">
        <f t="shared" si="283"/>
        <v>サンリオスカーフ付きリュック</v>
      </c>
      <c r="AM235" s="9">
        <f t="shared" si="283"/>
        <v>600</v>
      </c>
      <c r="AN235" s="9">
        <f t="shared" si="284"/>
        <v>0</v>
      </c>
      <c r="AO235" s="10">
        <f t="shared" si="285"/>
        <v>0</v>
      </c>
      <c r="AP235" s="11" t="s">
        <v>148</v>
      </c>
      <c r="AR235" s="12"/>
      <c r="AS235" s="38">
        <v>12902</v>
      </c>
      <c r="AT235" s="9">
        <f t="shared" si="286"/>
        <v>13</v>
      </c>
      <c r="AU235" s="9">
        <v>767</v>
      </c>
      <c r="AV235" s="9">
        <f t="shared" si="300"/>
        <v>2</v>
      </c>
      <c r="AW235" s="9">
        <v>11</v>
      </c>
      <c r="AX235" s="9">
        <f t="shared" si="287"/>
        <v>2</v>
      </c>
      <c r="AY235" s="13">
        <v>0</v>
      </c>
      <c r="AZ235" s="113" t="str">
        <f t="shared" si="288"/>
        <v>ギャルキティマスコット</v>
      </c>
      <c r="BA235" s="9">
        <f t="shared" si="288"/>
        <v>638</v>
      </c>
      <c r="BB235" s="9">
        <f t="shared" si="289"/>
        <v>1276</v>
      </c>
      <c r="BC235" s="10">
        <f t="shared" si="290"/>
        <v>0.98153846153846158</v>
      </c>
      <c r="BD235" s="11"/>
      <c r="BF235" s="96" t="str">
        <f>IF($A265="","",$A265)</f>
        <v/>
      </c>
      <c r="BG235" s="13"/>
      <c r="BH235" s="9" t="str">
        <f t="shared" si="265"/>
        <v/>
      </c>
      <c r="BI235" s="9"/>
      <c r="BJ235" s="9" t="str">
        <f t="shared" si="270"/>
        <v/>
      </c>
      <c r="BK235" s="9"/>
      <c r="BL235" s="9" t="str">
        <f t="shared" si="266"/>
        <v/>
      </c>
      <c r="BM235" s="9"/>
      <c r="BN235" s="33"/>
      <c r="BO235" s="33" t="str">
        <f>IF(BG235="","",BO234)</f>
        <v/>
      </c>
      <c r="BP235" s="9" t="str">
        <f>IF(BO235="","",BL235*BO235)</f>
        <v/>
      </c>
      <c r="BQ235" s="10" t="str">
        <f>IF(BP235="","",BP235/(BH235*100))</f>
        <v/>
      </c>
      <c r="BR235" s="91"/>
    </row>
    <row r="236" spans="1:70" ht="15" customHeight="1" thickBot="1" x14ac:dyDescent="0.25">
      <c r="A236" s="73"/>
      <c r="B236" s="65"/>
      <c r="C236" s="36">
        <v>12433</v>
      </c>
      <c r="D236" s="37">
        <f t="shared" si="271"/>
        <v>71</v>
      </c>
      <c r="E236" s="17">
        <v>1223</v>
      </c>
      <c r="F236" s="17">
        <f t="shared" si="297"/>
        <v>2</v>
      </c>
      <c r="G236" s="17">
        <v>10</v>
      </c>
      <c r="H236" s="17">
        <f>IF(G236="","",G232+I232-G236)</f>
        <v>2</v>
      </c>
      <c r="I236" s="29">
        <v>3</v>
      </c>
      <c r="J236" s="114" t="str">
        <f t="shared" si="273"/>
        <v>バタースクイーズ</v>
      </c>
      <c r="K236" s="37">
        <f t="shared" si="273"/>
        <v>1100</v>
      </c>
      <c r="L236" s="17">
        <f t="shared" si="274"/>
        <v>2200</v>
      </c>
      <c r="M236" s="18">
        <f t="shared" si="275"/>
        <v>0.30985915492957744</v>
      </c>
      <c r="N236" s="11"/>
      <c r="O236" s="1"/>
      <c r="P236" s="49"/>
      <c r="Q236" s="36">
        <v>12509</v>
      </c>
      <c r="R236" s="37">
        <f t="shared" si="276"/>
        <v>12</v>
      </c>
      <c r="S236" s="17">
        <v>1078</v>
      </c>
      <c r="T236" s="17">
        <f t="shared" si="298"/>
        <v>5</v>
      </c>
      <c r="U236" s="17">
        <v>0</v>
      </c>
      <c r="V236" s="17">
        <f>IF(U236="","",U232+W232-U236)</f>
        <v>5</v>
      </c>
      <c r="W236" s="29">
        <v>5</v>
      </c>
      <c r="X236" s="114" t="str">
        <f t="shared" si="278"/>
        <v>ゲームアーク</v>
      </c>
      <c r="Y236" s="37">
        <f t="shared" si="278"/>
        <v>648</v>
      </c>
      <c r="Z236" s="17">
        <f t="shared" si="279"/>
        <v>3240</v>
      </c>
      <c r="AA236" s="18">
        <f t="shared" si="280"/>
        <v>2.7</v>
      </c>
      <c r="AB236" s="11"/>
      <c r="AD236" s="49"/>
      <c r="AE236" s="36">
        <v>15210</v>
      </c>
      <c r="AF236" s="37">
        <f t="shared" si="281"/>
        <v>53</v>
      </c>
      <c r="AG236" s="17">
        <v>1548</v>
      </c>
      <c r="AH236" s="17">
        <f t="shared" si="299"/>
        <v>2</v>
      </c>
      <c r="AI236" s="17">
        <v>8</v>
      </c>
      <c r="AJ236" s="17">
        <f>IF(AI236="","",AI232+AK232-AI236)</f>
        <v>2</v>
      </c>
      <c r="AK236" s="29">
        <v>14</v>
      </c>
      <c r="AL236" s="114" t="s">
        <v>141</v>
      </c>
      <c r="AM236" s="37">
        <f t="shared" si="283"/>
        <v>350</v>
      </c>
      <c r="AN236" s="17">
        <f t="shared" si="284"/>
        <v>700</v>
      </c>
      <c r="AO236" s="18">
        <f t="shared" si="285"/>
        <v>0.13207547169811321</v>
      </c>
      <c r="AP236" s="11"/>
      <c r="AR236" s="49"/>
      <c r="AS236" s="36">
        <v>10827</v>
      </c>
      <c r="AT236" s="37">
        <f t="shared" si="286"/>
        <v>17</v>
      </c>
      <c r="AU236" s="17">
        <v>803</v>
      </c>
      <c r="AV236" s="17">
        <f t="shared" si="300"/>
        <v>1</v>
      </c>
      <c r="AW236" s="17">
        <v>3</v>
      </c>
      <c r="AX236" s="17">
        <f>IF(AW236="","",AW232+AY232-AW236)</f>
        <v>1</v>
      </c>
      <c r="AY236" s="29">
        <v>9</v>
      </c>
      <c r="AZ236" s="114" t="str">
        <f t="shared" si="288"/>
        <v>キティフェイスがま口</v>
      </c>
      <c r="BA236" s="37">
        <f t="shared" si="288"/>
        <v>550</v>
      </c>
      <c r="BB236" s="17">
        <f t="shared" si="289"/>
        <v>550</v>
      </c>
      <c r="BC236" s="18">
        <f t="shared" si="290"/>
        <v>0.3235294117647059</v>
      </c>
      <c r="BD236" s="11" t="s">
        <v>145</v>
      </c>
      <c r="BF236" s="96" t="str">
        <f>IF($A269="","",$A269)</f>
        <v/>
      </c>
      <c r="BG236" s="13"/>
      <c r="BH236" s="9" t="str">
        <f t="shared" si="265"/>
        <v/>
      </c>
      <c r="BI236" s="9"/>
      <c r="BJ236" s="9" t="str">
        <f t="shared" si="270"/>
        <v/>
      </c>
      <c r="BK236" s="9"/>
      <c r="BL236" s="9" t="str">
        <f t="shared" si="266"/>
        <v/>
      </c>
      <c r="BM236" s="9"/>
      <c r="BN236" s="33"/>
      <c r="BO236" s="33" t="str">
        <f>IF(BG236="","",BO235)</f>
        <v/>
      </c>
      <c r="BP236" s="9" t="str">
        <f>IF(BO236="","",BL236*BO236)</f>
        <v/>
      </c>
      <c r="BQ236" s="10" t="str">
        <f>IF(BP236="","",BP236/(BH236*100))</f>
        <v/>
      </c>
      <c r="BR236" s="11"/>
    </row>
    <row r="237" spans="1:70" ht="15" customHeight="1" thickTop="1" x14ac:dyDescent="0.2">
      <c r="A237" s="71">
        <v>46090</v>
      </c>
      <c r="B237" s="61">
        <f>SUM(D237:D240)+SUM(R237:R240)+SUM(AF237:AF240)+SUM(AT237:AT240)+SUM(BH228)</f>
        <v>1243</v>
      </c>
      <c r="C237" s="33">
        <v>15514</v>
      </c>
      <c r="D237" s="94">
        <f t="shared" si="271"/>
        <v>14</v>
      </c>
      <c r="E237" s="33">
        <v>1113</v>
      </c>
      <c r="F237" s="20">
        <f t="shared" si="297"/>
        <v>11</v>
      </c>
      <c r="G237" s="33">
        <v>4</v>
      </c>
      <c r="H237" s="33">
        <f>IF(G237="","",G233+I233-G237)</f>
        <v>6</v>
      </c>
      <c r="I237" s="43">
        <v>0</v>
      </c>
      <c r="J237" s="113" t="s">
        <v>155</v>
      </c>
      <c r="K237" s="34">
        <v>660</v>
      </c>
      <c r="L237" s="20">
        <f t="shared" si="274"/>
        <v>3960</v>
      </c>
      <c r="M237" s="21">
        <f t="shared" si="275"/>
        <v>2.8285714285714287</v>
      </c>
      <c r="N237" s="11"/>
      <c r="O237" s="1"/>
      <c r="P237" s="76">
        <f>IF($A237="","",$A237)</f>
        <v>46090</v>
      </c>
      <c r="Q237" s="33">
        <v>15053</v>
      </c>
      <c r="R237" s="33">
        <f t="shared" si="276"/>
        <v>65</v>
      </c>
      <c r="S237" s="33">
        <v>1436</v>
      </c>
      <c r="T237" s="20">
        <f t="shared" si="298"/>
        <v>0</v>
      </c>
      <c r="U237" s="33">
        <v>10</v>
      </c>
      <c r="V237" s="33">
        <f t="shared" si="277"/>
        <v>1</v>
      </c>
      <c r="W237" s="43">
        <v>0</v>
      </c>
      <c r="X237" s="113" t="str">
        <f t="shared" si="278"/>
        <v>キティボアバンスクリップ</v>
      </c>
      <c r="Y237" s="34">
        <f t="shared" si="278"/>
        <v>1100</v>
      </c>
      <c r="Z237" s="20">
        <f t="shared" si="279"/>
        <v>1100</v>
      </c>
      <c r="AA237" s="21">
        <f t="shared" si="280"/>
        <v>0.16923076923076924</v>
      </c>
      <c r="AB237" s="11"/>
      <c r="AD237" s="76">
        <f>IF($A237="","",$A237)</f>
        <v>46090</v>
      </c>
      <c r="AE237" s="33">
        <v>12355</v>
      </c>
      <c r="AF237" s="94">
        <f t="shared" si="281"/>
        <v>2</v>
      </c>
      <c r="AG237" s="33">
        <v>905</v>
      </c>
      <c r="AH237" s="20">
        <f t="shared" si="299"/>
        <v>0</v>
      </c>
      <c r="AI237" s="33">
        <v>10</v>
      </c>
      <c r="AJ237" s="33">
        <f t="shared" si="282"/>
        <v>0</v>
      </c>
      <c r="AK237" s="43">
        <v>0</v>
      </c>
      <c r="AL237" s="113" t="str">
        <f t="shared" si="283"/>
        <v>キティフェイス千鳥</v>
      </c>
      <c r="AM237" s="34">
        <f t="shared" si="283"/>
        <v>600</v>
      </c>
      <c r="AN237" s="20">
        <f t="shared" si="284"/>
        <v>0</v>
      </c>
      <c r="AO237" s="21">
        <f t="shared" si="285"/>
        <v>0</v>
      </c>
      <c r="AP237" s="11" t="s">
        <v>154</v>
      </c>
      <c r="AR237" s="76">
        <f>IF($A237="","",$A237)</f>
        <v>46090</v>
      </c>
      <c r="AS237" s="33">
        <v>9442</v>
      </c>
      <c r="AT237" s="33">
        <f t="shared" si="286"/>
        <v>36</v>
      </c>
      <c r="AU237" s="33">
        <v>526</v>
      </c>
      <c r="AV237" s="20">
        <f t="shared" si="300"/>
        <v>0</v>
      </c>
      <c r="AW237" s="33">
        <v>8</v>
      </c>
      <c r="AX237" s="33">
        <f t="shared" si="287"/>
        <v>0</v>
      </c>
      <c r="AY237" s="43">
        <v>0</v>
      </c>
      <c r="AZ237" s="113" t="str">
        <f t="shared" ref="AZ237:BA244" si="301">IF(AS237="","",AZ233)</f>
        <v>キティシッポ付フェイスポーチ</v>
      </c>
      <c r="BA237" s="34">
        <f t="shared" si="301"/>
        <v>825</v>
      </c>
      <c r="BB237" s="20">
        <f t="shared" si="289"/>
        <v>0</v>
      </c>
      <c r="BC237" s="21">
        <f t="shared" si="290"/>
        <v>0</v>
      </c>
      <c r="BD237" s="11"/>
      <c r="BF237" s="96" t="str">
        <f>IF($A273="","",$A273)</f>
        <v/>
      </c>
      <c r="BG237" s="13"/>
      <c r="BH237" s="9" t="str">
        <f t="shared" si="265"/>
        <v/>
      </c>
      <c r="BI237" s="9"/>
      <c r="BJ237" s="9" t="str">
        <f t="shared" si="270"/>
        <v/>
      </c>
      <c r="BK237" s="9"/>
      <c r="BL237" s="9" t="str">
        <f t="shared" si="266"/>
        <v/>
      </c>
      <c r="BM237" s="9"/>
      <c r="BN237" s="33"/>
      <c r="BO237" s="33" t="str">
        <f>IF(BG237="","",BO236)</f>
        <v/>
      </c>
      <c r="BP237" s="9" t="str">
        <f>IF(BO237="","",BL237*BO237)</f>
        <v/>
      </c>
      <c r="BQ237" s="10" t="str">
        <f>IF(BP237="","",BP237/(BH237*100))</f>
        <v/>
      </c>
      <c r="BR237" s="11"/>
    </row>
    <row r="238" spans="1:70" x14ac:dyDescent="0.2">
      <c r="A238" s="72"/>
      <c r="B238" s="8"/>
      <c r="C238" s="9">
        <v>19057</v>
      </c>
      <c r="D238" s="9">
        <f t="shared" si="271"/>
        <v>61</v>
      </c>
      <c r="E238" s="9">
        <v>627</v>
      </c>
      <c r="F238" s="9">
        <f t="shared" si="297"/>
        <v>2</v>
      </c>
      <c r="G238" s="9">
        <v>37</v>
      </c>
      <c r="H238" s="9">
        <f>IF(G238="","",G234+I234-G238)</f>
        <v>2</v>
      </c>
      <c r="I238" s="13">
        <v>0</v>
      </c>
      <c r="J238" s="113" t="str">
        <f t="shared" si="273"/>
        <v>電ブル</v>
      </c>
      <c r="K238" s="34">
        <f t="shared" si="273"/>
        <v>275</v>
      </c>
      <c r="L238" s="9">
        <f t="shared" si="274"/>
        <v>550</v>
      </c>
      <c r="M238" s="10">
        <f t="shared" si="275"/>
        <v>9.0163934426229511E-2</v>
      </c>
      <c r="N238" s="11"/>
      <c r="O238" s="1"/>
      <c r="P238" s="72"/>
      <c r="Q238" s="9">
        <v>14557</v>
      </c>
      <c r="R238" s="9">
        <f t="shared" si="276"/>
        <v>31</v>
      </c>
      <c r="S238" s="9">
        <v>496</v>
      </c>
      <c r="T238" s="9">
        <f t="shared" si="298"/>
        <v>2</v>
      </c>
      <c r="U238" s="9">
        <v>6</v>
      </c>
      <c r="V238" s="9">
        <f t="shared" si="277"/>
        <v>1</v>
      </c>
      <c r="W238" s="13">
        <v>0</v>
      </c>
      <c r="X238" s="113" t="str">
        <f t="shared" si="278"/>
        <v>サンリオフェイスポーチ</v>
      </c>
      <c r="Y238" s="34">
        <f t="shared" si="278"/>
        <v>825</v>
      </c>
      <c r="Z238" s="9">
        <f t="shared" si="279"/>
        <v>825</v>
      </c>
      <c r="AA238" s="10">
        <f t="shared" si="280"/>
        <v>0.2661290322580645</v>
      </c>
      <c r="AB238" s="11"/>
      <c r="AD238" s="72"/>
      <c r="AE238" s="9">
        <v>12564</v>
      </c>
      <c r="AF238" s="9">
        <f t="shared" si="281"/>
        <v>37</v>
      </c>
      <c r="AG238" s="9">
        <v>789</v>
      </c>
      <c r="AH238" s="9">
        <f t="shared" si="299"/>
        <v>3</v>
      </c>
      <c r="AI238" s="9">
        <v>10</v>
      </c>
      <c r="AJ238" s="9">
        <f t="shared" si="282"/>
        <v>2</v>
      </c>
      <c r="AK238" s="13">
        <v>0</v>
      </c>
      <c r="AL238" s="113" t="str">
        <f t="shared" si="283"/>
        <v>ジャグラーボタン</v>
      </c>
      <c r="AM238" s="34">
        <f t="shared" si="283"/>
        <v>748</v>
      </c>
      <c r="AN238" s="9">
        <f t="shared" si="284"/>
        <v>1496</v>
      </c>
      <c r="AO238" s="10">
        <f t="shared" si="285"/>
        <v>0.4043243243243243</v>
      </c>
      <c r="AP238" s="11"/>
      <c r="AR238" s="72"/>
      <c r="AS238" s="9">
        <v>10752</v>
      </c>
      <c r="AT238" s="77">
        <f t="shared" si="286"/>
        <v>5</v>
      </c>
      <c r="AU238" s="9">
        <v>546</v>
      </c>
      <c r="AV238" s="9">
        <f t="shared" si="300"/>
        <v>1</v>
      </c>
      <c r="AW238" s="9">
        <v>16</v>
      </c>
      <c r="AX238" s="9">
        <f t="shared" si="287"/>
        <v>1</v>
      </c>
      <c r="AY238" s="13">
        <v>-5</v>
      </c>
      <c r="AZ238" s="113" t="str">
        <f t="shared" si="301"/>
        <v>番長ボタン</v>
      </c>
      <c r="BA238" s="34">
        <f t="shared" si="301"/>
        <v>358</v>
      </c>
      <c r="BB238" s="9">
        <f t="shared" si="289"/>
        <v>358</v>
      </c>
      <c r="BC238" s="10">
        <f t="shared" si="290"/>
        <v>0.71599999999999997</v>
      </c>
      <c r="BD238" s="11" t="s">
        <v>153</v>
      </c>
      <c r="BF238" s="96" t="str">
        <f>IF($A$425="","",$A$425)</f>
        <v/>
      </c>
      <c r="BG238" s="9"/>
      <c r="BH238" s="9" t="str">
        <f t="shared" si="265"/>
        <v/>
      </c>
      <c r="BI238" s="9"/>
      <c r="BJ238" s="9" t="str">
        <f t="shared" si="270"/>
        <v/>
      </c>
      <c r="BK238" s="9"/>
      <c r="BL238" s="9" t="str">
        <f t="shared" si="266"/>
        <v/>
      </c>
      <c r="BM238" s="9"/>
      <c r="BN238" s="33"/>
      <c r="BO238" s="33" t="str">
        <f>IF(BG238="","",BO237)</f>
        <v/>
      </c>
      <c r="BP238" s="9" t="str">
        <f>IF(BO238="","",BL238*BO238)</f>
        <v/>
      </c>
      <c r="BQ238" s="10" t="str">
        <f>IF(BP238="","",BP238/(BG238*100))</f>
        <v/>
      </c>
      <c r="BR238" s="90"/>
    </row>
    <row r="239" spans="1:70" x14ac:dyDescent="0.2">
      <c r="A239" s="74"/>
      <c r="B239" s="66"/>
      <c r="C239" s="23">
        <v>18131</v>
      </c>
      <c r="D239" s="9">
        <f t="shared" si="271"/>
        <v>67</v>
      </c>
      <c r="E239" s="9">
        <v>620</v>
      </c>
      <c r="F239" s="9">
        <f t="shared" si="297"/>
        <v>1</v>
      </c>
      <c r="G239" s="23">
        <v>8</v>
      </c>
      <c r="H239" s="9">
        <f>IF(G239="","",G235+I235-G239)</f>
        <v>1</v>
      </c>
      <c r="I239" s="30">
        <v>10</v>
      </c>
      <c r="J239" s="113" t="str">
        <f t="shared" si="273"/>
        <v>ギャルキティマスコット</v>
      </c>
      <c r="K239" s="34">
        <f t="shared" si="273"/>
        <v>638</v>
      </c>
      <c r="L239" s="9">
        <f t="shared" si="274"/>
        <v>638</v>
      </c>
      <c r="M239" s="10">
        <f t="shared" si="275"/>
        <v>9.522388059701492E-2</v>
      </c>
      <c r="N239" s="11"/>
      <c r="P239" s="74"/>
      <c r="Q239" s="23">
        <v>14778</v>
      </c>
      <c r="R239" s="9">
        <f t="shared" si="276"/>
        <v>162</v>
      </c>
      <c r="S239" s="9">
        <v>945</v>
      </c>
      <c r="T239" s="9">
        <f t="shared" si="298"/>
        <v>5</v>
      </c>
      <c r="U239" s="23">
        <v>23</v>
      </c>
      <c r="V239" s="9">
        <f t="shared" si="277"/>
        <v>11</v>
      </c>
      <c r="W239" s="30">
        <v>0</v>
      </c>
      <c r="X239" s="113" t="str">
        <f t="shared" si="278"/>
        <v>ボンボンドロップシール</v>
      </c>
      <c r="Y239" s="34">
        <f t="shared" si="278"/>
        <v>200</v>
      </c>
      <c r="Z239" s="9">
        <f t="shared" si="279"/>
        <v>2200</v>
      </c>
      <c r="AA239" s="10">
        <f t="shared" si="280"/>
        <v>0.13580246913580246</v>
      </c>
      <c r="AB239" s="11"/>
      <c r="AD239" s="74"/>
      <c r="AE239" s="23">
        <v>14889</v>
      </c>
      <c r="AF239" s="9">
        <f t="shared" si="281"/>
        <v>20</v>
      </c>
      <c r="AG239" s="9">
        <v>2398</v>
      </c>
      <c r="AH239" s="9">
        <f t="shared" si="299"/>
        <v>0</v>
      </c>
      <c r="AI239" s="23">
        <v>8</v>
      </c>
      <c r="AJ239" s="9">
        <f t="shared" si="282"/>
        <v>0</v>
      </c>
      <c r="AK239" s="30">
        <v>0</v>
      </c>
      <c r="AL239" s="113" t="str">
        <f t="shared" si="283"/>
        <v>サンリオスカーフ付きリュック</v>
      </c>
      <c r="AM239" s="34">
        <f t="shared" si="283"/>
        <v>600</v>
      </c>
      <c r="AN239" s="9">
        <f t="shared" si="284"/>
        <v>0</v>
      </c>
      <c r="AO239" s="10">
        <f t="shared" si="285"/>
        <v>0</v>
      </c>
      <c r="AP239" s="11"/>
      <c r="AR239" s="74"/>
      <c r="AS239" s="23">
        <v>12928</v>
      </c>
      <c r="AT239" s="9">
        <f t="shared" si="286"/>
        <v>26</v>
      </c>
      <c r="AU239" s="9">
        <v>768</v>
      </c>
      <c r="AV239" s="9">
        <f t="shared" si="300"/>
        <v>1</v>
      </c>
      <c r="AW239" s="23">
        <v>10</v>
      </c>
      <c r="AX239" s="9">
        <f t="shared" si="287"/>
        <v>1</v>
      </c>
      <c r="AY239" s="30">
        <v>-2</v>
      </c>
      <c r="AZ239" s="113" t="str">
        <f t="shared" si="301"/>
        <v>ギャルキティマスコット</v>
      </c>
      <c r="BA239" s="34">
        <f t="shared" si="301"/>
        <v>638</v>
      </c>
      <c r="BB239" s="9">
        <f t="shared" si="289"/>
        <v>638</v>
      </c>
      <c r="BC239" s="10">
        <f t="shared" si="290"/>
        <v>0.2453846153846154</v>
      </c>
      <c r="BD239" s="11" t="s">
        <v>152</v>
      </c>
      <c r="BF239" s="96"/>
      <c r="BG239" s="9"/>
      <c r="BH239" s="9"/>
      <c r="BI239" s="9"/>
      <c r="BJ239" s="9"/>
      <c r="BK239" s="9"/>
      <c r="BL239" s="9"/>
      <c r="BM239" s="9"/>
      <c r="BN239" s="33"/>
      <c r="BO239" s="33"/>
      <c r="BP239" s="9"/>
      <c r="BQ239" s="10" t="str">
        <f>IF(BP239="","",BP239/(BG239*100))</f>
        <v/>
      </c>
      <c r="BR239" s="90"/>
    </row>
    <row r="240" spans="1:70" ht="15" customHeight="1" thickBot="1" x14ac:dyDescent="0.25">
      <c r="A240" s="75"/>
      <c r="B240" s="67"/>
      <c r="C240" s="17">
        <v>12540</v>
      </c>
      <c r="D240" s="37">
        <f t="shared" si="271"/>
        <v>107</v>
      </c>
      <c r="E240" s="17">
        <v>1223</v>
      </c>
      <c r="F240" s="17">
        <f t="shared" si="297"/>
        <v>0</v>
      </c>
      <c r="G240" s="17">
        <v>13</v>
      </c>
      <c r="H240" s="17">
        <f>IF(G240="","",G236+I236-G240)</f>
        <v>0</v>
      </c>
      <c r="I240" s="29">
        <v>0</v>
      </c>
      <c r="J240" s="114" t="str">
        <f t="shared" si="273"/>
        <v>バタースクイーズ</v>
      </c>
      <c r="K240" s="37">
        <f t="shared" si="273"/>
        <v>1100</v>
      </c>
      <c r="L240" s="17">
        <f t="shared" si="274"/>
        <v>0</v>
      </c>
      <c r="M240" s="18">
        <f t="shared" si="275"/>
        <v>0</v>
      </c>
      <c r="N240" s="11"/>
      <c r="P240" s="75"/>
      <c r="Q240" s="17">
        <v>12595</v>
      </c>
      <c r="R240" s="37">
        <f t="shared" si="276"/>
        <v>86</v>
      </c>
      <c r="S240" s="17">
        <v>1078</v>
      </c>
      <c r="T240" s="17">
        <f t="shared" si="298"/>
        <v>0</v>
      </c>
      <c r="U240" s="17">
        <v>5</v>
      </c>
      <c r="V240" s="17">
        <f t="shared" si="277"/>
        <v>0</v>
      </c>
      <c r="W240" s="29">
        <v>0</v>
      </c>
      <c r="X240" s="114" t="str">
        <f t="shared" si="278"/>
        <v>ゲームアーク</v>
      </c>
      <c r="Y240" s="37">
        <f t="shared" si="278"/>
        <v>648</v>
      </c>
      <c r="Z240" s="17">
        <f t="shared" si="279"/>
        <v>0</v>
      </c>
      <c r="AA240" s="18">
        <f t="shared" si="280"/>
        <v>0</v>
      </c>
      <c r="AB240" s="11"/>
      <c r="AD240" s="75"/>
      <c r="AE240" s="17">
        <v>15223</v>
      </c>
      <c r="AF240" s="83">
        <f t="shared" si="281"/>
        <v>13</v>
      </c>
      <c r="AG240" s="17">
        <v>1548</v>
      </c>
      <c r="AH240" s="17">
        <f t="shared" si="299"/>
        <v>0</v>
      </c>
      <c r="AI240" s="17">
        <v>22</v>
      </c>
      <c r="AJ240" s="17">
        <f t="shared" si="282"/>
        <v>0</v>
      </c>
      <c r="AK240" s="29">
        <v>0</v>
      </c>
      <c r="AL240" s="114" t="str">
        <f t="shared" si="283"/>
        <v>ラフブマスコット</v>
      </c>
      <c r="AM240" s="37">
        <f t="shared" si="283"/>
        <v>350</v>
      </c>
      <c r="AN240" s="17">
        <f t="shared" si="284"/>
        <v>0</v>
      </c>
      <c r="AO240" s="18">
        <f t="shared" si="285"/>
        <v>0</v>
      </c>
      <c r="AP240" s="11"/>
      <c r="AR240" s="75"/>
      <c r="AS240" s="17">
        <v>10863</v>
      </c>
      <c r="AT240" s="37">
        <f t="shared" si="286"/>
        <v>36</v>
      </c>
      <c r="AU240" s="17">
        <v>803</v>
      </c>
      <c r="AV240" s="17">
        <f t="shared" si="300"/>
        <v>0</v>
      </c>
      <c r="AW240" s="17">
        <v>6</v>
      </c>
      <c r="AX240" s="17">
        <f t="shared" si="287"/>
        <v>6</v>
      </c>
      <c r="AY240" s="29">
        <v>0</v>
      </c>
      <c r="AZ240" s="114" t="s">
        <v>149</v>
      </c>
      <c r="BA240" s="37">
        <v>330</v>
      </c>
      <c r="BB240" s="17">
        <f t="shared" si="289"/>
        <v>1980</v>
      </c>
      <c r="BC240" s="18">
        <f t="shared" si="290"/>
        <v>0.55000000000000004</v>
      </c>
      <c r="BD240" s="11" t="s">
        <v>150</v>
      </c>
      <c r="BF240" s="96"/>
      <c r="BG240" s="9"/>
      <c r="BH240" s="9" t="str">
        <f>IF(BG240="","",BG240-BG241)</f>
        <v/>
      </c>
      <c r="BI240" s="9"/>
      <c r="BJ240" s="9" t="str">
        <f>IF(BI240="","",BI240-BI241)</f>
        <v/>
      </c>
      <c r="BK240" s="9"/>
      <c r="BL240" s="9" t="str">
        <f>IF(BK240="","",BK241+BM241-BK240)</f>
        <v/>
      </c>
      <c r="BM240" s="9"/>
      <c r="BN240" s="33"/>
      <c r="BO240" s="33" t="str">
        <f>IF(BG240="","",BO241)</f>
        <v/>
      </c>
      <c r="BP240" s="9" t="str">
        <f t="shared" ref="BP240:BP272" si="302">IF(BO240="","",BL240*BO240)</f>
        <v/>
      </c>
      <c r="BQ240" s="10" t="str">
        <f t="shared" ref="BQ240:BQ272" si="303">IF(BP240="","",BP240/(BH240*100))</f>
        <v/>
      </c>
      <c r="BR240" s="90"/>
    </row>
    <row r="241" spans="1:70" ht="15" customHeight="1" thickTop="1" x14ac:dyDescent="0.2">
      <c r="A241" s="71">
        <v>46091</v>
      </c>
      <c r="B241" s="61">
        <f>SUM(D241:D244)+SUM(R241:R244)+SUM(AF241:AF244)+SUM(AT241:AT244)+SUM(BH229)</f>
        <v>315</v>
      </c>
      <c r="C241" s="33">
        <v>15518</v>
      </c>
      <c r="D241" s="33">
        <f t="shared" si="271"/>
        <v>4</v>
      </c>
      <c r="E241" s="33">
        <v>1114</v>
      </c>
      <c r="F241" s="20">
        <f t="shared" si="297"/>
        <v>1</v>
      </c>
      <c r="G241" s="33">
        <v>3</v>
      </c>
      <c r="H241" s="33">
        <f t="shared" si="272"/>
        <v>1</v>
      </c>
      <c r="I241" s="43">
        <v>8</v>
      </c>
      <c r="J241" s="112" t="str">
        <f t="shared" si="273"/>
        <v>サンリオマスコット</v>
      </c>
      <c r="K241" s="40">
        <f t="shared" si="273"/>
        <v>660</v>
      </c>
      <c r="L241" s="20">
        <f t="shared" si="274"/>
        <v>660</v>
      </c>
      <c r="M241" s="21">
        <f t="shared" si="275"/>
        <v>1.65</v>
      </c>
      <c r="N241" s="11"/>
      <c r="P241" s="76">
        <f>IF($A241="","",$A241)</f>
        <v>46091</v>
      </c>
      <c r="Q241" s="33">
        <v>15085</v>
      </c>
      <c r="R241" s="33">
        <f t="shared" si="276"/>
        <v>32</v>
      </c>
      <c r="S241" s="33">
        <v>1438</v>
      </c>
      <c r="T241" s="20">
        <f t="shared" si="298"/>
        <v>2</v>
      </c>
      <c r="U241" s="33">
        <v>8</v>
      </c>
      <c r="V241" s="33">
        <f t="shared" si="277"/>
        <v>2</v>
      </c>
      <c r="W241" s="43">
        <v>2</v>
      </c>
      <c r="X241" s="112" t="str">
        <f t="shared" si="278"/>
        <v>キティボアバンスクリップ</v>
      </c>
      <c r="Y241" s="40">
        <f t="shared" si="278"/>
        <v>1100</v>
      </c>
      <c r="Z241" s="20">
        <f t="shared" si="279"/>
        <v>2200</v>
      </c>
      <c r="AA241" s="21">
        <f t="shared" si="280"/>
        <v>0.6875</v>
      </c>
      <c r="AB241" s="11" t="s">
        <v>156</v>
      </c>
      <c r="AD241" s="76">
        <f>IF($A241="","",$A241)</f>
        <v>46091</v>
      </c>
      <c r="AE241" s="33">
        <v>12358</v>
      </c>
      <c r="AF241" s="33">
        <f t="shared" si="281"/>
        <v>3</v>
      </c>
      <c r="AG241" s="33">
        <v>905</v>
      </c>
      <c r="AH241" s="20">
        <f t="shared" si="299"/>
        <v>0</v>
      </c>
      <c r="AI241" s="33">
        <v>10</v>
      </c>
      <c r="AJ241" s="33">
        <f t="shared" si="282"/>
        <v>0</v>
      </c>
      <c r="AK241" s="43">
        <v>0</v>
      </c>
      <c r="AL241" s="112" t="str">
        <f t="shared" si="283"/>
        <v>キティフェイス千鳥</v>
      </c>
      <c r="AM241" s="40">
        <f t="shared" si="283"/>
        <v>600</v>
      </c>
      <c r="AN241" s="20">
        <f t="shared" si="284"/>
        <v>0</v>
      </c>
      <c r="AO241" s="21">
        <f t="shared" si="285"/>
        <v>0</v>
      </c>
      <c r="AP241" s="11"/>
      <c r="AR241" s="76">
        <f>IF($A241="","",$A241)</f>
        <v>46091</v>
      </c>
      <c r="AS241" s="33">
        <v>9453</v>
      </c>
      <c r="AT241" s="33">
        <f t="shared" si="286"/>
        <v>11</v>
      </c>
      <c r="AU241" s="33">
        <v>526</v>
      </c>
      <c r="AV241" s="20">
        <f t="shared" si="300"/>
        <v>0</v>
      </c>
      <c r="AW241" s="33">
        <v>8</v>
      </c>
      <c r="AX241" s="33">
        <f t="shared" si="287"/>
        <v>0</v>
      </c>
      <c r="AY241" s="43">
        <v>0</v>
      </c>
      <c r="AZ241" s="112" t="str">
        <f t="shared" si="301"/>
        <v>キティシッポ付フェイスポーチ</v>
      </c>
      <c r="BA241" s="40">
        <f t="shared" si="301"/>
        <v>825</v>
      </c>
      <c r="BB241" s="20">
        <f t="shared" si="289"/>
        <v>0</v>
      </c>
      <c r="BC241" s="21">
        <f t="shared" si="290"/>
        <v>0</v>
      </c>
      <c r="BD241" s="11"/>
      <c r="BF241" s="96"/>
      <c r="BG241" s="9"/>
      <c r="BH241" s="9" t="str">
        <f>IF(BG241="","",BG241-BG238)</f>
        <v/>
      </c>
      <c r="BI241" s="9"/>
      <c r="BJ241" s="9" t="str">
        <f>IF(BI241="","",BI241-BI238)</f>
        <v/>
      </c>
      <c r="BK241" s="9"/>
      <c r="BL241" s="9" t="str">
        <f>IF(BK241="","",BK238+BM238-BK241)</f>
        <v/>
      </c>
      <c r="BM241" s="9"/>
      <c r="BN241" s="33"/>
      <c r="BO241" s="33" t="str">
        <f>IF(BG241="","",BO238)</f>
        <v/>
      </c>
      <c r="BP241" s="9" t="str">
        <f t="shared" si="302"/>
        <v/>
      </c>
      <c r="BQ241" s="10" t="str">
        <f t="shared" si="303"/>
        <v/>
      </c>
      <c r="BR241" s="90"/>
    </row>
    <row r="242" spans="1:70" x14ac:dyDescent="0.2">
      <c r="A242" s="71"/>
      <c r="B242" s="61"/>
      <c r="C242" s="33">
        <v>19066</v>
      </c>
      <c r="D242" s="9">
        <f t="shared" si="271"/>
        <v>9</v>
      </c>
      <c r="E242" s="9">
        <v>627</v>
      </c>
      <c r="F242" s="9">
        <f t="shared" si="297"/>
        <v>0</v>
      </c>
      <c r="G242" s="9">
        <v>37</v>
      </c>
      <c r="H242" s="9">
        <f t="shared" si="272"/>
        <v>0</v>
      </c>
      <c r="I242" s="13">
        <v>0</v>
      </c>
      <c r="J242" s="113" t="str">
        <f t="shared" si="273"/>
        <v>電ブル</v>
      </c>
      <c r="K242" s="34">
        <f t="shared" si="273"/>
        <v>275</v>
      </c>
      <c r="L242" s="9">
        <f t="shared" si="274"/>
        <v>0</v>
      </c>
      <c r="M242" s="10">
        <f t="shared" si="275"/>
        <v>0</v>
      </c>
      <c r="N242" s="11"/>
      <c r="P242" s="71"/>
      <c r="Q242" s="33">
        <v>14558</v>
      </c>
      <c r="R242" s="9">
        <f t="shared" si="276"/>
        <v>1</v>
      </c>
      <c r="S242" s="9">
        <v>496</v>
      </c>
      <c r="T242" s="9">
        <f t="shared" si="298"/>
        <v>0</v>
      </c>
      <c r="U242" s="9">
        <v>6</v>
      </c>
      <c r="V242" s="9">
        <f t="shared" si="277"/>
        <v>0</v>
      </c>
      <c r="W242" s="13">
        <v>4</v>
      </c>
      <c r="X242" s="113" t="str">
        <f t="shared" si="278"/>
        <v>サンリオフェイスポーチ</v>
      </c>
      <c r="Y242" s="34">
        <f t="shared" si="278"/>
        <v>825</v>
      </c>
      <c r="Z242" s="9">
        <f t="shared" si="279"/>
        <v>0</v>
      </c>
      <c r="AA242" s="10">
        <f t="shared" si="280"/>
        <v>0</v>
      </c>
      <c r="AB242" s="11"/>
      <c r="AD242" s="71"/>
      <c r="AE242" s="33">
        <v>12565</v>
      </c>
      <c r="AF242" s="9">
        <f t="shared" si="281"/>
        <v>1</v>
      </c>
      <c r="AG242" s="9">
        <v>789</v>
      </c>
      <c r="AH242" s="9">
        <f t="shared" si="299"/>
        <v>0</v>
      </c>
      <c r="AI242" s="9">
        <v>10</v>
      </c>
      <c r="AJ242" s="9">
        <f t="shared" si="282"/>
        <v>0</v>
      </c>
      <c r="AK242" s="13">
        <v>0</v>
      </c>
      <c r="AL242" s="113" t="str">
        <f t="shared" si="283"/>
        <v>ジャグラーボタン</v>
      </c>
      <c r="AM242" s="34">
        <f t="shared" si="283"/>
        <v>748</v>
      </c>
      <c r="AN242" s="9">
        <f t="shared" si="284"/>
        <v>0</v>
      </c>
      <c r="AO242" s="10">
        <f t="shared" si="285"/>
        <v>0</v>
      </c>
      <c r="AP242" s="11"/>
      <c r="AR242" s="71"/>
      <c r="AS242" s="33">
        <v>10759</v>
      </c>
      <c r="AT242" s="9">
        <f t="shared" si="286"/>
        <v>7</v>
      </c>
      <c r="AU242" s="9">
        <v>546</v>
      </c>
      <c r="AV242" s="9">
        <f t="shared" si="300"/>
        <v>0</v>
      </c>
      <c r="AW242" s="9">
        <v>16</v>
      </c>
      <c r="AX242" s="9">
        <f t="shared" si="287"/>
        <v>-5</v>
      </c>
      <c r="AY242" s="13">
        <v>0</v>
      </c>
      <c r="AZ242" s="113" t="s">
        <v>157</v>
      </c>
      <c r="BA242" s="34">
        <f t="shared" si="301"/>
        <v>358</v>
      </c>
      <c r="BB242" s="9">
        <f t="shared" si="289"/>
        <v>-1790</v>
      </c>
      <c r="BC242" s="10">
        <f t="shared" si="290"/>
        <v>-2.5571428571428569</v>
      </c>
      <c r="BD242" s="11"/>
      <c r="BF242" s="97"/>
      <c r="BG242" s="9"/>
      <c r="BH242" s="9" t="str">
        <f>IF(BG242="","",BG242-BG240)</f>
        <v/>
      </c>
      <c r="BI242" s="9"/>
      <c r="BJ242" s="9" t="str">
        <f>IF(BI242="","",BI242-BI240)</f>
        <v/>
      </c>
      <c r="BK242" s="9"/>
      <c r="BL242" s="9" t="str">
        <f>IF(BK242="","",BK240+BM240-BK242)</f>
        <v/>
      </c>
      <c r="BM242" s="9"/>
      <c r="BN242" s="33"/>
      <c r="BO242" s="33" t="str">
        <f>IF(BG242="","",BO240)</f>
        <v/>
      </c>
      <c r="BP242" s="9" t="str">
        <f t="shared" si="302"/>
        <v/>
      </c>
      <c r="BQ242" s="10" t="str">
        <f t="shared" si="303"/>
        <v/>
      </c>
      <c r="BR242" s="11"/>
    </row>
    <row r="243" spans="1:70" ht="15" customHeight="1" x14ac:dyDescent="0.2">
      <c r="A243" s="71"/>
      <c r="B243" s="64"/>
      <c r="C243" s="38">
        <v>18138</v>
      </c>
      <c r="D243" s="9">
        <f t="shared" si="271"/>
        <v>7</v>
      </c>
      <c r="E243" s="9">
        <v>621</v>
      </c>
      <c r="F243" s="9">
        <f t="shared" si="297"/>
        <v>1</v>
      </c>
      <c r="G243" s="9">
        <v>17</v>
      </c>
      <c r="H243" s="9">
        <f t="shared" si="272"/>
        <v>1</v>
      </c>
      <c r="I243" s="13">
        <v>1</v>
      </c>
      <c r="J243" s="113" t="str">
        <f t="shared" si="273"/>
        <v>ギャルキティマスコット</v>
      </c>
      <c r="K243" s="9">
        <f t="shared" si="273"/>
        <v>638</v>
      </c>
      <c r="L243" s="9">
        <f t="shared" si="274"/>
        <v>638</v>
      </c>
      <c r="M243" s="10">
        <f t="shared" si="275"/>
        <v>0.91142857142857148</v>
      </c>
      <c r="N243" s="11"/>
      <c r="P243" s="71"/>
      <c r="Q243" s="38">
        <v>14793</v>
      </c>
      <c r="R243" s="9">
        <f t="shared" si="276"/>
        <v>15</v>
      </c>
      <c r="S243" s="9">
        <v>946</v>
      </c>
      <c r="T243" s="9">
        <f t="shared" si="298"/>
        <v>1</v>
      </c>
      <c r="U243" s="9">
        <v>22</v>
      </c>
      <c r="V243" s="9">
        <f t="shared" si="277"/>
        <v>1</v>
      </c>
      <c r="W243" s="13">
        <v>0</v>
      </c>
      <c r="X243" s="113" t="str">
        <f t="shared" si="278"/>
        <v>ボンボンドロップシール</v>
      </c>
      <c r="Y243" s="9">
        <f t="shared" si="278"/>
        <v>200</v>
      </c>
      <c r="Z243" s="9">
        <f t="shared" si="279"/>
        <v>200</v>
      </c>
      <c r="AA243" s="10">
        <f t="shared" si="280"/>
        <v>0.13333333333333333</v>
      </c>
      <c r="AB243" s="11"/>
      <c r="AD243" s="71"/>
      <c r="AE243" s="38">
        <v>14896</v>
      </c>
      <c r="AF243" s="9">
        <f t="shared" si="281"/>
        <v>7</v>
      </c>
      <c r="AG243" s="9">
        <v>2398</v>
      </c>
      <c r="AH243" s="9">
        <f t="shared" si="299"/>
        <v>0</v>
      </c>
      <c r="AI243" s="9">
        <v>8</v>
      </c>
      <c r="AJ243" s="9">
        <f t="shared" si="282"/>
        <v>0</v>
      </c>
      <c r="AK243" s="13">
        <v>0</v>
      </c>
      <c r="AL243" s="113" t="str">
        <f t="shared" si="283"/>
        <v>サンリオスカーフ付きリュック</v>
      </c>
      <c r="AM243" s="9">
        <f t="shared" si="283"/>
        <v>600</v>
      </c>
      <c r="AN243" s="9">
        <f t="shared" si="284"/>
        <v>0</v>
      </c>
      <c r="AO243" s="10">
        <f t="shared" si="285"/>
        <v>0</v>
      </c>
      <c r="AP243" s="11"/>
      <c r="AR243" s="71"/>
      <c r="AS243" s="38">
        <v>12929</v>
      </c>
      <c r="AT243" s="9">
        <f t="shared" si="286"/>
        <v>1</v>
      </c>
      <c r="AU243" s="9">
        <v>768</v>
      </c>
      <c r="AV243" s="9">
        <f t="shared" si="300"/>
        <v>0</v>
      </c>
      <c r="AW243" s="9">
        <v>10</v>
      </c>
      <c r="AX243" s="9">
        <f t="shared" si="287"/>
        <v>-2</v>
      </c>
      <c r="AY243" s="13">
        <v>0</v>
      </c>
      <c r="AZ243" s="113" t="s">
        <v>151</v>
      </c>
      <c r="BA243" s="9">
        <v>1500</v>
      </c>
      <c r="BB243" s="9">
        <f t="shared" si="289"/>
        <v>-3000</v>
      </c>
      <c r="BC243" s="10">
        <f t="shared" si="290"/>
        <v>-30</v>
      </c>
      <c r="BD243" s="11"/>
      <c r="BF243" s="97" t="str">
        <f>IF($A243="","",$A243)</f>
        <v/>
      </c>
      <c r="BG243" s="9"/>
      <c r="BH243" s="9" t="str">
        <f>IF(BG243="","",BG243-#REF!)</f>
        <v/>
      </c>
      <c r="BI243" s="9"/>
      <c r="BJ243" s="9" t="str">
        <f>IF(BI243="","",BI243-#REF!)</f>
        <v/>
      </c>
      <c r="BK243" s="9"/>
      <c r="BL243" s="9" t="str">
        <f>IF(BK243="","",#REF!+#REF!-BK243)</f>
        <v/>
      </c>
      <c r="BM243" s="9"/>
      <c r="BN243" s="33"/>
      <c r="BO243" s="33" t="str">
        <f>IF(BG243="","",#REF!)</f>
        <v/>
      </c>
      <c r="BP243" s="9" t="str">
        <f t="shared" si="302"/>
        <v/>
      </c>
      <c r="BQ243" s="10" t="str">
        <f t="shared" si="303"/>
        <v/>
      </c>
      <c r="BR243" s="11"/>
    </row>
    <row r="244" spans="1:70" ht="15" customHeight="1" thickBot="1" x14ac:dyDescent="0.25">
      <c r="A244" s="75"/>
      <c r="B244" s="67"/>
      <c r="C244" s="36">
        <v>12548</v>
      </c>
      <c r="D244" s="37">
        <f t="shared" si="271"/>
        <v>8</v>
      </c>
      <c r="E244" s="17">
        <v>1224</v>
      </c>
      <c r="F244" s="17">
        <f t="shared" si="297"/>
        <v>1</v>
      </c>
      <c r="G244" s="17">
        <v>12</v>
      </c>
      <c r="H244" s="17">
        <f t="shared" si="272"/>
        <v>1</v>
      </c>
      <c r="I244" s="29">
        <v>4</v>
      </c>
      <c r="J244" s="114" t="str">
        <f t="shared" si="273"/>
        <v>バタースクイーズ</v>
      </c>
      <c r="K244" s="37">
        <f t="shared" si="273"/>
        <v>1100</v>
      </c>
      <c r="L244" s="17">
        <f t="shared" si="274"/>
        <v>1100</v>
      </c>
      <c r="M244" s="18">
        <f t="shared" si="275"/>
        <v>1.375</v>
      </c>
      <c r="N244" s="11"/>
      <c r="P244" s="75"/>
      <c r="Q244" s="36">
        <v>12606</v>
      </c>
      <c r="R244" s="37">
        <f t="shared" si="276"/>
        <v>11</v>
      </c>
      <c r="S244" s="17">
        <v>1078</v>
      </c>
      <c r="T244" s="17">
        <f t="shared" si="298"/>
        <v>0</v>
      </c>
      <c r="U244" s="17">
        <v>5</v>
      </c>
      <c r="V244" s="17">
        <f t="shared" si="277"/>
        <v>0</v>
      </c>
      <c r="W244" s="29">
        <v>0</v>
      </c>
      <c r="X244" s="114" t="str">
        <f t="shared" si="278"/>
        <v>ゲームアーク</v>
      </c>
      <c r="Y244" s="37">
        <f t="shared" si="278"/>
        <v>648</v>
      </c>
      <c r="Z244" s="17">
        <f t="shared" si="279"/>
        <v>0</v>
      </c>
      <c r="AA244" s="18">
        <f t="shared" si="280"/>
        <v>0</v>
      </c>
      <c r="AB244" s="11"/>
      <c r="AD244" s="75"/>
      <c r="AE244" s="36">
        <v>15223</v>
      </c>
      <c r="AF244" s="37">
        <f t="shared" si="281"/>
        <v>0</v>
      </c>
      <c r="AG244" s="17">
        <v>1548</v>
      </c>
      <c r="AH244" s="17">
        <f t="shared" si="299"/>
        <v>0</v>
      </c>
      <c r="AI244" s="17">
        <v>22</v>
      </c>
      <c r="AJ244" s="17">
        <f t="shared" si="282"/>
        <v>0</v>
      </c>
      <c r="AK244" s="29">
        <v>0</v>
      </c>
      <c r="AL244" s="114" t="str">
        <f t="shared" si="283"/>
        <v>ラフブマスコット</v>
      </c>
      <c r="AM244" s="37">
        <f t="shared" si="283"/>
        <v>350</v>
      </c>
      <c r="AN244" s="17">
        <f t="shared" si="284"/>
        <v>0</v>
      </c>
      <c r="AO244" s="18" t="e">
        <f t="shared" si="285"/>
        <v>#DIV/0!</v>
      </c>
      <c r="AP244" s="11"/>
      <c r="AR244" s="75"/>
      <c r="AS244" s="36">
        <v>10868</v>
      </c>
      <c r="AT244" s="37">
        <f t="shared" si="286"/>
        <v>5</v>
      </c>
      <c r="AU244" s="17">
        <v>803</v>
      </c>
      <c r="AV244" s="17">
        <f t="shared" si="300"/>
        <v>0</v>
      </c>
      <c r="AW244" s="17">
        <v>6</v>
      </c>
      <c r="AX244" s="17">
        <f t="shared" si="287"/>
        <v>0</v>
      </c>
      <c r="AY244" s="29">
        <v>3</v>
      </c>
      <c r="AZ244" s="114" t="str">
        <f t="shared" si="301"/>
        <v>シールバインダー</v>
      </c>
      <c r="BA244" s="37">
        <f t="shared" si="301"/>
        <v>330</v>
      </c>
      <c r="BB244" s="17">
        <f t="shared" si="289"/>
        <v>0</v>
      </c>
      <c r="BC244" s="18">
        <f t="shared" si="290"/>
        <v>0</v>
      </c>
      <c r="BD244" s="11"/>
      <c r="BF244" s="97" t="str">
        <f>IF($A244="","",$A244)</f>
        <v/>
      </c>
      <c r="BG244" s="9"/>
      <c r="BH244" s="9" t="str">
        <f>IF(BG244="","",BG244-BG243)</f>
        <v/>
      </c>
      <c r="BI244" s="9"/>
      <c r="BJ244" s="9" t="str">
        <f>IF(BI244="","",BI244-BI243)</f>
        <v/>
      </c>
      <c r="BK244" s="9"/>
      <c r="BL244" s="9" t="str">
        <f>IF(BK244="","",BK243+BM243-BK244)</f>
        <v/>
      </c>
      <c r="BM244" s="9"/>
      <c r="BN244" s="33"/>
      <c r="BO244" s="33" t="str">
        <f>IF(BG244="","",BO243)</f>
        <v/>
      </c>
      <c r="BP244" s="9" t="str">
        <f t="shared" si="302"/>
        <v/>
      </c>
      <c r="BQ244" s="10" t="str">
        <f t="shared" si="303"/>
        <v/>
      </c>
      <c r="BR244" s="11"/>
    </row>
    <row r="245" spans="1:70" ht="15" customHeight="1" thickTop="1" x14ac:dyDescent="0.2">
      <c r="A245" s="71">
        <v>46094</v>
      </c>
      <c r="B245" s="61">
        <f>SUM(D245:D248)+SUM(R245:R248)+SUM(AF245:AF248)+SUM(AT245:AT248)+SUM(BH230)</f>
        <v>377</v>
      </c>
      <c r="C245" s="33">
        <v>15521</v>
      </c>
      <c r="D245" s="94">
        <f t="shared" si="271"/>
        <v>3</v>
      </c>
      <c r="E245" s="33">
        <v>1117</v>
      </c>
      <c r="F245" s="20">
        <f t="shared" si="297"/>
        <v>3</v>
      </c>
      <c r="G245" s="33">
        <v>0</v>
      </c>
      <c r="H245" s="33">
        <f t="shared" si="272"/>
        <v>11</v>
      </c>
      <c r="I245" s="43">
        <v>7</v>
      </c>
      <c r="J245" s="112" t="str">
        <f t="shared" ref="J245:K260" si="304">IF(C245="","",J241)</f>
        <v>サンリオマスコット</v>
      </c>
      <c r="K245" s="34">
        <f t="shared" si="304"/>
        <v>660</v>
      </c>
      <c r="L245" s="20">
        <f t="shared" si="274"/>
        <v>7260</v>
      </c>
      <c r="M245" s="21">
        <f t="shared" si="275"/>
        <v>24.2</v>
      </c>
      <c r="N245" s="11" t="s">
        <v>160</v>
      </c>
      <c r="P245" s="76">
        <f>IF($A245="","",$A245)</f>
        <v>46094</v>
      </c>
      <c r="Q245" s="33">
        <v>15114</v>
      </c>
      <c r="R245" s="33">
        <f t="shared" si="276"/>
        <v>29</v>
      </c>
      <c r="S245" s="33">
        <v>1438</v>
      </c>
      <c r="T245" s="20">
        <f t="shared" si="298"/>
        <v>0</v>
      </c>
      <c r="U245" s="33">
        <v>7</v>
      </c>
      <c r="V245" s="33">
        <f t="shared" si="277"/>
        <v>3</v>
      </c>
      <c r="W245" s="43">
        <v>1</v>
      </c>
      <c r="X245" s="112" t="str">
        <f t="shared" ref="X245:Y260" si="305">IF(Q245="","",X241)</f>
        <v>キティボアバンスクリップ</v>
      </c>
      <c r="Y245" s="34">
        <f t="shared" si="305"/>
        <v>1100</v>
      </c>
      <c r="Z245" s="20">
        <f t="shared" si="279"/>
        <v>3300</v>
      </c>
      <c r="AA245" s="21">
        <f t="shared" si="280"/>
        <v>1.1379310344827587</v>
      </c>
      <c r="AB245" s="11"/>
      <c r="AD245" s="76">
        <f>IF($A245="","",$A245)</f>
        <v>46094</v>
      </c>
      <c r="AE245" s="33">
        <v>12365</v>
      </c>
      <c r="AF245" s="94">
        <f t="shared" si="281"/>
        <v>7</v>
      </c>
      <c r="AG245" s="33">
        <v>905</v>
      </c>
      <c r="AH245" s="20">
        <f t="shared" si="299"/>
        <v>0</v>
      </c>
      <c r="AI245" s="33">
        <v>10</v>
      </c>
      <c r="AJ245" s="33">
        <f t="shared" si="282"/>
        <v>0</v>
      </c>
      <c r="AK245" s="43">
        <v>0</v>
      </c>
      <c r="AL245" s="112" t="str">
        <f t="shared" ref="AL245:AM260" si="306">IF(AE245="","",AL241)</f>
        <v>キティフェイス千鳥</v>
      </c>
      <c r="AM245" s="34">
        <f t="shared" si="306"/>
        <v>600</v>
      </c>
      <c r="AN245" s="20">
        <f t="shared" si="284"/>
        <v>0</v>
      </c>
      <c r="AO245" s="21">
        <f t="shared" si="285"/>
        <v>0</v>
      </c>
      <c r="AP245" s="11"/>
      <c r="AR245" s="76">
        <f>IF($A245="","",$A245)</f>
        <v>46094</v>
      </c>
      <c r="AS245" s="33">
        <v>9461</v>
      </c>
      <c r="AT245" s="94">
        <f t="shared" si="286"/>
        <v>8</v>
      </c>
      <c r="AU245" s="33">
        <v>527</v>
      </c>
      <c r="AV245" s="20">
        <f t="shared" si="300"/>
        <v>1</v>
      </c>
      <c r="AW245" s="33">
        <v>7</v>
      </c>
      <c r="AX245" s="33">
        <f t="shared" si="287"/>
        <v>1</v>
      </c>
      <c r="AY245" s="43">
        <v>0</v>
      </c>
      <c r="AZ245" s="112" t="str">
        <f t="shared" ref="AZ245:BA260" si="307">IF(AS245="","",AZ241)</f>
        <v>キティシッポ付フェイスポーチ</v>
      </c>
      <c r="BA245" s="34">
        <f t="shared" si="307"/>
        <v>825</v>
      </c>
      <c r="BB245" s="20">
        <f t="shared" si="289"/>
        <v>825</v>
      </c>
      <c r="BC245" s="21">
        <f t="shared" si="290"/>
        <v>1.03125</v>
      </c>
      <c r="BD245" s="11"/>
      <c r="BF245" s="97"/>
      <c r="BG245" s="9"/>
      <c r="BH245" s="9" t="str">
        <f>IF(BG245="","",BG245-BG244)</f>
        <v/>
      </c>
      <c r="BI245" s="9"/>
      <c r="BJ245" s="9" t="str">
        <f>IF(BI245="","",BI245-BI244)</f>
        <v/>
      </c>
      <c r="BK245" s="9"/>
      <c r="BL245" s="9" t="str">
        <f>IF(BK245="","",BK244+BM244-BK245)</f>
        <v/>
      </c>
      <c r="BM245" s="9"/>
      <c r="BN245" s="33"/>
      <c r="BO245" s="33" t="str">
        <f>IF(BG245="","",BO244)</f>
        <v/>
      </c>
      <c r="BP245" s="9" t="str">
        <f t="shared" si="302"/>
        <v/>
      </c>
      <c r="BQ245" s="10" t="str">
        <f t="shared" si="303"/>
        <v/>
      </c>
      <c r="BR245" s="11"/>
    </row>
    <row r="246" spans="1:70" ht="15" customHeight="1" x14ac:dyDescent="0.2">
      <c r="A246" s="72"/>
      <c r="B246" s="8"/>
      <c r="C246" s="9">
        <v>19136</v>
      </c>
      <c r="D246" s="9">
        <f t="shared" si="271"/>
        <v>70</v>
      </c>
      <c r="E246" s="9">
        <v>630</v>
      </c>
      <c r="F246" s="9">
        <f t="shared" si="297"/>
        <v>3</v>
      </c>
      <c r="G246" s="9">
        <v>34</v>
      </c>
      <c r="H246" s="9">
        <f t="shared" si="272"/>
        <v>3</v>
      </c>
      <c r="I246" s="13">
        <v>1</v>
      </c>
      <c r="J246" s="113" t="str">
        <f t="shared" si="304"/>
        <v>電ブル</v>
      </c>
      <c r="K246" s="34">
        <f t="shared" si="304"/>
        <v>275</v>
      </c>
      <c r="L246" s="9">
        <f t="shared" si="274"/>
        <v>825</v>
      </c>
      <c r="M246" s="10">
        <f t="shared" si="275"/>
        <v>0.11785714285714285</v>
      </c>
      <c r="N246" s="11"/>
      <c r="P246" s="72"/>
      <c r="Q246" s="9">
        <v>14564</v>
      </c>
      <c r="R246" s="77">
        <f t="shared" si="276"/>
        <v>6</v>
      </c>
      <c r="S246" s="9">
        <v>496</v>
      </c>
      <c r="T246" s="9">
        <f t="shared" si="298"/>
        <v>0</v>
      </c>
      <c r="U246" s="9">
        <v>5</v>
      </c>
      <c r="V246" s="9">
        <f t="shared" si="277"/>
        <v>5</v>
      </c>
      <c r="W246" s="13">
        <v>0</v>
      </c>
      <c r="X246" s="113" t="str">
        <f t="shared" si="305"/>
        <v>サンリオフェイスポーチ</v>
      </c>
      <c r="Y246" s="34">
        <f t="shared" si="305"/>
        <v>825</v>
      </c>
      <c r="Z246" s="9">
        <f t="shared" si="279"/>
        <v>4125</v>
      </c>
      <c r="AA246" s="10">
        <f t="shared" si="280"/>
        <v>6.875</v>
      </c>
      <c r="AB246" s="11"/>
      <c r="AD246" s="72"/>
      <c r="AE246" s="9">
        <v>12574</v>
      </c>
      <c r="AF246" s="77">
        <f t="shared" si="281"/>
        <v>9</v>
      </c>
      <c r="AG246" s="9">
        <v>789</v>
      </c>
      <c r="AH246" s="9">
        <f t="shared" si="299"/>
        <v>0</v>
      </c>
      <c r="AI246" s="9">
        <v>10</v>
      </c>
      <c r="AJ246" s="9">
        <f t="shared" si="282"/>
        <v>0</v>
      </c>
      <c r="AK246" s="13">
        <v>0</v>
      </c>
      <c r="AL246" s="113" t="str">
        <f t="shared" si="306"/>
        <v>ジャグラーボタン</v>
      </c>
      <c r="AM246" s="34">
        <f t="shared" si="306"/>
        <v>748</v>
      </c>
      <c r="AN246" s="9">
        <f t="shared" si="284"/>
        <v>0</v>
      </c>
      <c r="AO246" s="10">
        <f t="shared" si="285"/>
        <v>0</v>
      </c>
      <c r="AP246" s="11"/>
      <c r="AR246" s="72"/>
      <c r="AS246" s="9">
        <v>10783</v>
      </c>
      <c r="AT246" s="9">
        <f t="shared" si="286"/>
        <v>24</v>
      </c>
      <c r="AU246" s="9">
        <v>547</v>
      </c>
      <c r="AV246" s="9">
        <f t="shared" si="300"/>
        <v>1</v>
      </c>
      <c r="AW246" s="9">
        <v>10</v>
      </c>
      <c r="AX246" s="9">
        <f t="shared" si="287"/>
        <v>6</v>
      </c>
      <c r="AY246" s="13">
        <v>6</v>
      </c>
      <c r="AZ246" s="113" t="str">
        <f t="shared" si="307"/>
        <v>しばこ</v>
      </c>
      <c r="BA246" s="34">
        <f t="shared" si="307"/>
        <v>358</v>
      </c>
      <c r="BB246" s="9">
        <f t="shared" si="289"/>
        <v>2148</v>
      </c>
      <c r="BC246" s="10">
        <f t="shared" si="290"/>
        <v>0.89500000000000002</v>
      </c>
      <c r="BD246" s="11" t="s">
        <v>159</v>
      </c>
      <c r="BF246" s="7"/>
      <c r="BG246" s="34"/>
      <c r="BH246" s="9" t="str">
        <f>IF(BG246="","",BG246-BG245)</f>
        <v/>
      </c>
      <c r="BI246" s="9"/>
      <c r="BJ246" s="9" t="str">
        <f>IF(BI246="","",BI246-BI245)</f>
        <v/>
      </c>
      <c r="BK246" s="9"/>
      <c r="BL246" s="9" t="str">
        <f>IF(BK246="","",BK245+BM245-BK246)</f>
        <v/>
      </c>
      <c r="BM246" s="9"/>
      <c r="BN246" s="9"/>
      <c r="BO246" s="9"/>
      <c r="BP246" s="9" t="str">
        <f t="shared" si="302"/>
        <v/>
      </c>
      <c r="BQ246" s="10" t="str">
        <f t="shared" si="303"/>
        <v/>
      </c>
      <c r="BR246" s="11"/>
    </row>
    <row r="247" spans="1:70" ht="15" customHeight="1" x14ac:dyDescent="0.2">
      <c r="A247" s="72"/>
      <c r="B247" s="66"/>
      <c r="C247" s="23">
        <v>18155</v>
      </c>
      <c r="D247" s="9">
        <f t="shared" si="271"/>
        <v>17</v>
      </c>
      <c r="E247" s="9">
        <v>621</v>
      </c>
      <c r="F247" s="9">
        <f t="shared" si="297"/>
        <v>0</v>
      </c>
      <c r="G247" s="23">
        <v>17</v>
      </c>
      <c r="H247" s="9">
        <f t="shared" si="272"/>
        <v>1</v>
      </c>
      <c r="I247" s="30">
        <v>0</v>
      </c>
      <c r="J247" s="113" t="str">
        <f t="shared" si="304"/>
        <v>ギャルキティマスコット</v>
      </c>
      <c r="K247" s="34">
        <f t="shared" si="304"/>
        <v>638</v>
      </c>
      <c r="L247" s="9">
        <f t="shared" si="274"/>
        <v>638</v>
      </c>
      <c r="M247" s="10">
        <f t="shared" si="275"/>
        <v>0.37529411764705883</v>
      </c>
      <c r="N247" s="11"/>
      <c r="P247" s="72"/>
      <c r="Q247" s="23">
        <v>14819</v>
      </c>
      <c r="R247" s="9">
        <f t="shared" si="276"/>
        <v>26</v>
      </c>
      <c r="S247" s="9">
        <v>946</v>
      </c>
      <c r="T247" s="9">
        <f t="shared" si="298"/>
        <v>0</v>
      </c>
      <c r="U247" s="23">
        <v>21</v>
      </c>
      <c r="V247" s="9">
        <f t="shared" si="277"/>
        <v>1</v>
      </c>
      <c r="W247" s="30">
        <v>0</v>
      </c>
      <c r="X247" s="113" t="str">
        <f t="shared" si="305"/>
        <v>ボンボンドロップシール</v>
      </c>
      <c r="Y247" s="34">
        <f t="shared" si="305"/>
        <v>200</v>
      </c>
      <c r="Z247" s="9">
        <f t="shared" si="279"/>
        <v>200</v>
      </c>
      <c r="AA247" s="10">
        <f t="shared" si="280"/>
        <v>7.6923076923076927E-2</v>
      </c>
      <c r="AB247" s="11"/>
      <c r="AD247" s="72"/>
      <c r="AE247" s="23">
        <v>14920</v>
      </c>
      <c r="AF247" s="9">
        <f t="shared" si="281"/>
        <v>24</v>
      </c>
      <c r="AG247" s="9">
        <v>2399</v>
      </c>
      <c r="AH247" s="9">
        <f t="shared" si="299"/>
        <v>1</v>
      </c>
      <c r="AI247" s="23">
        <v>7</v>
      </c>
      <c r="AJ247" s="9">
        <f t="shared" si="282"/>
        <v>1</v>
      </c>
      <c r="AK247" s="30">
        <v>0</v>
      </c>
      <c r="AL247" s="113" t="str">
        <f t="shared" si="306"/>
        <v>サンリオスカーフ付きリュック</v>
      </c>
      <c r="AM247" s="34">
        <f t="shared" si="306"/>
        <v>600</v>
      </c>
      <c r="AN247" s="9">
        <f t="shared" si="284"/>
        <v>600</v>
      </c>
      <c r="AO247" s="10">
        <f t="shared" si="285"/>
        <v>0.25</v>
      </c>
      <c r="AP247" s="11"/>
      <c r="AR247" s="72"/>
      <c r="AS247" s="23">
        <v>12941</v>
      </c>
      <c r="AT247" s="9">
        <f t="shared" si="286"/>
        <v>12</v>
      </c>
      <c r="AU247" s="9">
        <v>768</v>
      </c>
      <c r="AV247" s="9">
        <f t="shared" si="300"/>
        <v>0</v>
      </c>
      <c r="AW247" s="23">
        <v>8</v>
      </c>
      <c r="AX247" s="9">
        <f t="shared" si="287"/>
        <v>2</v>
      </c>
      <c r="AY247" s="30">
        <v>0</v>
      </c>
      <c r="AZ247" s="113" t="str">
        <f t="shared" si="307"/>
        <v>たまごっちマスコット</v>
      </c>
      <c r="BA247" s="34">
        <f t="shared" si="307"/>
        <v>1500</v>
      </c>
      <c r="BB247" s="9">
        <f t="shared" si="289"/>
        <v>3000</v>
      </c>
      <c r="BC247" s="10">
        <f t="shared" si="290"/>
        <v>2.5</v>
      </c>
      <c r="BD247" s="11"/>
      <c r="BF247" s="7"/>
      <c r="BG247" s="34"/>
      <c r="BH247" s="9" t="str">
        <f>IF(BG247="","",BG247-BG246)</f>
        <v/>
      </c>
      <c r="BI247" s="9"/>
      <c r="BJ247" s="9" t="str">
        <f>IF(BI247="","",BI247-BI246)</f>
        <v/>
      </c>
      <c r="BK247" s="9"/>
      <c r="BL247" s="9" t="str">
        <f>IF(BK247="","",BK246+BM246-BK247)</f>
        <v/>
      </c>
      <c r="BM247" s="9"/>
      <c r="BN247" s="9"/>
      <c r="BO247" s="9"/>
      <c r="BP247" s="9" t="str">
        <f t="shared" si="302"/>
        <v/>
      </c>
      <c r="BQ247" s="10" t="str">
        <f t="shared" si="303"/>
        <v/>
      </c>
      <c r="BR247" s="11"/>
    </row>
    <row r="248" spans="1:70" ht="15" customHeight="1" thickBot="1" x14ac:dyDescent="0.25">
      <c r="A248" s="75"/>
      <c r="B248" s="67"/>
      <c r="C248" s="17">
        <v>12589</v>
      </c>
      <c r="D248" s="37">
        <f t="shared" si="271"/>
        <v>41</v>
      </c>
      <c r="E248" s="17">
        <v>1226</v>
      </c>
      <c r="F248" s="17">
        <f t="shared" si="297"/>
        <v>2</v>
      </c>
      <c r="G248" s="17">
        <v>10</v>
      </c>
      <c r="H248" s="17">
        <f t="shared" si="272"/>
        <v>6</v>
      </c>
      <c r="I248" s="29">
        <v>0</v>
      </c>
      <c r="J248" s="114" t="str">
        <f t="shared" si="304"/>
        <v>バタースクイーズ</v>
      </c>
      <c r="K248" s="37">
        <f t="shared" si="304"/>
        <v>1100</v>
      </c>
      <c r="L248" s="17">
        <f t="shared" si="274"/>
        <v>6600</v>
      </c>
      <c r="M248" s="18">
        <f t="shared" si="275"/>
        <v>1.6097560975609757</v>
      </c>
      <c r="N248" s="11"/>
      <c r="P248" s="75"/>
      <c r="Q248" s="17">
        <v>12616</v>
      </c>
      <c r="R248" s="83">
        <f t="shared" si="276"/>
        <v>10</v>
      </c>
      <c r="S248" s="17">
        <v>1078</v>
      </c>
      <c r="T248" s="17">
        <f t="shared" si="298"/>
        <v>0</v>
      </c>
      <c r="U248" s="17">
        <v>5</v>
      </c>
      <c r="V248" s="17">
        <f t="shared" si="277"/>
        <v>0</v>
      </c>
      <c r="W248" s="29">
        <v>0</v>
      </c>
      <c r="X248" s="114" t="str">
        <f t="shared" si="305"/>
        <v>ゲームアーク</v>
      </c>
      <c r="Y248" s="37">
        <f t="shared" si="305"/>
        <v>648</v>
      </c>
      <c r="Z248" s="17">
        <f t="shared" si="279"/>
        <v>0</v>
      </c>
      <c r="AA248" s="18">
        <f t="shared" si="280"/>
        <v>0</v>
      </c>
      <c r="AB248" s="11"/>
      <c r="AD248" s="75"/>
      <c r="AE248" s="17">
        <v>15231</v>
      </c>
      <c r="AF248" s="83">
        <f t="shared" si="281"/>
        <v>8</v>
      </c>
      <c r="AG248" s="17">
        <v>1548</v>
      </c>
      <c r="AH248" s="17">
        <f t="shared" si="299"/>
        <v>0</v>
      </c>
      <c r="AI248" s="17">
        <v>22</v>
      </c>
      <c r="AJ248" s="17">
        <f t="shared" si="282"/>
        <v>0</v>
      </c>
      <c r="AK248" s="29">
        <v>0</v>
      </c>
      <c r="AL248" s="114" t="str">
        <f t="shared" si="306"/>
        <v>ラフブマスコット</v>
      </c>
      <c r="AM248" s="37">
        <f t="shared" si="306"/>
        <v>350</v>
      </c>
      <c r="AN248" s="17">
        <f t="shared" si="284"/>
        <v>0</v>
      </c>
      <c r="AO248" s="18">
        <f t="shared" si="285"/>
        <v>0</v>
      </c>
      <c r="AP248" s="11"/>
      <c r="AR248" s="75"/>
      <c r="AS248" s="17">
        <v>10873</v>
      </c>
      <c r="AT248" s="83">
        <f t="shared" si="286"/>
        <v>5</v>
      </c>
      <c r="AU248" s="17">
        <v>808</v>
      </c>
      <c r="AV248" s="17">
        <f t="shared" si="300"/>
        <v>5</v>
      </c>
      <c r="AW248" s="17">
        <v>6</v>
      </c>
      <c r="AX248" s="17">
        <f t="shared" si="287"/>
        <v>3</v>
      </c>
      <c r="AY248" s="29">
        <v>3</v>
      </c>
      <c r="AZ248" s="114" t="str">
        <f t="shared" si="307"/>
        <v>シールバインダー</v>
      </c>
      <c r="BA248" s="37">
        <f t="shared" si="307"/>
        <v>330</v>
      </c>
      <c r="BB248" s="17">
        <f t="shared" si="289"/>
        <v>990</v>
      </c>
      <c r="BC248" s="18">
        <f t="shared" si="290"/>
        <v>1.98</v>
      </c>
      <c r="BD248" s="11" t="s">
        <v>158</v>
      </c>
      <c r="BF248" s="7"/>
      <c r="BG248" s="34"/>
      <c r="BH248" s="9" t="str">
        <f>IF(BG248="","",BG248-BG247)</f>
        <v/>
      </c>
      <c r="BI248" s="9"/>
      <c r="BJ248" s="9"/>
      <c r="BK248" s="9"/>
      <c r="BL248" s="9" t="str">
        <f>IF(BK248="","",BK247+BM247-BK248)</f>
        <v/>
      </c>
      <c r="BM248" s="9"/>
      <c r="BN248" s="9"/>
      <c r="BO248" s="9"/>
      <c r="BP248" s="9" t="str">
        <f t="shared" si="302"/>
        <v/>
      </c>
      <c r="BQ248" s="10" t="str">
        <f t="shared" si="303"/>
        <v/>
      </c>
      <c r="BR248" s="11"/>
    </row>
    <row r="249" spans="1:70" ht="15" customHeight="1" thickTop="1" x14ac:dyDescent="0.2">
      <c r="A249" s="71">
        <v>46097</v>
      </c>
      <c r="B249" s="61">
        <f>SUM(D249:D252)+SUM(R249:R252)+SUM(AF249:AF252)+SUM(AT249:AT252)+SUM(BH231)</f>
        <v>975</v>
      </c>
      <c r="C249" s="33">
        <v>15526</v>
      </c>
      <c r="D249" s="33">
        <f t="shared" si="271"/>
        <v>5</v>
      </c>
      <c r="E249" s="33">
        <v>1117</v>
      </c>
      <c r="F249" s="20">
        <f t="shared" si="297"/>
        <v>0</v>
      </c>
      <c r="G249" s="33">
        <v>7</v>
      </c>
      <c r="H249" s="33">
        <f t="shared" si="272"/>
        <v>0</v>
      </c>
      <c r="I249" s="43">
        <v>0</v>
      </c>
      <c r="J249" s="112" t="s">
        <v>162</v>
      </c>
      <c r="K249" s="40">
        <f t="shared" si="304"/>
        <v>660</v>
      </c>
      <c r="L249" s="20">
        <f t="shared" si="274"/>
        <v>0</v>
      </c>
      <c r="M249" s="21">
        <f t="shared" si="275"/>
        <v>0</v>
      </c>
      <c r="N249" s="11"/>
      <c r="P249" s="76">
        <f>IF($A249="","",$A249)</f>
        <v>46097</v>
      </c>
      <c r="Q249" s="33">
        <v>15177</v>
      </c>
      <c r="R249" s="33">
        <f t="shared" si="276"/>
        <v>63</v>
      </c>
      <c r="S249" s="33">
        <v>1440</v>
      </c>
      <c r="T249" s="20">
        <f t="shared" si="298"/>
        <v>2</v>
      </c>
      <c r="U249" s="33">
        <v>6</v>
      </c>
      <c r="V249" s="33">
        <f t="shared" si="277"/>
        <v>2</v>
      </c>
      <c r="W249" s="43">
        <v>0</v>
      </c>
      <c r="X249" s="112" t="str">
        <f t="shared" si="305"/>
        <v>キティボアバンスクリップ</v>
      </c>
      <c r="Y249" s="40">
        <f t="shared" si="305"/>
        <v>1100</v>
      </c>
      <c r="Z249" s="20">
        <f t="shared" si="279"/>
        <v>2200</v>
      </c>
      <c r="AA249" s="21">
        <f t="shared" si="280"/>
        <v>0.34920634920634919</v>
      </c>
      <c r="AB249" s="11"/>
      <c r="AD249" s="76">
        <f>IF($A249="","",$A249)</f>
        <v>46097</v>
      </c>
      <c r="AE249" s="33">
        <v>12371</v>
      </c>
      <c r="AF249" s="33">
        <f t="shared" si="281"/>
        <v>6</v>
      </c>
      <c r="AG249" s="33">
        <v>905</v>
      </c>
      <c r="AH249" s="20">
        <f t="shared" si="299"/>
        <v>0</v>
      </c>
      <c r="AI249" s="33">
        <v>10</v>
      </c>
      <c r="AJ249" s="33">
        <f t="shared" si="282"/>
        <v>0</v>
      </c>
      <c r="AK249" s="43">
        <v>-2</v>
      </c>
      <c r="AL249" s="112" t="str">
        <f t="shared" si="306"/>
        <v>キティフェイス千鳥</v>
      </c>
      <c r="AM249" s="40">
        <f t="shared" si="306"/>
        <v>600</v>
      </c>
      <c r="AN249" s="20">
        <f t="shared" si="284"/>
        <v>0</v>
      </c>
      <c r="AO249" s="21">
        <f t="shared" si="285"/>
        <v>0</v>
      </c>
      <c r="AP249" s="11" t="s">
        <v>163</v>
      </c>
      <c r="AR249" s="76">
        <f>IF($A249="","",$A249)</f>
        <v>46097</v>
      </c>
      <c r="AS249" s="33">
        <v>9482</v>
      </c>
      <c r="AT249" s="33">
        <f t="shared" si="286"/>
        <v>21</v>
      </c>
      <c r="AU249" s="33">
        <v>527</v>
      </c>
      <c r="AV249" s="20">
        <f t="shared" si="300"/>
        <v>0</v>
      </c>
      <c r="AW249" s="33">
        <v>7</v>
      </c>
      <c r="AX249" s="33">
        <f t="shared" si="287"/>
        <v>0</v>
      </c>
      <c r="AY249" s="43">
        <v>0</v>
      </c>
      <c r="AZ249" s="112" t="str">
        <f t="shared" si="307"/>
        <v>キティシッポ付フェイスポーチ</v>
      </c>
      <c r="BA249" s="40">
        <f t="shared" si="307"/>
        <v>825</v>
      </c>
      <c r="BB249" s="20">
        <f t="shared" si="289"/>
        <v>0</v>
      </c>
      <c r="BC249" s="21">
        <f t="shared" si="290"/>
        <v>0</v>
      </c>
      <c r="BD249" s="11"/>
      <c r="BF249" s="7"/>
      <c r="BG249" s="9"/>
      <c r="BH249" s="9" t="str">
        <f>IF(BG249="","",BG249-BG250)</f>
        <v/>
      </c>
      <c r="BI249" s="9"/>
      <c r="BJ249" s="9" t="str">
        <f>IF(BI249="","",BI249-BI250)</f>
        <v/>
      </c>
      <c r="BK249" s="9"/>
      <c r="BL249" s="9" t="str">
        <f>IF(BK249="","",BK250+BM250-BK249)</f>
        <v/>
      </c>
      <c r="BM249" s="9"/>
      <c r="BN249" s="9"/>
      <c r="BO249" s="9"/>
      <c r="BP249" s="9" t="str">
        <f t="shared" si="302"/>
        <v/>
      </c>
      <c r="BQ249" s="10" t="str">
        <f t="shared" si="303"/>
        <v/>
      </c>
      <c r="BR249" s="11"/>
    </row>
    <row r="250" spans="1:70" ht="15" customHeight="1" x14ac:dyDescent="0.2">
      <c r="A250" s="71"/>
      <c r="B250" s="61"/>
      <c r="C250" s="33">
        <v>19203</v>
      </c>
      <c r="D250" s="9">
        <f t="shared" si="271"/>
        <v>67</v>
      </c>
      <c r="E250" s="9">
        <v>632</v>
      </c>
      <c r="F250" s="9">
        <f t="shared" si="297"/>
        <v>2</v>
      </c>
      <c r="G250" s="9">
        <v>33</v>
      </c>
      <c r="H250" s="9">
        <f t="shared" si="272"/>
        <v>2</v>
      </c>
      <c r="I250" s="13">
        <v>0</v>
      </c>
      <c r="J250" s="113" t="str">
        <f t="shared" si="304"/>
        <v>電ブル</v>
      </c>
      <c r="K250" s="34">
        <f t="shared" si="304"/>
        <v>275</v>
      </c>
      <c r="L250" s="9">
        <f t="shared" si="274"/>
        <v>550</v>
      </c>
      <c r="M250" s="10">
        <f t="shared" si="275"/>
        <v>8.2089552238805971E-2</v>
      </c>
      <c r="N250" s="11"/>
      <c r="P250" s="71"/>
      <c r="Q250" s="33">
        <v>14586</v>
      </c>
      <c r="R250" s="9">
        <f t="shared" si="276"/>
        <v>22</v>
      </c>
      <c r="S250" s="9">
        <v>498</v>
      </c>
      <c r="T250" s="9">
        <f t="shared" si="298"/>
        <v>2</v>
      </c>
      <c r="U250" s="9">
        <v>3</v>
      </c>
      <c r="V250" s="9">
        <f t="shared" si="277"/>
        <v>2</v>
      </c>
      <c r="W250" s="13">
        <v>0</v>
      </c>
      <c r="X250" s="113" t="str">
        <f t="shared" si="305"/>
        <v>サンリオフェイスポーチ</v>
      </c>
      <c r="Y250" s="34">
        <f t="shared" si="305"/>
        <v>825</v>
      </c>
      <c r="Z250" s="9">
        <f t="shared" si="279"/>
        <v>1650</v>
      </c>
      <c r="AA250" s="10">
        <f t="shared" si="280"/>
        <v>0.75</v>
      </c>
      <c r="AB250" s="11"/>
      <c r="AD250" s="71"/>
      <c r="AE250" s="33">
        <v>12594</v>
      </c>
      <c r="AF250" s="9">
        <f t="shared" si="281"/>
        <v>20</v>
      </c>
      <c r="AG250" s="9">
        <v>791</v>
      </c>
      <c r="AH250" s="9">
        <f t="shared" si="299"/>
        <v>2</v>
      </c>
      <c r="AI250" s="9">
        <v>9</v>
      </c>
      <c r="AJ250" s="9">
        <f t="shared" si="282"/>
        <v>1</v>
      </c>
      <c r="AK250" s="13">
        <v>0</v>
      </c>
      <c r="AL250" s="113" t="str">
        <f t="shared" si="306"/>
        <v>ジャグラーボタン</v>
      </c>
      <c r="AM250" s="34">
        <f t="shared" si="306"/>
        <v>748</v>
      </c>
      <c r="AN250" s="9">
        <f t="shared" si="284"/>
        <v>748</v>
      </c>
      <c r="AO250" s="10">
        <f t="shared" si="285"/>
        <v>0.374</v>
      </c>
      <c r="AP250" s="11"/>
      <c r="AR250" s="71"/>
      <c r="AS250" s="33">
        <v>10822</v>
      </c>
      <c r="AT250" s="9">
        <f t="shared" si="286"/>
        <v>39</v>
      </c>
      <c r="AU250" s="9">
        <v>547</v>
      </c>
      <c r="AV250" s="9">
        <f t="shared" si="300"/>
        <v>0</v>
      </c>
      <c r="AW250" s="9">
        <v>16</v>
      </c>
      <c r="AX250" s="9">
        <f t="shared" si="287"/>
        <v>0</v>
      </c>
      <c r="AY250" s="13">
        <v>0</v>
      </c>
      <c r="AZ250" s="113" t="str">
        <f t="shared" si="307"/>
        <v>しばこ</v>
      </c>
      <c r="BA250" s="34">
        <f t="shared" si="307"/>
        <v>358</v>
      </c>
      <c r="BB250" s="9">
        <f t="shared" si="289"/>
        <v>0</v>
      </c>
      <c r="BC250" s="10">
        <f t="shared" si="290"/>
        <v>0</v>
      </c>
      <c r="BD250" s="11"/>
      <c r="BF250" s="7"/>
      <c r="BG250" s="9"/>
      <c r="BH250" s="9" t="str">
        <f>IF(BG250="","",BG250-BG248)</f>
        <v/>
      </c>
      <c r="BI250" s="9"/>
      <c r="BJ250" s="9" t="str">
        <f>IF(BI250="","",BI250-BI248)</f>
        <v/>
      </c>
      <c r="BK250" s="9"/>
      <c r="BL250" s="9" t="str">
        <f>IF(BK250="","",BK248+BM248-BK250)</f>
        <v/>
      </c>
      <c r="BM250" s="9"/>
      <c r="BN250" s="9"/>
      <c r="BO250" s="9"/>
      <c r="BP250" s="9" t="str">
        <f t="shared" si="302"/>
        <v/>
      </c>
      <c r="BQ250" s="10" t="str">
        <f t="shared" si="303"/>
        <v/>
      </c>
      <c r="BR250" s="11"/>
    </row>
    <row r="251" spans="1:70" ht="15" customHeight="1" x14ac:dyDescent="0.2">
      <c r="A251" s="72"/>
      <c r="B251" s="8"/>
      <c r="C251" s="38">
        <v>18162</v>
      </c>
      <c r="D251" s="9">
        <f t="shared" si="271"/>
        <v>7</v>
      </c>
      <c r="E251" s="9">
        <v>622</v>
      </c>
      <c r="F251" s="9">
        <f t="shared" si="297"/>
        <v>1</v>
      </c>
      <c r="G251" s="9">
        <v>16</v>
      </c>
      <c r="H251" s="9">
        <f t="shared" si="272"/>
        <v>1</v>
      </c>
      <c r="I251" s="13">
        <v>0</v>
      </c>
      <c r="J251" s="113" t="str">
        <f t="shared" si="304"/>
        <v>ギャルキティマスコット</v>
      </c>
      <c r="K251" s="9">
        <f t="shared" si="304"/>
        <v>638</v>
      </c>
      <c r="L251" s="9">
        <f t="shared" si="274"/>
        <v>638</v>
      </c>
      <c r="M251" s="10">
        <f t="shared" si="275"/>
        <v>0.91142857142857148</v>
      </c>
      <c r="N251" s="11" t="s">
        <v>161</v>
      </c>
      <c r="P251" s="72"/>
      <c r="Q251" s="38">
        <v>14944</v>
      </c>
      <c r="R251" s="9">
        <f t="shared" si="276"/>
        <v>125</v>
      </c>
      <c r="S251" s="9">
        <v>951</v>
      </c>
      <c r="T251" s="9">
        <f t="shared" si="298"/>
        <v>5</v>
      </c>
      <c r="U251" s="9">
        <v>16</v>
      </c>
      <c r="V251" s="9">
        <f t="shared" si="277"/>
        <v>5</v>
      </c>
      <c r="W251" s="13">
        <v>4</v>
      </c>
      <c r="X251" s="113" t="str">
        <f t="shared" si="305"/>
        <v>ボンボンドロップシール</v>
      </c>
      <c r="Y251" s="9">
        <f t="shared" si="305"/>
        <v>200</v>
      </c>
      <c r="Z251" s="9">
        <f t="shared" si="279"/>
        <v>1000</v>
      </c>
      <c r="AA251" s="10">
        <f t="shared" si="280"/>
        <v>0.08</v>
      </c>
      <c r="AB251" s="11"/>
      <c r="AD251" s="72"/>
      <c r="AE251" s="38">
        <v>14972</v>
      </c>
      <c r="AF251" s="9">
        <f t="shared" si="281"/>
        <v>52</v>
      </c>
      <c r="AG251" s="9">
        <v>2401</v>
      </c>
      <c r="AH251" s="9">
        <f t="shared" si="299"/>
        <v>2</v>
      </c>
      <c r="AI251" s="9">
        <v>5</v>
      </c>
      <c r="AJ251" s="9">
        <f t="shared" si="282"/>
        <v>2</v>
      </c>
      <c r="AK251" s="13">
        <v>0</v>
      </c>
      <c r="AL251" s="113" t="str">
        <f t="shared" si="306"/>
        <v>サンリオスカーフ付きリュック</v>
      </c>
      <c r="AM251" s="9">
        <f t="shared" si="306"/>
        <v>600</v>
      </c>
      <c r="AN251" s="9">
        <f t="shared" si="284"/>
        <v>1200</v>
      </c>
      <c r="AO251" s="10">
        <f t="shared" si="285"/>
        <v>0.23076923076923078</v>
      </c>
      <c r="AP251" s="11"/>
      <c r="AR251" s="72"/>
      <c r="AS251" s="38">
        <v>12974</v>
      </c>
      <c r="AT251" s="9">
        <f t="shared" si="286"/>
        <v>33</v>
      </c>
      <c r="AU251" s="9">
        <v>769</v>
      </c>
      <c r="AV251" s="9">
        <f t="shared" si="300"/>
        <v>1</v>
      </c>
      <c r="AW251" s="9">
        <v>7</v>
      </c>
      <c r="AX251" s="9">
        <f t="shared" si="287"/>
        <v>1</v>
      </c>
      <c r="AY251" s="13">
        <v>0</v>
      </c>
      <c r="AZ251" s="113" t="str">
        <f t="shared" si="307"/>
        <v>たまごっちマスコット</v>
      </c>
      <c r="BA251" s="9">
        <f t="shared" si="307"/>
        <v>1500</v>
      </c>
      <c r="BB251" s="9">
        <f t="shared" si="289"/>
        <v>1500</v>
      </c>
      <c r="BC251" s="10">
        <f t="shared" si="290"/>
        <v>0.45454545454545453</v>
      </c>
      <c r="BD251" s="11"/>
      <c r="BF251" s="7"/>
      <c r="BG251" s="34"/>
      <c r="BH251" s="9" t="str">
        <f>IF(BG251="","",BG251-BG249)</f>
        <v/>
      </c>
      <c r="BI251" s="9"/>
      <c r="BJ251" s="9"/>
      <c r="BK251" s="9"/>
      <c r="BL251" s="9" t="str">
        <f>IF(BK251="","",BK249+BM249-BK251)</f>
        <v/>
      </c>
      <c r="BM251" s="9"/>
      <c r="BN251" s="9"/>
      <c r="BO251" s="9"/>
      <c r="BP251" s="9" t="str">
        <f t="shared" si="302"/>
        <v/>
      </c>
      <c r="BQ251" s="10" t="str">
        <f t="shared" si="303"/>
        <v/>
      </c>
      <c r="BR251" s="11"/>
    </row>
    <row r="252" spans="1:70" ht="15" customHeight="1" thickBot="1" x14ac:dyDescent="0.25">
      <c r="A252" s="75"/>
      <c r="B252" s="67"/>
      <c r="C252" s="36">
        <v>12719</v>
      </c>
      <c r="D252" s="37">
        <f t="shared" si="271"/>
        <v>130</v>
      </c>
      <c r="E252" s="17">
        <v>1227</v>
      </c>
      <c r="F252" s="17">
        <f t="shared" si="297"/>
        <v>1</v>
      </c>
      <c r="G252" s="17">
        <v>9</v>
      </c>
      <c r="H252" s="17">
        <f t="shared" si="272"/>
        <v>1</v>
      </c>
      <c r="I252" s="29">
        <v>0</v>
      </c>
      <c r="J252" s="114" t="str">
        <f t="shared" si="304"/>
        <v>バタースクイーズ</v>
      </c>
      <c r="K252" s="37">
        <f t="shared" si="304"/>
        <v>1100</v>
      </c>
      <c r="L252" s="17">
        <f t="shared" si="274"/>
        <v>1100</v>
      </c>
      <c r="M252" s="18">
        <f t="shared" si="275"/>
        <v>8.461538461538462E-2</v>
      </c>
      <c r="N252" s="11"/>
      <c r="P252" s="75"/>
      <c r="Q252" s="36">
        <v>12675</v>
      </c>
      <c r="R252" s="37">
        <f t="shared" si="276"/>
        <v>59</v>
      </c>
      <c r="S252" s="17">
        <v>1078</v>
      </c>
      <c r="T252" s="17">
        <f t="shared" si="298"/>
        <v>0</v>
      </c>
      <c r="U252" s="17">
        <v>5</v>
      </c>
      <c r="V252" s="17">
        <f t="shared" si="277"/>
        <v>0</v>
      </c>
      <c r="W252" s="29">
        <v>0</v>
      </c>
      <c r="X252" s="114" t="str">
        <f t="shared" si="305"/>
        <v>ゲームアーク</v>
      </c>
      <c r="Y252" s="37">
        <f t="shared" si="305"/>
        <v>648</v>
      </c>
      <c r="Z252" s="17">
        <f t="shared" si="279"/>
        <v>0</v>
      </c>
      <c r="AA252" s="18">
        <f t="shared" si="280"/>
        <v>0</v>
      </c>
      <c r="AB252" s="11"/>
      <c r="AD252" s="75"/>
      <c r="AE252" s="36">
        <v>15245</v>
      </c>
      <c r="AF252" s="37">
        <f t="shared" si="281"/>
        <v>14</v>
      </c>
      <c r="AG252" s="17">
        <v>1549</v>
      </c>
      <c r="AH252" s="17">
        <f t="shared" si="299"/>
        <v>1</v>
      </c>
      <c r="AI252" s="17">
        <v>21</v>
      </c>
      <c r="AJ252" s="17">
        <f t="shared" si="282"/>
        <v>1</v>
      </c>
      <c r="AK252" s="29">
        <v>0</v>
      </c>
      <c r="AL252" s="114" t="str">
        <f t="shared" si="306"/>
        <v>ラフブマスコット</v>
      </c>
      <c r="AM252" s="37">
        <f t="shared" si="306"/>
        <v>350</v>
      </c>
      <c r="AN252" s="17">
        <f t="shared" si="284"/>
        <v>350</v>
      </c>
      <c r="AO252" s="18">
        <f t="shared" si="285"/>
        <v>0.25</v>
      </c>
      <c r="AP252" s="11"/>
      <c r="AR252" s="75"/>
      <c r="AS252" s="36">
        <v>10911</v>
      </c>
      <c r="AT252" s="37">
        <f t="shared" si="286"/>
        <v>38</v>
      </c>
      <c r="AU252" s="17">
        <v>809</v>
      </c>
      <c r="AV252" s="17">
        <f t="shared" si="300"/>
        <v>1</v>
      </c>
      <c r="AW252" s="17">
        <v>7</v>
      </c>
      <c r="AX252" s="17">
        <f t="shared" si="287"/>
        <v>2</v>
      </c>
      <c r="AY252" s="29">
        <v>2</v>
      </c>
      <c r="AZ252" s="114" t="str">
        <f t="shared" si="307"/>
        <v>シールバインダー</v>
      </c>
      <c r="BA252" s="37">
        <f t="shared" si="307"/>
        <v>330</v>
      </c>
      <c r="BB252" s="17">
        <f t="shared" si="289"/>
        <v>660</v>
      </c>
      <c r="BC252" s="18">
        <f t="shared" si="290"/>
        <v>0.1736842105263158</v>
      </c>
      <c r="BD252" s="11"/>
      <c r="BF252" s="7"/>
      <c r="BG252" s="34"/>
      <c r="BH252" s="9" t="str">
        <f t="shared" ref="BH252:BH272" si="308">IF(BG252="","",BG252-BG251)</f>
        <v/>
      </c>
      <c r="BI252" s="9"/>
      <c r="BJ252" s="9"/>
      <c r="BK252" s="9"/>
      <c r="BL252" s="9" t="str">
        <f t="shared" ref="BL252:BL272" si="309">IF(BK252="","",BK251+BM251-BK252)</f>
        <v/>
      </c>
      <c r="BM252" s="9"/>
      <c r="BN252" s="9"/>
      <c r="BO252" s="9"/>
      <c r="BP252" s="9" t="str">
        <f t="shared" si="302"/>
        <v/>
      </c>
      <c r="BQ252" s="10" t="str">
        <f t="shared" si="303"/>
        <v/>
      </c>
      <c r="BR252" s="11"/>
    </row>
    <row r="253" spans="1:70" ht="15" customHeight="1" thickTop="1" x14ac:dyDescent="0.2">
      <c r="A253" s="71">
        <v>46098</v>
      </c>
      <c r="B253" s="61">
        <f>SUM(D253:D256)+SUM(R253:R256)+SUM(AF253:AF256)+SUM(AT253:AT256)+SUM(BH232)</f>
        <v>160</v>
      </c>
      <c r="C253" s="33">
        <v>15526</v>
      </c>
      <c r="D253" s="33">
        <f t="shared" ref="D253:D260" si="310">IF(C253="","",C253-C249)</f>
        <v>0</v>
      </c>
      <c r="E253" s="33">
        <v>1117</v>
      </c>
      <c r="F253" s="20">
        <f t="shared" ref="F253:F260" si="311">IF(E253="","",E253-E249)</f>
        <v>0</v>
      </c>
      <c r="G253" s="33">
        <v>7</v>
      </c>
      <c r="H253" s="33">
        <f t="shared" ref="H253:H260" si="312">IF(G253="","",G249+I249-G253)</f>
        <v>0</v>
      </c>
      <c r="I253" s="43"/>
      <c r="J253" s="112" t="str">
        <f t="shared" si="304"/>
        <v>キティヘアパッチン</v>
      </c>
      <c r="K253" s="40">
        <f t="shared" si="304"/>
        <v>660</v>
      </c>
      <c r="L253" s="20">
        <f t="shared" ref="L253:L260" si="313">IF(G253="","",H253*K253)</f>
        <v>0</v>
      </c>
      <c r="M253" s="21" t="e">
        <f t="shared" ref="M253:M260" si="314">IF(H253="","",L253/(D253*100))</f>
        <v>#DIV/0!</v>
      </c>
      <c r="N253" s="11"/>
      <c r="P253" s="76">
        <f>IF($A253="","",$A253)</f>
        <v>46098</v>
      </c>
      <c r="Q253" s="33">
        <v>15188</v>
      </c>
      <c r="R253" s="33">
        <f t="shared" si="276"/>
        <v>11</v>
      </c>
      <c r="S253" s="33">
        <v>1440</v>
      </c>
      <c r="T253" s="20">
        <f t="shared" si="298"/>
        <v>0</v>
      </c>
      <c r="U253" s="33">
        <v>6</v>
      </c>
      <c r="V253" s="33">
        <f t="shared" si="277"/>
        <v>0</v>
      </c>
      <c r="W253" s="43"/>
      <c r="X253" s="112" t="str">
        <f t="shared" si="305"/>
        <v>キティボアバンスクリップ</v>
      </c>
      <c r="Y253" s="40">
        <f t="shared" si="305"/>
        <v>1100</v>
      </c>
      <c r="Z253" s="20">
        <f t="shared" si="279"/>
        <v>0</v>
      </c>
      <c r="AA253" s="21">
        <f t="shared" si="280"/>
        <v>0</v>
      </c>
      <c r="AB253" s="11"/>
      <c r="AD253" s="76">
        <f>IF($A253="","",$A253)</f>
        <v>46098</v>
      </c>
      <c r="AE253" s="33">
        <v>12372</v>
      </c>
      <c r="AF253" s="33">
        <f t="shared" si="281"/>
        <v>1</v>
      </c>
      <c r="AG253" s="33">
        <v>905</v>
      </c>
      <c r="AH253" s="20">
        <f t="shared" si="299"/>
        <v>0</v>
      </c>
      <c r="AI253" s="33">
        <v>8</v>
      </c>
      <c r="AJ253" s="33">
        <f t="shared" si="282"/>
        <v>0</v>
      </c>
      <c r="AK253" s="43"/>
      <c r="AL253" s="112" t="str">
        <f t="shared" si="306"/>
        <v>キティフェイス千鳥</v>
      </c>
      <c r="AM253" s="40">
        <f t="shared" si="306"/>
        <v>600</v>
      </c>
      <c r="AN253" s="20">
        <f t="shared" si="284"/>
        <v>0</v>
      </c>
      <c r="AO253" s="21">
        <f t="shared" si="285"/>
        <v>0</v>
      </c>
      <c r="AP253" s="11"/>
      <c r="AR253" s="76">
        <f>IF($A253="","",$A253)</f>
        <v>46098</v>
      </c>
      <c r="AS253" s="33">
        <v>9492</v>
      </c>
      <c r="AT253" s="33">
        <f t="shared" si="286"/>
        <v>10</v>
      </c>
      <c r="AU253" s="33">
        <v>527</v>
      </c>
      <c r="AV253" s="20">
        <f t="shared" si="300"/>
        <v>0</v>
      </c>
      <c r="AW253" s="33">
        <v>7</v>
      </c>
      <c r="AX253" s="33">
        <f t="shared" si="287"/>
        <v>0</v>
      </c>
      <c r="AY253" s="43"/>
      <c r="AZ253" s="112" t="str">
        <f t="shared" si="307"/>
        <v>キティシッポ付フェイスポーチ</v>
      </c>
      <c r="BA253" s="40">
        <f t="shared" si="307"/>
        <v>825</v>
      </c>
      <c r="BB253" s="20">
        <f t="shared" si="289"/>
        <v>0</v>
      </c>
      <c r="BC253" s="21">
        <f t="shared" si="290"/>
        <v>0</v>
      </c>
      <c r="BD253" s="11"/>
      <c r="BF253" s="7"/>
      <c r="BG253" s="34"/>
      <c r="BH253" s="9" t="str">
        <f t="shared" si="308"/>
        <v/>
      </c>
      <c r="BI253" s="9"/>
      <c r="BJ253" s="9"/>
      <c r="BK253" s="9"/>
      <c r="BL253" s="9" t="str">
        <f t="shared" si="309"/>
        <v/>
      </c>
      <c r="BM253" s="9"/>
      <c r="BN253" s="9"/>
      <c r="BO253" s="9"/>
      <c r="BP253" s="9" t="str">
        <f t="shared" si="302"/>
        <v/>
      </c>
      <c r="BQ253" s="10" t="str">
        <f t="shared" si="303"/>
        <v/>
      </c>
      <c r="BR253" s="11"/>
    </row>
    <row r="254" spans="1:70" ht="15" customHeight="1" x14ac:dyDescent="0.2">
      <c r="A254" s="72"/>
      <c r="B254" s="61"/>
      <c r="C254" s="9">
        <v>19217</v>
      </c>
      <c r="D254" s="9">
        <f t="shared" si="310"/>
        <v>14</v>
      </c>
      <c r="E254" s="9">
        <v>632</v>
      </c>
      <c r="F254" s="9">
        <f t="shared" si="311"/>
        <v>0</v>
      </c>
      <c r="G254" s="9">
        <v>33</v>
      </c>
      <c r="H254" s="9">
        <f t="shared" si="312"/>
        <v>0</v>
      </c>
      <c r="I254" s="13"/>
      <c r="J254" s="113" t="str">
        <f t="shared" si="304"/>
        <v>電ブル</v>
      </c>
      <c r="K254" s="34">
        <f t="shared" si="304"/>
        <v>275</v>
      </c>
      <c r="L254" s="9">
        <f t="shared" si="313"/>
        <v>0</v>
      </c>
      <c r="M254" s="10">
        <f t="shared" si="314"/>
        <v>0</v>
      </c>
      <c r="N254" s="11"/>
      <c r="P254" s="72"/>
      <c r="Q254" s="9">
        <v>14589</v>
      </c>
      <c r="R254" s="9">
        <f t="shared" si="276"/>
        <v>3</v>
      </c>
      <c r="S254" s="9">
        <v>498</v>
      </c>
      <c r="T254" s="9">
        <f t="shared" si="298"/>
        <v>0</v>
      </c>
      <c r="U254" s="9">
        <v>3</v>
      </c>
      <c r="V254" s="9">
        <f t="shared" si="277"/>
        <v>0</v>
      </c>
      <c r="W254" s="13"/>
      <c r="X254" s="113" t="str">
        <f t="shared" si="305"/>
        <v>サンリオフェイスポーチ</v>
      </c>
      <c r="Y254" s="34">
        <f t="shared" si="305"/>
        <v>825</v>
      </c>
      <c r="Z254" s="9">
        <f t="shared" si="279"/>
        <v>0</v>
      </c>
      <c r="AA254" s="10">
        <f t="shared" si="280"/>
        <v>0</v>
      </c>
      <c r="AB254" s="11"/>
      <c r="AD254" s="72"/>
      <c r="AE254" s="9">
        <v>12616</v>
      </c>
      <c r="AF254" s="9">
        <f t="shared" si="281"/>
        <v>22</v>
      </c>
      <c r="AG254" s="9">
        <v>791</v>
      </c>
      <c r="AH254" s="9">
        <f t="shared" si="299"/>
        <v>0</v>
      </c>
      <c r="AI254" s="9">
        <v>9</v>
      </c>
      <c r="AJ254" s="9">
        <f t="shared" si="282"/>
        <v>0</v>
      </c>
      <c r="AK254" s="13"/>
      <c r="AL254" s="113" t="str">
        <f t="shared" si="306"/>
        <v>ジャグラーボタン</v>
      </c>
      <c r="AM254" s="34">
        <f t="shared" si="306"/>
        <v>748</v>
      </c>
      <c r="AN254" s="9">
        <f t="shared" si="284"/>
        <v>0</v>
      </c>
      <c r="AO254" s="10">
        <f t="shared" si="285"/>
        <v>0</v>
      </c>
      <c r="AP254" s="11"/>
      <c r="AR254" s="72"/>
      <c r="AS254" s="9">
        <v>10826</v>
      </c>
      <c r="AT254" s="9">
        <f t="shared" si="286"/>
        <v>4</v>
      </c>
      <c r="AU254" s="9">
        <v>547</v>
      </c>
      <c r="AV254" s="9">
        <f t="shared" si="300"/>
        <v>0</v>
      </c>
      <c r="AW254" s="9">
        <v>16</v>
      </c>
      <c r="AX254" s="9">
        <f t="shared" si="287"/>
        <v>0</v>
      </c>
      <c r="AY254" s="13"/>
      <c r="AZ254" s="113" t="str">
        <f t="shared" si="307"/>
        <v>しばこ</v>
      </c>
      <c r="BA254" s="34">
        <f t="shared" si="307"/>
        <v>358</v>
      </c>
      <c r="BB254" s="9">
        <f t="shared" si="289"/>
        <v>0</v>
      </c>
      <c r="BC254" s="10">
        <f t="shared" si="290"/>
        <v>0</v>
      </c>
      <c r="BD254" s="11"/>
      <c r="BF254" s="7"/>
      <c r="BG254" s="34"/>
      <c r="BH254" s="9" t="str">
        <f t="shared" si="308"/>
        <v/>
      </c>
      <c r="BI254" s="9"/>
      <c r="BJ254" s="9"/>
      <c r="BK254" s="9"/>
      <c r="BL254" s="9" t="str">
        <f t="shared" si="309"/>
        <v/>
      </c>
      <c r="BM254" s="9"/>
      <c r="BN254" s="9"/>
      <c r="BO254" s="9"/>
      <c r="BP254" s="9" t="str">
        <f t="shared" si="302"/>
        <v/>
      </c>
      <c r="BQ254" s="10" t="str">
        <f t="shared" si="303"/>
        <v/>
      </c>
      <c r="BR254" s="11"/>
    </row>
    <row r="255" spans="1:70" ht="15" customHeight="1" x14ac:dyDescent="0.2">
      <c r="A255" s="72"/>
      <c r="B255" s="8"/>
      <c r="C255" s="23">
        <v>18163</v>
      </c>
      <c r="D255" s="9">
        <f t="shared" si="310"/>
        <v>1</v>
      </c>
      <c r="E255" s="9">
        <v>622</v>
      </c>
      <c r="F255" s="9">
        <f t="shared" si="311"/>
        <v>0</v>
      </c>
      <c r="G255" s="23">
        <v>16</v>
      </c>
      <c r="H255" s="9">
        <f t="shared" si="312"/>
        <v>0</v>
      </c>
      <c r="I255" s="30"/>
      <c r="J255" s="113" t="str">
        <f t="shared" si="304"/>
        <v>ギャルキティマスコット</v>
      </c>
      <c r="K255" s="9">
        <f t="shared" si="304"/>
        <v>638</v>
      </c>
      <c r="L255" s="9">
        <f t="shared" si="313"/>
        <v>0</v>
      </c>
      <c r="M255" s="10">
        <f t="shared" si="314"/>
        <v>0</v>
      </c>
      <c r="N255" s="11"/>
      <c r="P255" s="72"/>
      <c r="Q255" s="23">
        <v>14955</v>
      </c>
      <c r="R255" s="9">
        <f t="shared" si="276"/>
        <v>11</v>
      </c>
      <c r="S255" s="9">
        <v>951</v>
      </c>
      <c r="T255" s="9">
        <f t="shared" si="298"/>
        <v>0</v>
      </c>
      <c r="U255" s="23">
        <v>20</v>
      </c>
      <c r="V255" s="9">
        <f t="shared" si="277"/>
        <v>0</v>
      </c>
      <c r="W255" s="30"/>
      <c r="X255" s="113" t="str">
        <f t="shared" si="305"/>
        <v>ボンボンドロップシール</v>
      </c>
      <c r="Y255" s="9">
        <f t="shared" si="305"/>
        <v>200</v>
      </c>
      <c r="Z255" s="9">
        <f t="shared" si="279"/>
        <v>0</v>
      </c>
      <c r="AA255" s="10">
        <f t="shared" si="280"/>
        <v>0</v>
      </c>
      <c r="AB255" s="11"/>
      <c r="AD255" s="72"/>
      <c r="AE255" s="23">
        <v>14976</v>
      </c>
      <c r="AF255" s="9">
        <f t="shared" si="281"/>
        <v>4</v>
      </c>
      <c r="AG255" s="9">
        <v>2401</v>
      </c>
      <c r="AH255" s="9">
        <f t="shared" si="299"/>
        <v>0</v>
      </c>
      <c r="AI255" s="23">
        <v>5</v>
      </c>
      <c r="AJ255" s="9">
        <f t="shared" si="282"/>
        <v>0</v>
      </c>
      <c r="AK255" s="30"/>
      <c r="AL255" s="113" t="str">
        <f t="shared" si="306"/>
        <v>サンリオスカーフ付きリュック</v>
      </c>
      <c r="AM255" s="9">
        <f t="shared" si="306"/>
        <v>600</v>
      </c>
      <c r="AN255" s="9">
        <f t="shared" si="284"/>
        <v>0</v>
      </c>
      <c r="AO255" s="10">
        <f t="shared" si="285"/>
        <v>0</v>
      </c>
      <c r="AP255" s="11"/>
      <c r="AR255" s="72"/>
      <c r="AS255" s="23">
        <v>12980</v>
      </c>
      <c r="AT255" s="9">
        <f t="shared" si="286"/>
        <v>6</v>
      </c>
      <c r="AU255" s="9">
        <v>769</v>
      </c>
      <c r="AV255" s="9">
        <f t="shared" si="300"/>
        <v>0</v>
      </c>
      <c r="AW255" s="23">
        <v>7</v>
      </c>
      <c r="AX255" s="9">
        <f t="shared" si="287"/>
        <v>0</v>
      </c>
      <c r="AY255" s="30"/>
      <c r="AZ255" s="113" t="str">
        <f t="shared" si="307"/>
        <v>たまごっちマスコット</v>
      </c>
      <c r="BA255" s="9">
        <f t="shared" si="307"/>
        <v>1500</v>
      </c>
      <c r="BB255" s="9">
        <f t="shared" si="289"/>
        <v>0</v>
      </c>
      <c r="BC255" s="10">
        <f t="shared" si="290"/>
        <v>0</v>
      </c>
      <c r="BD255" s="11"/>
      <c r="BF255" s="7"/>
      <c r="BG255" s="34"/>
      <c r="BH255" s="9" t="str">
        <f t="shared" si="308"/>
        <v/>
      </c>
      <c r="BI255" s="9"/>
      <c r="BJ255" s="9"/>
      <c r="BK255" s="9"/>
      <c r="BL255" s="9" t="str">
        <f t="shared" si="309"/>
        <v/>
      </c>
      <c r="BM255" s="9"/>
      <c r="BN255" s="9"/>
      <c r="BO255" s="9"/>
      <c r="BP255" s="9" t="str">
        <f t="shared" si="302"/>
        <v/>
      </c>
      <c r="BQ255" s="10" t="str">
        <f t="shared" si="303"/>
        <v/>
      </c>
      <c r="BR255" s="11"/>
    </row>
    <row r="256" spans="1:70" ht="15" customHeight="1" thickBot="1" x14ac:dyDescent="0.25">
      <c r="A256" s="75"/>
      <c r="B256" s="67"/>
      <c r="C256" s="17">
        <v>12744</v>
      </c>
      <c r="D256" s="37">
        <f t="shared" si="310"/>
        <v>25</v>
      </c>
      <c r="E256" s="17">
        <v>1227</v>
      </c>
      <c r="F256" s="17">
        <f t="shared" si="311"/>
        <v>0</v>
      </c>
      <c r="G256" s="17">
        <v>9</v>
      </c>
      <c r="H256" s="17">
        <f t="shared" si="312"/>
        <v>0</v>
      </c>
      <c r="I256" s="29"/>
      <c r="J256" s="114" t="str">
        <f t="shared" si="304"/>
        <v>バタースクイーズ</v>
      </c>
      <c r="K256" s="37">
        <f t="shared" si="304"/>
        <v>1100</v>
      </c>
      <c r="L256" s="17">
        <f t="shared" si="313"/>
        <v>0</v>
      </c>
      <c r="M256" s="18">
        <f t="shared" si="314"/>
        <v>0</v>
      </c>
      <c r="N256" s="11"/>
      <c r="P256" s="75"/>
      <c r="Q256" s="17">
        <v>12680</v>
      </c>
      <c r="R256" s="37">
        <f t="shared" si="276"/>
        <v>5</v>
      </c>
      <c r="S256" s="17">
        <v>1078</v>
      </c>
      <c r="T256" s="17">
        <f t="shared" si="298"/>
        <v>0</v>
      </c>
      <c r="U256" s="17">
        <v>5</v>
      </c>
      <c r="V256" s="17">
        <f t="shared" si="277"/>
        <v>0</v>
      </c>
      <c r="W256" s="29"/>
      <c r="X256" s="114" t="str">
        <f t="shared" si="305"/>
        <v>ゲームアーク</v>
      </c>
      <c r="Y256" s="37">
        <f t="shared" si="305"/>
        <v>648</v>
      </c>
      <c r="Z256" s="17">
        <f t="shared" si="279"/>
        <v>0</v>
      </c>
      <c r="AA256" s="18">
        <f t="shared" si="280"/>
        <v>0</v>
      </c>
      <c r="AB256" s="11"/>
      <c r="AD256" s="75"/>
      <c r="AE256" s="17">
        <v>15251</v>
      </c>
      <c r="AF256" s="37">
        <f t="shared" si="281"/>
        <v>6</v>
      </c>
      <c r="AG256" s="17">
        <v>1549</v>
      </c>
      <c r="AH256" s="17">
        <f t="shared" si="299"/>
        <v>0</v>
      </c>
      <c r="AI256" s="17">
        <v>21</v>
      </c>
      <c r="AJ256" s="17">
        <f t="shared" si="282"/>
        <v>0</v>
      </c>
      <c r="AK256" s="29"/>
      <c r="AL256" s="114" t="str">
        <f t="shared" si="306"/>
        <v>ラフブマスコット</v>
      </c>
      <c r="AM256" s="37">
        <f t="shared" si="306"/>
        <v>350</v>
      </c>
      <c r="AN256" s="17">
        <f t="shared" si="284"/>
        <v>0</v>
      </c>
      <c r="AO256" s="18">
        <f t="shared" si="285"/>
        <v>0</v>
      </c>
      <c r="AP256" s="11"/>
      <c r="AR256" s="75"/>
      <c r="AS256" s="17">
        <v>10916</v>
      </c>
      <c r="AT256" s="37">
        <f t="shared" si="286"/>
        <v>5</v>
      </c>
      <c r="AU256" s="17">
        <v>809</v>
      </c>
      <c r="AV256" s="17">
        <f t="shared" si="300"/>
        <v>0</v>
      </c>
      <c r="AW256" s="17">
        <v>9</v>
      </c>
      <c r="AX256" s="17">
        <f t="shared" si="287"/>
        <v>0</v>
      </c>
      <c r="AY256" s="29"/>
      <c r="AZ256" s="114" t="str">
        <f t="shared" si="307"/>
        <v>シールバインダー</v>
      </c>
      <c r="BA256" s="37">
        <f t="shared" si="307"/>
        <v>330</v>
      </c>
      <c r="BB256" s="17">
        <f t="shared" si="289"/>
        <v>0</v>
      </c>
      <c r="BC256" s="18">
        <f t="shared" si="290"/>
        <v>0</v>
      </c>
      <c r="BD256" s="11"/>
      <c r="BF256" s="7"/>
      <c r="BG256" s="34"/>
      <c r="BH256" s="9" t="str">
        <f t="shared" si="308"/>
        <v/>
      </c>
      <c r="BI256" s="9"/>
      <c r="BJ256" s="9"/>
      <c r="BK256" s="9"/>
      <c r="BL256" s="9" t="str">
        <f t="shared" si="309"/>
        <v/>
      </c>
      <c r="BM256" s="9"/>
      <c r="BN256" s="9"/>
      <c r="BO256" s="9"/>
      <c r="BP256" s="9" t="str">
        <f t="shared" si="302"/>
        <v/>
      </c>
      <c r="BQ256" s="10" t="str">
        <f t="shared" si="303"/>
        <v/>
      </c>
      <c r="BR256" s="11"/>
    </row>
    <row r="257" spans="1:70" ht="15" customHeight="1" thickTop="1" x14ac:dyDescent="0.2">
      <c r="A257" s="71"/>
      <c r="B257" s="61">
        <f>SUM(D257:D260)+SUM(R257:R260)+SUM(AF257:AF260)+SUM(AT257:AT260)+SUM(BH233)</f>
        <v>0</v>
      </c>
      <c r="C257" s="33"/>
      <c r="D257" s="33" t="str">
        <f t="shared" si="310"/>
        <v/>
      </c>
      <c r="E257" s="33"/>
      <c r="F257" s="20" t="str">
        <f t="shared" si="311"/>
        <v/>
      </c>
      <c r="G257" s="33"/>
      <c r="H257" s="33" t="str">
        <f t="shared" si="312"/>
        <v/>
      </c>
      <c r="I257" s="43"/>
      <c r="J257" s="112" t="str">
        <f t="shared" si="304"/>
        <v/>
      </c>
      <c r="K257" s="40" t="str">
        <f t="shared" si="304"/>
        <v/>
      </c>
      <c r="L257" s="20" t="str">
        <f t="shared" si="313"/>
        <v/>
      </c>
      <c r="M257" s="21" t="str">
        <f t="shared" si="314"/>
        <v/>
      </c>
      <c r="N257" s="11"/>
      <c r="P257" s="76" t="str">
        <f>IF($A257="","",$A257)</f>
        <v/>
      </c>
      <c r="Q257" s="33"/>
      <c r="R257" s="33" t="str">
        <f t="shared" si="276"/>
        <v/>
      </c>
      <c r="S257" s="33"/>
      <c r="T257" s="20" t="str">
        <f t="shared" si="298"/>
        <v/>
      </c>
      <c r="U257" s="33"/>
      <c r="V257" s="33" t="str">
        <f t="shared" si="277"/>
        <v/>
      </c>
      <c r="W257" s="43"/>
      <c r="X257" s="112" t="str">
        <f t="shared" si="305"/>
        <v/>
      </c>
      <c r="Y257" s="40" t="str">
        <f t="shared" si="305"/>
        <v/>
      </c>
      <c r="Z257" s="20" t="str">
        <f t="shared" si="279"/>
        <v/>
      </c>
      <c r="AA257" s="21" t="str">
        <f t="shared" si="280"/>
        <v/>
      </c>
      <c r="AB257" s="11"/>
      <c r="AD257" s="76" t="str">
        <f>IF($A257="","",$A257)</f>
        <v/>
      </c>
      <c r="AE257" s="33"/>
      <c r="AF257" s="33" t="str">
        <f t="shared" si="281"/>
        <v/>
      </c>
      <c r="AG257" s="33"/>
      <c r="AH257" s="20" t="str">
        <f t="shared" si="299"/>
        <v/>
      </c>
      <c r="AI257" s="33"/>
      <c r="AJ257" s="33" t="str">
        <f t="shared" si="282"/>
        <v/>
      </c>
      <c r="AK257" s="43"/>
      <c r="AL257" s="112" t="str">
        <f t="shared" si="306"/>
        <v/>
      </c>
      <c r="AM257" s="40" t="str">
        <f t="shared" si="306"/>
        <v/>
      </c>
      <c r="AN257" s="20" t="str">
        <f t="shared" si="284"/>
        <v/>
      </c>
      <c r="AO257" s="21" t="str">
        <f t="shared" si="285"/>
        <v/>
      </c>
      <c r="AP257" s="11"/>
      <c r="AR257" s="76" t="str">
        <f>IF($A257="","",$A257)</f>
        <v/>
      </c>
      <c r="AS257" s="33"/>
      <c r="AT257" s="33" t="str">
        <f t="shared" si="286"/>
        <v/>
      </c>
      <c r="AU257" s="33"/>
      <c r="AV257" s="20" t="str">
        <f t="shared" si="300"/>
        <v/>
      </c>
      <c r="AW257" s="33"/>
      <c r="AX257" s="33" t="str">
        <f t="shared" si="287"/>
        <v/>
      </c>
      <c r="AY257" s="43"/>
      <c r="AZ257" s="112" t="str">
        <f t="shared" si="307"/>
        <v/>
      </c>
      <c r="BA257" s="40" t="str">
        <f t="shared" si="307"/>
        <v/>
      </c>
      <c r="BB257" s="20" t="str">
        <f t="shared" si="289"/>
        <v/>
      </c>
      <c r="BC257" s="21" t="str">
        <f t="shared" si="290"/>
        <v/>
      </c>
      <c r="BD257" s="11"/>
      <c r="BF257" s="7"/>
      <c r="BG257" s="34"/>
      <c r="BH257" s="9" t="str">
        <f t="shared" si="308"/>
        <v/>
      </c>
      <c r="BI257" s="9"/>
      <c r="BJ257" s="9"/>
      <c r="BK257" s="9"/>
      <c r="BL257" s="9" t="str">
        <f t="shared" si="309"/>
        <v/>
      </c>
      <c r="BM257" s="9"/>
      <c r="BN257" s="9"/>
      <c r="BO257" s="9"/>
      <c r="BP257" s="9" t="str">
        <f t="shared" si="302"/>
        <v/>
      </c>
      <c r="BQ257" s="10" t="str">
        <f t="shared" si="303"/>
        <v/>
      </c>
      <c r="BR257" s="11"/>
    </row>
    <row r="258" spans="1:70" ht="15" customHeight="1" x14ac:dyDescent="0.2">
      <c r="A258" s="72"/>
      <c r="B258" s="61"/>
      <c r="C258" s="33"/>
      <c r="D258" s="9" t="str">
        <f t="shared" si="310"/>
        <v/>
      </c>
      <c r="E258" s="9"/>
      <c r="F258" s="9" t="str">
        <f t="shared" si="311"/>
        <v/>
      </c>
      <c r="G258" s="9"/>
      <c r="H258" s="9" t="str">
        <f t="shared" si="312"/>
        <v/>
      </c>
      <c r="I258" s="13"/>
      <c r="J258" s="113" t="str">
        <f t="shared" si="304"/>
        <v/>
      </c>
      <c r="K258" s="34" t="str">
        <f t="shared" si="304"/>
        <v/>
      </c>
      <c r="L258" s="9" t="str">
        <f t="shared" si="313"/>
        <v/>
      </c>
      <c r="M258" s="10" t="str">
        <f t="shared" si="314"/>
        <v/>
      </c>
      <c r="N258" s="11"/>
      <c r="P258" s="72"/>
      <c r="Q258" s="33"/>
      <c r="R258" s="9" t="str">
        <f t="shared" si="276"/>
        <v/>
      </c>
      <c r="S258" s="9"/>
      <c r="T258" s="9" t="str">
        <f t="shared" si="298"/>
        <v/>
      </c>
      <c r="U258" s="9"/>
      <c r="V258" s="9" t="str">
        <f t="shared" si="277"/>
        <v/>
      </c>
      <c r="W258" s="13"/>
      <c r="X258" s="113" t="str">
        <f t="shared" si="305"/>
        <v/>
      </c>
      <c r="Y258" s="34" t="str">
        <f t="shared" si="305"/>
        <v/>
      </c>
      <c r="Z258" s="9" t="str">
        <f t="shared" si="279"/>
        <v/>
      </c>
      <c r="AA258" s="10" t="str">
        <f t="shared" si="280"/>
        <v/>
      </c>
      <c r="AB258" s="11"/>
      <c r="AD258" s="72"/>
      <c r="AE258" s="33"/>
      <c r="AF258" s="9" t="str">
        <f t="shared" si="281"/>
        <v/>
      </c>
      <c r="AG258" s="9"/>
      <c r="AH258" s="9" t="str">
        <f t="shared" si="299"/>
        <v/>
      </c>
      <c r="AI258" s="9"/>
      <c r="AJ258" s="9" t="str">
        <f t="shared" si="282"/>
        <v/>
      </c>
      <c r="AK258" s="13"/>
      <c r="AL258" s="113" t="str">
        <f t="shared" si="306"/>
        <v/>
      </c>
      <c r="AM258" s="34" t="str">
        <f t="shared" si="306"/>
        <v/>
      </c>
      <c r="AN258" s="9" t="str">
        <f t="shared" si="284"/>
        <v/>
      </c>
      <c r="AO258" s="10" t="str">
        <f t="shared" si="285"/>
        <v/>
      </c>
      <c r="AP258" s="11"/>
      <c r="AR258" s="72"/>
      <c r="AS258" s="33"/>
      <c r="AT258" s="9" t="str">
        <f t="shared" si="286"/>
        <v/>
      </c>
      <c r="AU258" s="9"/>
      <c r="AV258" s="9" t="str">
        <f t="shared" si="300"/>
        <v/>
      </c>
      <c r="AW258" s="9"/>
      <c r="AX258" s="9" t="str">
        <f t="shared" si="287"/>
        <v/>
      </c>
      <c r="AY258" s="13"/>
      <c r="AZ258" s="113" t="str">
        <f t="shared" si="307"/>
        <v/>
      </c>
      <c r="BA258" s="34" t="str">
        <f t="shared" si="307"/>
        <v/>
      </c>
      <c r="BB258" s="9" t="str">
        <f t="shared" si="289"/>
        <v/>
      </c>
      <c r="BC258" s="10" t="str">
        <f t="shared" si="290"/>
        <v/>
      </c>
      <c r="BD258" s="11"/>
      <c r="BF258" s="7"/>
      <c r="BG258" s="34"/>
      <c r="BH258" s="9" t="str">
        <f t="shared" si="308"/>
        <v/>
      </c>
      <c r="BI258" s="9"/>
      <c r="BJ258" s="9"/>
      <c r="BK258" s="9"/>
      <c r="BL258" s="9" t="str">
        <f t="shared" si="309"/>
        <v/>
      </c>
      <c r="BM258" s="9"/>
      <c r="BN258" s="9"/>
      <c r="BO258" s="9"/>
      <c r="BP258" s="9" t="str">
        <f t="shared" si="302"/>
        <v/>
      </c>
      <c r="BQ258" s="10" t="str">
        <f t="shared" si="303"/>
        <v/>
      </c>
      <c r="BR258" s="11"/>
    </row>
    <row r="259" spans="1:70" ht="15" customHeight="1" x14ac:dyDescent="0.2">
      <c r="A259" s="72"/>
      <c r="B259" s="8"/>
      <c r="C259" s="38"/>
      <c r="D259" s="9" t="str">
        <f t="shared" si="310"/>
        <v/>
      </c>
      <c r="E259" s="9"/>
      <c r="F259" s="9" t="str">
        <f t="shared" si="311"/>
        <v/>
      </c>
      <c r="G259" s="9"/>
      <c r="H259" s="9" t="str">
        <f t="shared" si="312"/>
        <v/>
      </c>
      <c r="I259" s="13"/>
      <c r="J259" s="113" t="str">
        <f t="shared" si="304"/>
        <v/>
      </c>
      <c r="K259" s="9" t="str">
        <f t="shared" si="304"/>
        <v/>
      </c>
      <c r="L259" s="9" t="str">
        <f t="shared" si="313"/>
        <v/>
      </c>
      <c r="M259" s="10" t="str">
        <f t="shared" si="314"/>
        <v/>
      </c>
      <c r="N259" s="11"/>
      <c r="P259" s="72"/>
      <c r="Q259" s="38"/>
      <c r="R259" s="9" t="str">
        <f t="shared" si="276"/>
        <v/>
      </c>
      <c r="S259" s="9"/>
      <c r="T259" s="9" t="str">
        <f t="shared" si="298"/>
        <v/>
      </c>
      <c r="U259" s="9"/>
      <c r="V259" s="9" t="str">
        <f t="shared" si="277"/>
        <v/>
      </c>
      <c r="W259" s="13"/>
      <c r="X259" s="113" t="str">
        <f t="shared" si="305"/>
        <v/>
      </c>
      <c r="Y259" s="9" t="str">
        <f t="shared" si="305"/>
        <v/>
      </c>
      <c r="Z259" s="9" t="str">
        <f t="shared" si="279"/>
        <v/>
      </c>
      <c r="AA259" s="10" t="str">
        <f t="shared" si="280"/>
        <v/>
      </c>
      <c r="AB259" s="11"/>
      <c r="AD259" s="72"/>
      <c r="AE259" s="38"/>
      <c r="AF259" s="9" t="str">
        <f t="shared" si="281"/>
        <v/>
      </c>
      <c r="AG259" s="9"/>
      <c r="AH259" s="9" t="str">
        <f t="shared" si="299"/>
        <v/>
      </c>
      <c r="AI259" s="9"/>
      <c r="AJ259" s="9" t="str">
        <f t="shared" si="282"/>
        <v/>
      </c>
      <c r="AK259" s="13"/>
      <c r="AL259" s="113" t="str">
        <f t="shared" si="306"/>
        <v/>
      </c>
      <c r="AM259" s="9" t="str">
        <f t="shared" si="306"/>
        <v/>
      </c>
      <c r="AN259" s="9" t="str">
        <f t="shared" si="284"/>
        <v/>
      </c>
      <c r="AO259" s="10" t="str">
        <f t="shared" si="285"/>
        <v/>
      </c>
      <c r="AP259" s="11"/>
      <c r="AR259" s="72"/>
      <c r="AS259" s="38"/>
      <c r="AT259" s="9" t="str">
        <f t="shared" si="286"/>
        <v/>
      </c>
      <c r="AU259" s="9"/>
      <c r="AV259" s="9" t="str">
        <f t="shared" si="300"/>
        <v/>
      </c>
      <c r="AW259" s="9"/>
      <c r="AX259" s="9" t="str">
        <f t="shared" si="287"/>
        <v/>
      </c>
      <c r="AY259" s="13"/>
      <c r="AZ259" s="113" t="str">
        <f t="shared" si="307"/>
        <v/>
      </c>
      <c r="BA259" s="9" t="str">
        <f t="shared" si="307"/>
        <v/>
      </c>
      <c r="BB259" s="9" t="str">
        <f t="shared" si="289"/>
        <v/>
      </c>
      <c r="BC259" s="10" t="str">
        <f t="shared" si="290"/>
        <v/>
      </c>
      <c r="BD259" s="11"/>
      <c r="BF259" s="7"/>
      <c r="BG259" s="34"/>
      <c r="BH259" s="9" t="str">
        <f t="shared" si="308"/>
        <v/>
      </c>
      <c r="BI259" s="9"/>
      <c r="BJ259" s="9"/>
      <c r="BK259" s="9"/>
      <c r="BL259" s="9" t="str">
        <f t="shared" si="309"/>
        <v/>
      </c>
      <c r="BM259" s="9"/>
      <c r="BN259" s="9"/>
      <c r="BO259" s="9"/>
      <c r="BP259" s="9" t="str">
        <f t="shared" si="302"/>
        <v/>
      </c>
      <c r="BQ259" s="10" t="str">
        <f t="shared" si="303"/>
        <v/>
      </c>
      <c r="BR259" s="11"/>
    </row>
    <row r="260" spans="1:70" ht="15" customHeight="1" thickBot="1" x14ac:dyDescent="0.25">
      <c r="A260" s="75"/>
      <c r="B260" s="67"/>
      <c r="C260" s="36"/>
      <c r="D260" s="37" t="str">
        <f t="shared" si="310"/>
        <v/>
      </c>
      <c r="E260" s="17"/>
      <c r="F260" s="17" t="str">
        <f t="shared" si="311"/>
        <v/>
      </c>
      <c r="G260" s="17"/>
      <c r="H260" s="17" t="str">
        <f t="shared" si="312"/>
        <v/>
      </c>
      <c r="I260" s="29"/>
      <c r="J260" s="114" t="str">
        <f t="shared" si="304"/>
        <v/>
      </c>
      <c r="K260" s="37" t="str">
        <f t="shared" si="304"/>
        <v/>
      </c>
      <c r="L260" s="17" t="str">
        <f t="shared" si="313"/>
        <v/>
      </c>
      <c r="M260" s="18" t="str">
        <f t="shared" si="314"/>
        <v/>
      </c>
      <c r="N260" s="11"/>
      <c r="P260" s="75"/>
      <c r="Q260" s="36"/>
      <c r="R260" s="37" t="str">
        <f t="shared" si="276"/>
        <v/>
      </c>
      <c r="S260" s="17"/>
      <c r="T260" s="17" t="str">
        <f t="shared" si="298"/>
        <v/>
      </c>
      <c r="U260" s="17"/>
      <c r="V260" s="17" t="str">
        <f t="shared" si="277"/>
        <v/>
      </c>
      <c r="W260" s="29"/>
      <c r="X260" s="114" t="str">
        <f t="shared" si="305"/>
        <v/>
      </c>
      <c r="Y260" s="37" t="str">
        <f t="shared" si="305"/>
        <v/>
      </c>
      <c r="Z260" s="17" t="str">
        <f t="shared" si="279"/>
        <v/>
      </c>
      <c r="AA260" s="18" t="str">
        <f t="shared" si="280"/>
        <v/>
      </c>
      <c r="AB260" s="11"/>
      <c r="AD260" s="75"/>
      <c r="AE260" s="36"/>
      <c r="AF260" s="37" t="str">
        <f t="shared" si="281"/>
        <v/>
      </c>
      <c r="AG260" s="17"/>
      <c r="AH260" s="17" t="str">
        <f t="shared" si="299"/>
        <v/>
      </c>
      <c r="AI260" s="17"/>
      <c r="AJ260" s="17" t="str">
        <f t="shared" si="282"/>
        <v/>
      </c>
      <c r="AK260" s="29"/>
      <c r="AL260" s="114" t="str">
        <f t="shared" si="306"/>
        <v/>
      </c>
      <c r="AM260" s="37" t="str">
        <f t="shared" si="306"/>
        <v/>
      </c>
      <c r="AN260" s="17" t="str">
        <f t="shared" si="284"/>
        <v/>
      </c>
      <c r="AO260" s="18" t="str">
        <f t="shared" si="285"/>
        <v/>
      </c>
      <c r="AP260" s="11"/>
      <c r="AR260" s="75"/>
      <c r="AS260" s="36"/>
      <c r="AT260" s="37" t="str">
        <f t="shared" si="286"/>
        <v/>
      </c>
      <c r="AU260" s="17"/>
      <c r="AV260" s="17" t="str">
        <f t="shared" si="300"/>
        <v/>
      </c>
      <c r="AW260" s="17"/>
      <c r="AX260" s="17" t="str">
        <f t="shared" si="287"/>
        <v/>
      </c>
      <c r="AY260" s="29"/>
      <c r="AZ260" s="114" t="str">
        <f t="shared" si="307"/>
        <v/>
      </c>
      <c r="BA260" s="37" t="str">
        <f t="shared" si="307"/>
        <v/>
      </c>
      <c r="BB260" s="17" t="str">
        <f t="shared" si="289"/>
        <v/>
      </c>
      <c r="BC260" s="18" t="str">
        <f t="shared" si="290"/>
        <v/>
      </c>
      <c r="BD260" s="11"/>
      <c r="BF260" s="7"/>
      <c r="BG260" s="34"/>
      <c r="BH260" s="9" t="str">
        <f t="shared" si="308"/>
        <v/>
      </c>
      <c r="BI260" s="9"/>
      <c r="BJ260" s="9"/>
      <c r="BK260" s="9"/>
      <c r="BL260" s="9" t="str">
        <f t="shared" si="309"/>
        <v/>
      </c>
      <c r="BM260" s="9"/>
      <c r="BN260" s="9"/>
      <c r="BO260" s="9"/>
      <c r="BP260" s="9" t="str">
        <f t="shared" si="302"/>
        <v/>
      </c>
      <c r="BQ260" s="10" t="str">
        <f t="shared" si="303"/>
        <v/>
      </c>
      <c r="BR260" s="11"/>
    </row>
    <row r="261" spans="1:70" ht="15" customHeight="1" thickTop="1" x14ac:dyDescent="0.2">
      <c r="A261" s="71"/>
      <c r="B261" s="61">
        <f>SUM(D261:D264)+SUM(R261:R264)+SUM(AF261:AF264)+SUM(AT261:AT264)+SUM(BH234)</f>
        <v>0</v>
      </c>
      <c r="C261" s="33"/>
      <c r="D261" s="33" t="str">
        <f t="shared" si="271"/>
        <v/>
      </c>
      <c r="E261" s="33"/>
      <c r="F261" s="20" t="str">
        <f t="shared" si="297"/>
        <v/>
      </c>
      <c r="G261" s="33"/>
      <c r="H261" s="33" t="str">
        <f t="shared" si="272"/>
        <v/>
      </c>
      <c r="I261" s="43"/>
      <c r="J261" s="112" t="str">
        <f t="shared" ref="J261:K264" si="315">IF(C261="","",J257)</f>
        <v/>
      </c>
      <c r="K261" s="40" t="str">
        <f t="shared" si="315"/>
        <v/>
      </c>
      <c r="L261" s="20" t="str">
        <f t="shared" si="274"/>
        <v/>
      </c>
      <c r="M261" s="21" t="str">
        <f t="shared" si="275"/>
        <v/>
      </c>
      <c r="N261" s="11"/>
      <c r="P261" s="76" t="str">
        <f>IF($A261="","",$A261)</f>
        <v/>
      </c>
      <c r="Q261" s="33"/>
      <c r="R261" s="33" t="str">
        <f t="shared" si="276"/>
        <v/>
      </c>
      <c r="S261" s="33"/>
      <c r="T261" s="20" t="str">
        <f t="shared" si="298"/>
        <v/>
      </c>
      <c r="U261" s="33"/>
      <c r="V261" s="33" t="str">
        <f t="shared" si="277"/>
        <v/>
      </c>
      <c r="W261" s="43"/>
      <c r="X261" s="112" t="str">
        <f t="shared" ref="X261:Y264" si="316">IF(Q261="","",X257)</f>
        <v/>
      </c>
      <c r="Y261" s="40" t="str">
        <f t="shared" si="316"/>
        <v/>
      </c>
      <c r="Z261" s="20" t="str">
        <f t="shared" si="279"/>
        <v/>
      </c>
      <c r="AA261" s="21" t="str">
        <f t="shared" si="280"/>
        <v/>
      </c>
      <c r="AB261" s="11"/>
      <c r="AD261" s="76" t="str">
        <f>IF($A261="","",$A261)</f>
        <v/>
      </c>
      <c r="AE261" s="33"/>
      <c r="AF261" s="33" t="str">
        <f t="shared" si="281"/>
        <v/>
      </c>
      <c r="AG261" s="33"/>
      <c r="AH261" s="20" t="str">
        <f t="shared" si="299"/>
        <v/>
      </c>
      <c r="AI261" s="33"/>
      <c r="AJ261" s="33" t="str">
        <f t="shared" si="282"/>
        <v/>
      </c>
      <c r="AK261" s="43"/>
      <c r="AL261" s="112" t="str">
        <f t="shared" ref="AL261:AM264" si="317">IF(AE261="","",AL257)</f>
        <v/>
      </c>
      <c r="AM261" s="40" t="str">
        <f t="shared" si="317"/>
        <v/>
      </c>
      <c r="AN261" s="20" t="str">
        <f t="shared" si="284"/>
        <v/>
      </c>
      <c r="AO261" s="21" t="str">
        <f t="shared" si="285"/>
        <v/>
      </c>
      <c r="AP261" s="11"/>
      <c r="AR261" s="76" t="str">
        <f>IF($A261="","",$A261)</f>
        <v/>
      </c>
      <c r="AS261" s="33"/>
      <c r="AT261" s="33" t="str">
        <f t="shared" si="286"/>
        <v/>
      </c>
      <c r="AU261" s="33"/>
      <c r="AV261" s="20" t="str">
        <f t="shared" si="300"/>
        <v/>
      </c>
      <c r="AW261" s="33"/>
      <c r="AX261" s="33" t="str">
        <f t="shared" si="287"/>
        <v/>
      </c>
      <c r="AY261" s="43"/>
      <c r="AZ261" s="112" t="str">
        <f t="shared" ref="AZ261:BA264" si="318">IF(AS261="","",AZ257)</f>
        <v/>
      </c>
      <c r="BA261" s="40" t="str">
        <f t="shared" si="318"/>
        <v/>
      </c>
      <c r="BB261" s="20" t="str">
        <f t="shared" si="289"/>
        <v/>
      </c>
      <c r="BC261" s="21" t="str">
        <f t="shared" si="290"/>
        <v/>
      </c>
      <c r="BD261" s="11"/>
      <c r="BF261" s="7"/>
      <c r="BG261" s="34"/>
      <c r="BH261" s="9" t="str">
        <f t="shared" si="308"/>
        <v/>
      </c>
      <c r="BI261" s="9"/>
      <c r="BJ261" s="9"/>
      <c r="BK261" s="9"/>
      <c r="BL261" s="9" t="str">
        <f t="shared" si="309"/>
        <v/>
      </c>
      <c r="BM261" s="9"/>
      <c r="BN261" s="9"/>
      <c r="BO261" s="9"/>
      <c r="BP261" s="9" t="str">
        <f t="shared" si="302"/>
        <v/>
      </c>
      <c r="BQ261" s="10" t="str">
        <f t="shared" si="303"/>
        <v/>
      </c>
      <c r="BR261" s="11"/>
    </row>
    <row r="262" spans="1:70" ht="15" customHeight="1" x14ac:dyDescent="0.2">
      <c r="A262" s="72"/>
      <c r="B262" s="8"/>
      <c r="C262" s="9"/>
      <c r="D262" s="9" t="str">
        <f t="shared" si="271"/>
        <v/>
      </c>
      <c r="E262" s="9"/>
      <c r="F262" s="9" t="str">
        <f t="shared" si="297"/>
        <v/>
      </c>
      <c r="G262" s="9"/>
      <c r="H262" s="9" t="str">
        <f t="shared" si="272"/>
        <v/>
      </c>
      <c r="I262" s="13"/>
      <c r="J262" s="113" t="str">
        <f t="shared" si="315"/>
        <v/>
      </c>
      <c r="K262" s="34" t="str">
        <f t="shared" si="315"/>
        <v/>
      </c>
      <c r="L262" s="9" t="str">
        <f t="shared" si="274"/>
        <v/>
      </c>
      <c r="M262" s="10" t="str">
        <f t="shared" si="275"/>
        <v/>
      </c>
      <c r="N262" s="11"/>
      <c r="P262" s="72"/>
      <c r="Q262" s="9"/>
      <c r="R262" s="9" t="str">
        <f t="shared" si="276"/>
        <v/>
      </c>
      <c r="S262" s="9"/>
      <c r="T262" s="9" t="str">
        <f t="shared" si="298"/>
        <v/>
      </c>
      <c r="U262" s="9"/>
      <c r="V262" s="9" t="str">
        <f t="shared" si="277"/>
        <v/>
      </c>
      <c r="W262" s="13"/>
      <c r="X262" s="113" t="str">
        <f t="shared" si="316"/>
        <v/>
      </c>
      <c r="Y262" s="34" t="str">
        <f t="shared" si="316"/>
        <v/>
      </c>
      <c r="Z262" s="9" t="str">
        <f t="shared" si="279"/>
        <v/>
      </c>
      <c r="AA262" s="10" t="str">
        <f t="shared" si="280"/>
        <v/>
      </c>
      <c r="AB262" s="11"/>
      <c r="AD262" s="72"/>
      <c r="AE262" s="9"/>
      <c r="AF262" s="9" t="str">
        <f t="shared" si="281"/>
        <v/>
      </c>
      <c r="AG262" s="9"/>
      <c r="AH262" s="9" t="str">
        <f t="shared" si="299"/>
        <v/>
      </c>
      <c r="AI262" s="9"/>
      <c r="AJ262" s="9" t="str">
        <f t="shared" si="282"/>
        <v/>
      </c>
      <c r="AK262" s="13"/>
      <c r="AL262" s="113" t="str">
        <f t="shared" si="317"/>
        <v/>
      </c>
      <c r="AM262" s="34" t="str">
        <f t="shared" si="317"/>
        <v/>
      </c>
      <c r="AN262" s="9" t="str">
        <f t="shared" si="284"/>
        <v/>
      </c>
      <c r="AO262" s="10" t="str">
        <f t="shared" si="285"/>
        <v/>
      </c>
      <c r="AP262" s="11"/>
      <c r="AR262" s="72"/>
      <c r="AS262" s="9"/>
      <c r="AT262" s="9" t="str">
        <f t="shared" si="286"/>
        <v/>
      </c>
      <c r="AU262" s="9"/>
      <c r="AV262" s="9" t="str">
        <f t="shared" si="300"/>
        <v/>
      </c>
      <c r="AW262" s="9"/>
      <c r="AX262" s="9" t="str">
        <f t="shared" si="287"/>
        <v/>
      </c>
      <c r="AY262" s="13"/>
      <c r="AZ262" s="113" t="str">
        <f t="shared" si="318"/>
        <v/>
      </c>
      <c r="BA262" s="34" t="str">
        <f t="shared" si="318"/>
        <v/>
      </c>
      <c r="BB262" s="9" t="str">
        <f t="shared" si="289"/>
        <v/>
      </c>
      <c r="BC262" s="10" t="str">
        <f t="shared" si="290"/>
        <v/>
      </c>
      <c r="BD262" s="11"/>
      <c r="BF262" s="7"/>
      <c r="BG262" s="34"/>
      <c r="BH262" s="9" t="str">
        <f t="shared" si="308"/>
        <v/>
      </c>
      <c r="BI262" s="9"/>
      <c r="BJ262" s="9"/>
      <c r="BK262" s="9"/>
      <c r="BL262" s="9" t="str">
        <f t="shared" si="309"/>
        <v/>
      </c>
      <c r="BM262" s="9"/>
      <c r="BN262" s="9"/>
      <c r="BO262" s="9"/>
      <c r="BP262" s="9" t="str">
        <f t="shared" si="302"/>
        <v/>
      </c>
      <c r="BQ262" s="10" t="str">
        <f t="shared" si="303"/>
        <v/>
      </c>
      <c r="BR262" s="11"/>
    </row>
    <row r="263" spans="1:70" ht="15" customHeight="1" x14ac:dyDescent="0.2">
      <c r="A263" s="72"/>
      <c r="B263" s="8"/>
      <c r="C263" s="23"/>
      <c r="D263" s="9" t="str">
        <f t="shared" si="271"/>
        <v/>
      </c>
      <c r="E263" s="9"/>
      <c r="F263" s="9" t="str">
        <f t="shared" si="297"/>
        <v/>
      </c>
      <c r="G263" s="23"/>
      <c r="H263" s="9" t="str">
        <f t="shared" si="272"/>
        <v/>
      </c>
      <c r="I263" s="30"/>
      <c r="J263" s="113" t="str">
        <f t="shared" si="315"/>
        <v/>
      </c>
      <c r="K263" s="9" t="str">
        <f t="shared" si="315"/>
        <v/>
      </c>
      <c r="L263" s="9" t="str">
        <f t="shared" si="274"/>
        <v/>
      </c>
      <c r="M263" s="10" t="str">
        <f t="shared" si="275"/>
        <v/>
      </c>
      <c r="N263" s="11"/>
      <c r="P263" s="72"/>
      <c r="Q263" s="23"/>
      <c r="R263" s="9" t="str">
        <f t="shared" si="276"/>
        <v/>
      </c>
      <c r="S263" s="9"/>
      <c r="T263" s="9" t="str">
        <f t="shared" si="298"/>
        <v/>
      </c>
      <c r="U263" s="23"/>
      <c r="V263" s="9" t="str">
        <f t="shared" si="277"/>
        <v/>
      </c>
      <c r="W263" s="30"/>
      <c r="X263" s="113" t="str">
        <f t="shared" si="316"/>
        <v/>
      </c>
      <c r="Y263" s="9" t="str">
        <f t="shared" si="316"/>
        <v/>
      </c>
      <c r="Z263" s="9" t="str">
        <f t="shared" si="279"/>
        <v/>
      </c>
      <c r="AA263" s="10" t="str">
        <f t="shared" si="280"/>
        <v/>
      </c>
      <c r="AB263" s="11"/>
      <c r="AD263" s="72"/>
      <c r="AE263" s="23"/>
      <c r="AF263" s="9" t="str">
        <f t="shared" si="281"/>
        <v/>
      </c>
      <c r="AG263" s="9"/>
      <c r="AH263" s="9" t="str">
        <f t="shared" si="299"/>
        <v/>
      </c>
      <c r="AI263" s="23"/>
      <c r="AJ263" s="9" t="str">
        <f t="shared" si="282"/>
        <v/>
      </c>
      <c r="AK263" s="30"/>
      <c r="AL263" s="113" t="str">
        <f t="shared" si="317"/>
        <v/>
      </c>
      <c r="AM263" s="9" t="str">
        <f t="shared" si="317"/>
        <v/>
      </c>
      <c r="AN263" s="9" t="str">
        <f t="shared" si="284"/>
        <v/>
      </c>
      <c r="AO263" s="10" t="str">
        <f t="shared" si="285"/>
        <v/>
      </c>
      <c r="AP263" s="11"/>
      <c r="AR263" s="72"/>
      <c r="AS263" s="23"/>
      <c r="AT263" s="9" t="str">
        <f t="shared" si="286"/>
        <v/>
      </c>
      <c r="AU263" s="9"/>
      <c r="AV263" s="9" t="str">
        <f t="shared" si="300"/>
        <v/>
      </c>
      <c r="AW263" s="23"/>
      <c r="AX263" s="9" t="str">
        <f t="shared" si="287"/>
        <v/>
      </c>
      <c r="AY263" s="30"/>
      <c r="AZ263" s="113" t="str">
        <f t="shared" si="318"/>
        <v/>
      </c>
      <c r="BA263" s="9" t="str">
        <f t="shared" si="318"/>
        <v/>
      </c>
      <c r="BB263" s="9" t="str">
        <f t="shared" si="289"/>
        <v/>
      </c>
      <c r="BC263" s="10" t="str">
        <f t="shared" si="290"/>
        <v/>
      </c>
      <c r="BD263" s="11"/>
      <c r="BF263" s="7"/>
      <c r="BG263" s="34"/>
      <c r="BH263" s="9" t="str">
        <f t="shared" si="308"/>
        <v/>
      </c>
      <c r="BI263" s="9"/>
      <c r="BJ263" s="9"/>
      <c r="BK263" s="9"/>
      <c r="BL263" s="9" t="str">
        <f t="shared" si="309"/>
        <v/>
      </c>
      <c r="BM263" s="9"/>
      <c r="BN263" s="9"/>
      <c r="BO263" s="9"/>
      <c r="BP263" s="9" t="str">
        <f t="shared" si="302"/>
        <v/>
      </c>
      <c r="BQ263" s="10" t="str">
        <f t="shared" si="303"/>
        <v/>
      </c>
      <c r="BR263" s="11"/>
    </row>
    <row r="264" spans="1:70" ht="15" customHeight="1" thickBot="1" x14ac:dyDescent="0.25">
      <c r="A264" s="75"/>
      <c r="B264" s="62"/>
      <c r="C264" s="17"/>
      <c r="D264" s="37" t="str">
        <f t="shared" si="271"/>
        <v/>
      </c>
      <c r="E264" s="17"/>
      <c r="F264" s="17" t="str">
        <f t="shared" si="297"/>
        <v/>
      </c>
      <c r="G264" s="17"/>
      <c r="H264" s="17" t="str">
        <f t="shared" si="272"/>
        <v/>
      </c>
      <c r="I264" s="29"/>
      <c r="J264" s="114" t="str">
        <f t="shared" si="315"/>
        <v/>
      </c>
      <c r="K264" s="37" t="str">
        <f t="shared" si="315"/>
        <v/>
      </c>
      <c r="L264" s="17" t="str">
        <f t="shared" si="274"/>
        <v/>
      </c>
      <c r="M264" s="18" t="str">
        <f t="shared" si="275"/>
        <v/>
      </c>
      <c r="N264" s="11"/>
      <c r="P264" s="75"/>
      <c r="Q264" s="17"/>
      <c r="R264" s="37" t="str">
        <f t="shared" si="276"/>
        <v/>
      </c>
      <c r="S264" s="17"/>
      <c r="T264" s="17" t="str">
        <f t="shared" si="298"/>
        <v/>
      </c>
      <c r="U264" s="17"/>
      <c r="V264" s="17" t="str">
        <f t="shared" si="277"/>
        <v/>
      </c>
      <c r="W264" s="29"/>
      <c r="X264" s="114" t="str">
        <f t="shared" si="316"/>
        <v/>
      </c>
      <c r="Y264" s="37" t="str">
        <f t="shared" si="316"/>
        <v/>
      </c>
      <c r="Z264" s="17" t="str">
        <f t="shared" si="279"/>
        <v/>
      </c>
      <c r="AA264" s="18" t="str">
        <f t="shared" si="280"/>
        <v/>
      </c>
      <c r="AB264" s="11"/>
      <c r="AD264" s="75"/>
      <c r="AE264" s="17"/>
      <c r="AF264" s="37" t="str">
        <f t="shared" si="281"/>
        <v/>
      </c>
      <c r="AG264" s="17"/>
      <c r="AH264" s="17" t="str">
        <f t="shared" si="299"/>
        <v/>
      </c>
      <c r="AI264" s="17"/>
      <c r="AJ264" s="17" t="str">
        <f t="shared" si="282"/>
        <v/>
      </c>
      <c r="AK264" s="29"/>
      <c r="AL264" s="114" t="str">
        <f t="shared" si="317"/>
        <v/>
      </c>
      <c r="AM264" s="37" t="str">
        <f t="shared" si="317"/>
        <v/>
      </c>
      <c r="AN264" s="17" t="str">
        <f t="shared" si="284"/>
        <v/>
      </c>
      <c r="AO264" s="18" t="str">
        <f t="shared" si="285"/>
        <v/>
      </c>
      <c r="AP264" s="11"/>
      <c r="AR264" s="75"/>
      <c r="AS264" s="17"/>
      <c r="AT264" s="37" t="str">
        <f t="shared" si="286"/>
        <v/>
      </c>
      <c r="AU264" s="17"/>
      <c r="AV264" s="17" t="str">
        <f t="shared" si="300"/>
        <v/>
      </c>
      <c r="AW264" s="17"/>
      <c r="AX264" s="17" t="str">
        <f t="shared" si="287"/>
        <v/>
      </c>
      <c r="AY264" s="29"/>
      <c r="AZ264" s="114" t="str">
        <f t="shared" si="318"/>
        <v/>
      </c>
      <c r="BA264" s="37" t="str">
        <f t="shared" si="318"/>
        <v/>
      </c>
      <c r="BB264" s="17" t="str">
        <f t="shared" si="289"/>
        <v/>
      </c>
      <c r="BC264" s="18" t="str">
        <f t="shared" si="290"/>
        <v/>
      </c>
      <c r="BD264" s="11"/>
      <c r="BF264" s="7"/>
      <c r="BG264" s="34"/>
      <c r="BH264" s="9" t="str">
        <f t="shared" si="308"/>
        <v/>
      </c>
      <c r="BI264" s="9"/>
      <c r="BJ264" s="9"/>
      <c r="BK264" s="9"/>
      <c r="BL264" s="9" t="str">
        <f t="shared" si="309"/>
        <v/>
      </c>
      <c r="BM264" s="9"/>
      <c r="BN264" s="9"/>
      <c r="BO264" s="9"/>
      <c r="BP264" s="9" t="str">
        <f t="shared" si="302"/>
        <v/>
      </c>
      <c r="BQ264" s="10" t="str">
        <f t="shared" si="303"/>
        <v/>
      </c>
      <c r="BR264" s="11"/>
    </row>
    <row r="265" spans="1:70" ht="15" customHeight="1" thickTop="1" x14ac:dyDescent="0.2">
      <c r="A265" s="71"/>
      <c r="B265" s="61">
        <f>SUM(D265:D268)+SUM(R265:R268)+SUM(AF265:AF268)+SUM(AT265:AT268)+SUM(BH235)</f>
        <v>0</v>
      </c>
      <c r="C265" s="33"/>
      <c r="D265" s="33" t="str">
        <f t="shared" ref="D265:D280" si="319">IF(C265="","",C265-C261)</f>
        <v/>
      </c>
      <c r="E265" s="33"/>
      <c r="F265" s="20" t="str">
        <f t="shared" ref="F265:F280" si="320">IF(E265="","",E265-E261)</f>
        <v/>
      </c>
      <c r="G265" s="33"/>
      <c r="H265" s="33" t="str">
        <f t="shared" ref="H265:H275" si="321">IF(G265="","",G261+I261-G265)</f>
        <v/>
      </c>
      <c r="I265" s="43"/>
      <c r="J265" s="112" t="str">
        <f t="shared" ref="J265:J280" si="322">IF(C265="","",J261)</f>
        <v/>
      </c>
      <c r="K265" s="40" t="str">
        <f t="shared" ref="K265:K280" si="323">IF(D265="","",K261)</f>
        <v/>
      </c>
      <c r="L265" s="20" t="str">
        <f t="shared" ref="L265:L280" si="324">IF(G265="","",H265*K265)</f>
        <v/>
      </c>
      <c r="M265" s="21" t="str">
        <f t="shared" ref="M265:M280" si="325">IF(H265="","",L265/(D265*100))</f>
        <v/>
      </c>
      <c r="N265" s="11"/>
      <c r="P265" s="76" t="str">
        <f>IF($A265="","",$A265)</f>
        <v/>
      </c>
      <c r="Q265" s="33"/>
      <c r="R265" s="33" t="str">
        <f t="shared" ref="R265:R280" si="326">IF(Q265="","",Q265-Q261)</f>
        <v/>
      </c>
      <c r="S265" s="33"/>
      <c r="T265" s="20" t="str">
        <f t="shared" ref="T265:T280" si="327">IF(S265="","",S265-S261)</f>
        <v/>
      </c>
      <c r="U265" s="33"/>
      <c r="V265" s="33" t="str">
        <f t="shared" ref="V265:V280" si="328">IF(U265="","",U261+W261-U265)</f>
        <v/>
      </c>
      <c r="W265" s="43"/>
      <c r="X265" s="112" t="str">
        <f t="shared" ref="X265:X280" si="329">IF(Q265="","",X261)</f>
        <v/>
      </c>
      <c r="Y265" s="40" t="str">
        <f t="shared" ref="Y265:Y280" si="330">IF(R265="","",Y261)</f>
        <v/>
      </c>
      <c r="Z265" s="20" t="str">
        <f t="shared" ref="Z265:Z280" si="331">IF(U265="","",V265*Y265)</f>
        <v/>
      </c>
      <c r="AA265" s="21" t="str">
        <f t="shared" ref="AA265:AA280" si="332">IF(V265="","",Z265/(R265*100))</f>
        <v/>
      </c>
      <c r="AB265" s="11"/>
      <c r="AD265" s="76" t="str">
        <f>IF($A265="","",$A265)</f>
        <v/>
      </c>
      <c r="AE265" s="33"/>
      <c r="AF265" s="33" t="str">
        <f t="shared" ref="AF265:AF280" si="333">IF(AE265="","",AE265-AE261)</f>
        <v/>
      </c>
      <c r="AG265" s="33"/>
      <c r="AH265" s="20" t="str">
        <f t="shared" ref="AH265:AH280" si="334">IF(AG265="","",AG265-AG261)</f>
        <v/>
      </c>
      <c r="AI265" s="33"/>
      <c r="AJ265" s="33" t="str">
        <f t="shared" ref="AJ265:AJ280" si="335">IF(AI265="","",AI261+AK261-AI265)</f>
        <v/>
      </c>
      <c r="AK265" s="43"/>
      <c r="AL265" s="112" t="str">
        <f t="shared" ref="AL265:AL280" si="336">IF(AE265="","",AL261)</f>
        <v/>
      </c>
      <c r="AM265" s="40" t="str">
        <f t="shared" ref="AM265:AM280" si="337">IF(AF265="","",AM261)</f>
        <v/>
      </c>
      <c r="AN265" s="20" t="str">
        <f t="shared" ref="AN265:AN280" si="338">IF(AI265="","",AJ265*AM265)</f>
        <v/>
      </c>
      <c r="AO265" s="21" t="str">
        <f t="shared" ref="AO265:AO280" si="339">IF(AJ265="","",AN265/(AF265*100))</f>
        <v/>
      </c>
      <c r="AP265" s="11"/>
      <c r="AR265" s="76" t="str">
        <f>IF($A265="","",$A265)</f>
        <v/>
      </c>
      <c r="AS265" s="33"/>
      <c r="AT265" s="33" t="str">
        <f t="shared" ref="AT265:AT280" si="340">IF(AS265="","",AS265-AS261)</f>
        <v/>
      </c>
      <c r="AU265" s="33"/>
      <c r="AV265" s="20" t="str">
        <f t="shared" ref="AV265:AV280" si="341">IF(AU265="","",AU265-AU261)</f>
        <v/>
      </c>
      <c r="AW265" s="33"/>
      <c r="AX265" s="33" t="str">
        <f t="shared" ref="AX265:AX280" si="342">IF(AW265="","",AW261+AY261-AW265)</f>
        <v/>
      </c>
      <c r="AY265" s="43"/>
      <c r="AZ265" s="112" t="str">
        <f t="shared" ref="AZ265:AZ280" si="343">IF(AS265="","",AZ261)</f>
        <v/>
      </c>
      <c r="BA265" s="40" t="str">
        <f t="shared" ref="BA265:BA280" si="344">IF(AT265="","",BA261)</f>
        <v/>
      </c>
      <c r="BB265" s="20" t="str">
        <f t="shared" ref="BB265:BB280" si="345">IF(AW265="","",AX265*BA265)</f>
        <v/>
      </c>
      <c r="BC265" s="21" t="str">
        <f t="shared" ref="BC265:BC280" si="346">IF(AX265="","",BB265/(AT265*100))</f>
        <v/>
      </c>
      <c r="BD265" s="11"/>
      <c r="BF265" s="7"/>
      <c r="BG265" s="34"/>
      <c r="BH265" s="9" t="str">
        <f t="shared" si="308"/>
        <v/>
      </c>
      <c r="BI265" s="9"/>
      <c r="BJ265" s="9"/>
      <c r="BK265" s="9"/>
      <c r="BL265" s="9" t="str">
        <f t="shared" si="309"/>
        <v/>
      </c>
      <c r="BM265" s="9"/>
      <c r="BN265" s="9"/>
      <c r="BO265" s="9"/>
      <c r="BP265" s="9" t="str">
        <f t="shared" si="302"/>
        <v/>
      </c>
      <c r="BQ265" s="10" t="str">
        <f t="shared" si="303"/>
        <v/>
      </c>
      <c r="BR265" s="11"/>
    </row>
    <row r="266" spans="1:70" ht="15" customHeight="1" x14ac:dyDescent="0.2">
      <c r="A266" s="72"/>
      <c r="B266" s="8"/>
      <c r="C266" s="33"/>
      <c r="D266" s="9" t="str">
        <f t="shared" si="319"/>
        <v/>
      </c>
      <c r="E266" s="9"/>
      <c r="F266" s="9" t="str">
        <f t="shared" si="320"/>
        <v/>
      </c>
      <c r="G266" s="9"/>
      <c r="H266" s="9" t="str">
        <f t="shared" si="321"/>
        <v/>
      </c>
      <c r="I266" s="13"/>
      <c r="J266" s="113" t="str">
        <f t="shared" si="322"/>
        <v/>
      </c>
      <c r="K266" s="34" t="str">
        <f t="shared" si="323"/>
        <v/>
      </c>
      <c r="L266" s="9" t="str">
        <f t="shared" si="324"/>
        <v/>
      </c>
      <c r="M266" s="10" t="str">
        <f t="shared" si="325"/>
        <v/>
      </c>
      <c r="N266" s="11"/>
      <c r="P266" s="72"/>
      <c r="Q266" s="33"/>
      <c r="R266" s="9" t="str">
        <f t="shared" si="326"/>
        <v/>
      </c>
      <c r="S266" s="9"/>
      <c r="T266" s="9" t="str">
        <f t="shared" si="327"/>
        <v/>
      </c>
      <c r="U266" s="9"/>
      <c r="V266" s="9" t="str">
        <f t="shared" si="328"/>
        <v/>
      </c>
      <c r="W266" s="13"/>
      <c r="X266" s="113" t="str">
        <f t="shared" si="329"/>
        <v/>
      </c>
      <c r="Y266" s="34" t="str">
        <f t="shared" si="330"/>
        <v/>
      </c>
      <c r="Z266" s="9" t="str">
        <f t="shared" si="331"/>
        <v/>
      </c>
      <c r="AA266" s="10" t="str">
        <f t="shared" si="332"/>
        <v/>
      </c>
      <c r="AB266" s="11"/>
      <c r="AD266" s="72"/>
      <c r="AE266" s="33"/>
      <c r="AF266" s="9" t="str">
        <f t="shared" si="333"/>
        <v/>
      </c>
      <c r="AG266" s="9"/>
      <c r="AH266" s="9" t="str">
        <f t="shared" si="334"/>
        <v/>
      </c>
      <c r="AI266" s="9"/>
      <c r="AJ266" s="9" t="str">
        <f t="shared" si="335"/>
        <v/>
      </c>
      <c r="AK266" s="13"/>
      <c r="AL266" s="113" t="str">
        <f t="shared" si="336"/>
        <v/>
      </c>
      <c r="AM266" s="34" t="str">
        <f t="shared" si="337"/>
        <v/>
      </c>
      <c r="AN266" s="9" t="str">
        <f t="shared" si="338"/>
        <v/>
      </c>
      <c r="AO266" s="10" t="str">
        <f t="shared" si="339"/>
        <v/>
      </c>
      <c r="AP266" s="11"/>
      <c r="AR266" s="72"/>
      <c r="AS266" s="33"/>
      <c r="AT266" s="9" t="str">
        <f t="shared" si="340"/>
        <v/>
      </c>
      <c r="AU266" s="9"/>
      <c r="AV266" s="9" t="str">
        <f t="shared" si="341"/>
        <v/>
      </c>
      <c r="AW266" s="9"/>
      <c r="AX266" s="9" t="str">
        <f t="shared" si="342"/>
        <v/>
      </c>
      <c r="AY266" s="13"/>
      <c r="AZ266" s="113" t="str">
        <f t="shared" si="343"/>
        <v/>
      </c>
      <c r="BA266" s="34" t="str">
        <f t="shared" si="344"/>
        <v/>
      </c>
      <c r="BB266" s="9" t="str">
        <f t="shared" si="345"/>
        <v/>
      </c>
      <c r="BC266" s="10" t="str">
        <f t="shared" si="346"/>
        <v/>
      </c>
      <c r="BD266" s="11"/>
      <c r="BF266" s="7"/>
      <c r="BG266" s="34"/>
      <c r="BH266" s="9" t="str">
        <f t="shared" si="308"/>
        <v/>
      </c>
      <c r="BI266" s="9"/>
      <c r="BJ266" s="9"/>
      <c r="BK266" s="9"/>
      <c r="BL266" s="9" t="str">
        <f t="shared" si="309"/>
        <v/>
      </c>
      <c r="BM266" s="9"/>
      <c r="BN266" s="9"/>
      <c r="BO266" s="9"/>
      <c r="BP266" s="9" t="str">
        <f t="shared" si="302"/>
        <v/>
      </c>
      <c r="BQ266" s="10" t="str">
        <f t="shared" si="303"/>
        <v/>
      </c>
      <c r="BR266" s="11"/>
    </row>
    <row r="267" spans="1:70" ht="15" customHeight="1" x14ac:dyDescent="0.2">
      <c r="A267" s="72"/>
      <c r="B267" s="8"/>
      <c r="C267" s="38"/>
      <c r="D267" s="9" t="str">
        <f t="shared" si="319"/>
        <v/>
      </c>
      <c r="E267" s="9"/>
      <c r="F267" s="9" t="str">
        <f t="shared" si="320"/>
        <v/>
      </c>
      <c r="G267" s="9"/>
      <c r="H267" s="9" t="str">
        <f t="shared" si="321"/>
        <v/>
      </c>
      <c r="I267" s="13"/>
      <c r="J267" s="113" t="str">
        <f t="shared" si="322"/>
        <v/>
      </c>
      <c r="K267" s="9" t="str">
        <f t="shared" si="323"/>
        <v/>
      </c>
      <c r="L267" s="9" t="str">
        <f t="shared" si="324"/>
        <v/>
      </c>
      <c r="M267" s="10" t="str">
        <f t="shared" si="325"/>
        <v/>
      </c>
      <c r="N267" s="11"/>
      <c r="P267" s="72"/>
      <c r="Q267" s="38"/>
      <c r="R267" s="9" t="str">
        <f t="shared" si="326"/>
        <v/>
      </c>
      <c r="S267" s="9"/>
      <c r="T267" s="9" t="str">
        <f t="shared" si="327"/>
        <v/>
      </c>
      <c r="U267" s="9"/>
      <c r="V267" s="9" t="str">
        <f t="shared" si="328"/>
        <v/>
      </c>
      <c r="W267" s="13"/>
      <c r="X267" s="113" t="str">
        <f t="shared" si="329"/>
        <v/>
      </c>
      <c r="Y267" s="9" t="str">
        <f t="shared" si="330"/>
        <v/>
      </c>
      <c r="Z267" s="9" t="str">
        <f t="shared" si="331"/>
        <v/>
      </c>
      <c r="AA267" s="10" t="str">
        <f t="shared" si="332"/>
        <v/>
      </c>
      <c r="AB267" s="11"/>
      <c r="AD267" s="72"/>
      <c r="AE267" s="38"/>
      <c r="AF267" s="9" t="str">
        <f t="shared" si="333"/>
        <v/>
      </c>
      <c r="AG267" s="9"/>
      <c r="AH267" s="9" t="str">
        <f t="shared" si="334"/>
        <v/>
      </c>
      <c r="AI267" s="9"/>
      <c r="AJ267" s="9" t="str">
        <f t="shared" si="335"/>
        <v/>
      </c>
      <c r="AK267" s="13"/>
      <c r="AL267" s="113" t="str">
        <f t="shared" si="336"/>
        <v/>
      </c>
      <c r="AM267" s="9" t="str">
        <f t="shared" si="337"/>
        <v/>
      </c>
      <c r="AN267" s="9" t="str">
        <f t="shared" si="338"/>
        <v/>
      </c>
      <c r="AO267" s="10" t="str">
        <f t="shared" si="339"/>
        <v/>
      </c>
      <c r="AP267" s="11"/>
      <c r="AR267" s="72"/>
      <c r="AS267" s="38"/>
      <c r="AT267" s="9" t="str">
        <f t="shared" si="340"/>
        <v/>
      </c>
      <c r="AU267" s="9"/>
      <c r="AV267" s="9" t="str">
        <f t="shared" si="341"/>
        <v/>
      </c>
      <c r="AW267" s="9"/>
      <c r="AX267" s="9" t="str">
        <f t="shared" si="342"/>
        <v/>
      </c>
      <c r="AY267" s="13"/>
      <c r="AZ267" s="113" t="str">
        <f t="shared" si="343"/>
        <v/>
      </c>
      <c r="BA267" s="9" t="str">
        <f t="shared" si="344"/>
        <v/>
      </c>
      <c r="BB267" s="9" t="str">
        <f t="shared" si="345"/>
        <v/>
      </c>
      <c r="BC267" s="10" t="str">
        <f t="shared" si="346"/>
        <v/>
      </c>
      <c r="BD267" s="11"/>
      <c r="BF267" s="7"/>
      <c r="BG267" s="34"/>
      <c r="BH267" s="9" t="str">
        <f t="shared" si="308"/>
        <v/>
      </c>
      <c r="BI267" s="9"/>
      <c r="BJ267" s="9"/>
      <c r="BK267" s="9"/>
      <c r="BL267" s="9" t="str">
        <f t="shared" si="309"/>
        <v/>
      </c>
      <c r="BM267" s="9"/>
      <c r="BN267" s="9"/>
      <c r="BO267" s="9"/>
      <c r="BP267" s="9" t="str">
        <f t="shared" si="302"/>
        <v/>
      </c>
      <c r="BQ267" s="10" t="str">
        <f t="shared" si="303"/>
        <v/>
      </c>
      <c r="BR267" s="11"/>
    </row>
    <row r="268" spans="1:70" ht="15" customHeight="1" thickBot="1" x14ac:dyDescent="0.25">
      <c r="A268" s="75"/>
      <c r="B268" s="62"/>
      <c r="C268" s="36"/>
      <c r="D268" s="37" t="str">
        <f t="shared" si="319"/>
        <v/>
      </c>
      <c r="E268" s="17"/>
      <c r="F268" s="17" t="str">
        <f t="shared" si="320"/>
        <v/>
      </c>
      <c r="G268" s="17"/>
      <c r="H268" s="17" t="str">
        <f t="shared" si="321"/>
        <v/>
      </c>
      <c r="I268" s="29"/>
      <c r="J268" s="114" t="str">
        <f t="shared" si="322"/>
        <v/>
      </c>
      <c r="K268" s="37" t="str">
        <f t="shared" si="323"/>
        <v/>
      </c>
      <c r="L268" s="17" t="str">
        <f t="shared" si="324"/>
        <v/>
      </c>
      <c r="M268" s="18" t="str">
        <f t="shared" si="325"/>
        <v/>
      </c>
      <c r="N268" s="11"/>
      <c r="P268" s="75"/>
      <c r="Q268" s="36"/>
      <c r="R268" s="37" t="str">
        <f t="shared" si="326"/>
        <v/>
      </c>
      <c r="S268" s="17"/>
      <c r="T268" s="17" t="str">
        <f t="shared" si="327"/>
        <v/>
      </c>
      <c r="U268" s="17"/>
      <c r="V268" s="17" t="str">
        <f t="shared" si="328"/>
        <v/>
      </c>
      <c r="W268" s="29"/>
      <c r="X268" s="114" t="str">
        <f t="shared" si="329"/>
        <v/>
      </c>
      <c r="Y268" s="37" t="str">
        <f t="shared" si="330"/>
        <v/>
      </c>
      <c r="Z268" s="17" t="str">
        <f t="shared" si="331"/>
        <v/>
      </c>
      <c r="AA268" s="18" t="str">
        <f t="shared" si="332"/>
        <v/>
      </c>
      <c r="AB268" s="11"/>
      <c r="AD268" s="75"/>
      <c r="AE268" s="36"/>
      <c r="AF268" s="37" t="str">
        <f t="shared" si="333"/>
        <v/>
      </c>
      <c r="AG268" s="17"/>
      <c r="AH268" s="17" t="str">
        <f t="shared" si="334"/>
        <v/>
      </c>
      <c r="AI268" s="17"/>
      <c r="AJ268" s="17" t="str">
        <f t="shared" si="335"/>
        <v/>
      </c>
      <c r="AK268" s="29"/>
      <c r="AL268" s="114" t="str">
        <f t="shared" si="336"/>
        <v/>
      </c>
      <c r="AM268" s="37" t="str">
        <f t="shared" si="337"/>
        <v/>
      </c>
      <c r="AN268" s="17" t="str">
        <f t="shared" si="338"/>
        <v/>
      </c>
      <c r="AO268" s="18" t="str">
        <f t="shared" si="339"/>
        <v/>
      </c>
      <c r="AP268" s="11"/>
      <c r="AR268" s="75"/>
      <c r="AS268" s="36"/>
      <c r="AT268" s="37" t="str">
        <f t="shared" si="340"/>
        <v/>
      </c>
      <c r="AU268" s="17"/>
      <c r="AV268" s="17" t="str">
        <f t="shared" si="341"/>
        <v/>
      </c>
      <c r="AW268" s="17"/>
      <c r="AX268" s="17" t="str">
        <f t="shared" si="342"/>
        <v/>
      </c>
      <c r="AY268" s="29"/>
      <c r="AZ268" s="114" t="str">
        <f t="shared" si="343"/>
        <v/>
      </c>
      <c r="BA268" s="37" t="str">
        <f t="shared" si="344"/>
        <v/>
      </c>
      <c r="BB268" s="17" t="str">
        <f t="shared" si="345"/>
        <v/>
      </c>
      <c r="BC268" s="18" t="str">
        <f t="shared" si="346"/>
        <v/>
      </c>
      <c r="BD268" s="11"/>
      <c r="BF268" s="7"/>
      <c r="BG268" s="34"/>
      <c r="BH268" s="9" t="str">
        <f t="shared" si="308"/>
        <v/>
      </c>
      <c r="BI268" s="9"/>
      <c r="BJ268" s="9"/>
      <c r="BK268" s="9"/>
      <c r="BL268" s="9" t="str">
        <f t="shared" si="309"/>
        <v/>
      </c>
      <c r="BM268" s="9"/>
      <c r="BN268" s="9"/>
      <c r="BO268" s="9"/>
      <c r="BP268" s="9" t="str">
        <f t="shared" si="302"/>
        <v/>
      </c>
      <c r="BQ268" s="10" t="str">
        <f t="shared" si="303"/>
        <v/>
      </c>
      <c r="BR268" s="11"/>
    </row>
    <row r="269" spans="1:70" ht="15" customHeight="1" thickTop="1" x14ac:dyDescent="0.2">
      <c r="A269" s="71"/>
      <c r="B269" s="61">
        <f>SUM(D269:D272)+SUM(R269:R272)+SUM(AF269:AF272)+SUM(AT269:AT272)+SUM(BH236)</f>
        <v>0</v>
      </c>
      <c r="C269" s="33"/>
      <c r="D269" s="33" t="str">
        <f t="shared" si="319"/>
        <v/>
      </c>
      <c r="E269" s="33"/>
      <c r="F269" s="20" t="str">
        <f t="shared" si="320"/>
        <v/>
      </c>
      <c r="G269" s="33"/>
      <c r="H269" s="33" t="str">
        <f t="shared" si="321"/>
        <v/>
      </c>
      <c r="I269" s="13"/>
      <c r="J269" s="112" t="str">
        <f t="shared" si="322"/>
        <v/>
      </c>
      <c r="K269" s="40" t="str">
        <f t="shared" si="323"/>
        <v/>
      </c>
      <c r="L269" s="20" t="str">
        <f t="shared" si="324"/>
        <v/>
      </c>
      <c r="M269" s="21" t="str">
        <f t="shared" si="325"/>
        <v/>
      </c>
      <c r="N269" s="11"/>
      <c r="P269" s="76" t="str">
        <f>IF($A$417="","",$A$417)</f>
        <v/>
      </c>
      <c r="Q269" s="33"/>
      <c r="R269" s="33" t="str">
        <f t="shared" si="326"/>
        <v/>
      </c>
      <c r="S269" s="33"/>
      <c r="T269" s="20" t="str">
        <f t="shared" si="327"/>
        <v/>
      </c>
      <c r="U269" s="33"/>
      <c r="V269" s="33" t="str">
        <f t="shared" si="328"/>
        <v/>
      </c>
      <c r="W269" s="13"/>
      <c r="X269" s="112" t="str">
        <f t="shared" si="329"/>
        <v/>
      </c>
      <c r="Y269" s="40" t="str">
        <f t="shared" si="330"/>
        <v/>
      </c>
      <c r="Z269" s="20" t="str">
        <f t="shared" si="331"/>
        <v/>
      </c>
      <c r="AA269" s="21" t="str">
        <f t="shared" si="332"/>
        <v/>
      </c>
      <c r="AB269" s="11"/>
      <c r="AD269" s="76" t="str">
        <f>IF($A$417="","",$A$417)</f>
        <v/>
      </c>
      <c r="AE269" s="33"/>
      <c r="AF269" s="33" t="str">
        <f t="shared" si="333"/>
        <v/>
      </c>
      <c r="AG269" s="33"/>
      <c r="AH269" s="20" t="str">
        <f t="shared" si="334"/>
        <v/>
      </c>
      <c r="AI269" s="33"/>
      <c r="AJ269" s="33" t="str">
        <f t="shared" si="335"/>
        <v/>
      </c>
      <c r="AK269" s="13"/>
      <c r="AL269" s="112" t="str">
        <f t="shared" si="336"/>
        <v/>
      </c>
      <c r="AM269" s="40" t="str">
        <f t="shared" si="337"/>
        <v/>
      </c>
      <c r="AN269" s="20" t="str">
        <f t="shared" si="338"/>
        <v/>
      </c>
      <c r="AO269" s="21" t="str">
        <f t="shared" si="339"/>
        <v/>
      </c>
      <c r="AP269" s="11"/>
      <c r="AR269" s="76" t="str">
        <f>IF($A$417="","",$A$417)</f>
        <v/>
      </c>
      <c r="AS269" s="33"/>
      <c r="AT269" s="33" t="str">
        <f t="shared" si="340"/>
        <v/>
      </c>
      <c r="AU269" s="33"/>
      <c r="AV269" s="20" t="str">
        <f t="shared" si="341"/>
        <v/>
      </c>
      <c r="AW269" s="33"/>
      <c r="AX269" s="33" t="str">
        <f t="shared" si="342"/>
        <v/>
      </c>
      <c r="AY269" s="13"/>
      <c r="AZ269" s="112" t="str">
        <f t="shared" si="343"/>
        <v/>
      </c>
      <c r="BA269" s="40" t="str">
        <f t="shared" si="344"/>
        <v/>
      </c>
      <c r="BB269" s="20" t="str">
        <f t="shared" si="345"/>
        <v/>
      </c>
      <c r="BC269" s="21" t="str">
        <f t="shared" si="346"/>
        <v/>
      </c>
      <c r="BD269" s="11"/>
      <c r="BF269" s="7"/>
      <c r="BG269" s="34"/>
      <c r="BH269" s="9" t="str">
        <f t="shared" si="308"/>
        <v/>
      </c>
      <c r="BI269" s="9"/>
      <c r="BJ269" s="9"/>
      <c r="BK269" s="9"/>
      <c r="BL269" s="9" t="str">
        <f t="shared" si="309"/>
        <v/>
      </c>
      <c r="BM269" s="9"/>
      <c r="BN269" s="9"/>
      <c r="BO269" s="9"/>
      <c r="BP269" s="9" t="str">
        <f t="shared" si="302"/>
        <v/>
      </c>
      <c r="BQ269" s="10" t="str">
        <f t="shared" si="303"/>
        <v/>
      </c>
      <c r="BR269" s="11"/>
    </row>
    <row r="270" spans="1:70" ht="15" customHeight="1" x14ac:dyDescent="0.2">
      <c r="A270" s="72"/>
      <c r="B270" s="8"/>
      <c r="C270" s="9"/>
      <c r="D270" s="9" t="str">
        <f t="shared" si="319"/>
        <v/>
      </c>
      <c r="E270" s="9"/>
      <c r="F270" s="9" t="str">
        <f t="shared" si="320"/>
        <v/>
      </c>
      <c r="G270" s="9"/>
      <c r="H270" s="9" t="str">
        <f t="shared" si="321"/>
        <v/>
      </c>
      <c r="I270" s="13"/>
      <c r="J270" s="113" t="str">
        <f t="shared" si="322"/>
        <v/>
      </c>
      <c r="K270" s="34" t="str">
        <f t="shared" si="323"/>
        <v/>
      </c>
      <c r="L270" s="9" t="str">
        <f t="shared" si="324"/>
        <v/>
      </c>
      <c r="M270" s="10" t="str">
        <f t="shared" si="325"/>
        <v/>
      </c>
      <c r="N270" s="11"/>
      <c r="P270" s="72"/>
      <c r="Q270" s="9"/>
      <c r="R270" s="9" t="str">
        <f t="shared" si="326"/>
        <v/>
      </c>
      <c r="S270" s="9"/>
      <c r="T270" s="9" t="str">
        <f t="shared" si="327"/>
        <v/>
      </c>
      <c r="U270" s="9"/>
      <c r="V270" s="9" t="str">
        <f t="shared" si="328"/>
        <v/>
      </c>
      <c r="W270" s="13"/>
      <c r="X270" s="113" t="str">
        <f t="shared" si="329"/>
        <v/>
      </c>
      <c r="Y270" s="34" t="str">
        <f t="shared" si="330"/>
        <v/>
      </c>
      <c r="Z270" s="9" t="str">
        <f t="shared" si="331"/>
        <v/>
      </c>
      <c r="AA270" s="10" t="str">
        <f t="shared" si="332"/>
        <v/>
      </c>
      <c r="AB270" s="11"/>
      <c r="AD270" s="72"/>
      <c r="AE270" s="9"/>
      <c r="AF270" s="9" t="str">
        <f t="shared" si="333"/>
        <v/>
      </c>
      <c r="AG270" s="9"/>
      <c r="AH270" s="9" t="str">
        <f t="shared" si="334"/>
        <v/>
      </c>
      <c r="AI270" s="9"/>
      <c r="AJ270" s="9" t="str">
        <f t="shared" si="335"/>
        <v/>
      </c>
      <c r="AK270" s="13"/>
      <c r="AL270" s="113" t="str">
        <f t="shared" si="336"/>
        <v/>
      </c>
      <c r="AM270" s="34" t="str">
        <f t="shared" si="337"/>
        <v/>
      </c>
      <c r="AN270" s="9" t="str">
        <f t="shared" si="338"/>
        <v/>
      </c>
      <c r="AO270" s="10" t="str">
        <f t="shared" si="339"/>
        <v/>
      </c>
      <c r="AP270" s="11"/>
      <c r="AR270" s="72"/>
      <c r="AS270" s="9"/>
      <c r="AT270" s="9" t="str">
        <f t="shared" si="340"/>
        <v/>
      </c>
      <c r="AU270" s="9"/>
      <c r="AV270" s="9" t="str">
        <f t="shared" si="341"/>
        <v/>
      </c>
      <c r="AW270" s="9"/>
      <c r="AX270" s="9" t="str">
        <f t="shared" si="342"/>
        <v/>
      </c>
      <c r="AY270" s="13"/>
      <c r="AZ270" s="113" t="str">
        <f t="shared" si="343"/>
        <v/>
      </c>
      <c r="BA270" s="34" t="str">
        <f t="shared" si="344"/>
        <v/>
      </c>
      <c r="BB270" s="9" t="str">
        <f t="shared" si="345"/>
        <v/>
      </c>
      <c r="BC270" s="10" t="str">
        <f t="shared" si="346"/>
        <v/>
      </c>
      <c r="BD270" s="11"/>
      <c r="BF270" s="7"/>
      <c r="BG270" s="34"/>
      <c r="BH270" s="9" t="str">
        <f t="shared" si="308"/>
        <v/>
      </c>
      <c r="BI270" s="9"/>
      <c r="BJ270" s="9"/>
      <c r="BK270" s="9"/>
      <c r="BL270" s="9" t="str">
        <f t="shared" si="309"/>
        <v/>
      </c>
      <c r="BM270" s="9"/>
      <c r="BN270" s="9"/>
      <c r="BO270" s="9"/>
      <c r="BP270" s="9" t="str">
        <f t="shared" si="302"/>
        <v/>
      </c>
      <c r="BQ270" s="10" t="str">
        <f t="shared" si="303"/>
        <v/>
      </c>
      <c r="BR270" s="11"/>
    </row>
    <row r="271" spans="1:70" ht="15" customHeight="1" x14ac:dyDescent="0.2">
      <c r="A271" s="72"/>
      <c r="B271" s="8"/>
      <c r="C271" s="23"/>
      <c r="D271" s="9" t="str">
        <f t="shared" si="319"/>
        <v/>
      </c>
      <c r="E271" s="9"/>
      <c r="F271" s="9" t="str">
        <f t="shared" si="320"/>
        <v/>
      </c>
      <c r="G271" s="23"/>
      <c r="H271" s="9" t="str">
        <f t="shared" si="321"/>
        <v/>
      </c>
      <c r="I271" s="30"/>
      <c r="J271" s="113" t="str">
        <f t="shared" si="322"/>
        <v/>
      </c>
      <c r="K271" s="9" t="str">
        <f t="shared" si="323"/>
        <v/>
      </c>
      <c r="L271" s="9" t="str">
        <f t="shared" si="324"/>
        <v/>
      </c>
      <c r="M271" s="10" t="str">
        <f t="shared" si="325"/>
        <v/>
      </c>
      <c r="N271" s="11"/>
      <c r="P271" s="12"/>
      <c r="Q271" s="23"/>
      <c r="R271" s="9" t="str">
        <f t="shared" si="326"/>
        <v/>
      </c>
      <c r="S271" s="9"/>
      <c r="T271" s="9" t="str">
        <f t="shared" si="327"/>
        <v/>
      </c>
      <c r="U271" s="23"/>
      <c r="V271" s="9" t="str">
        <f t="shared" si="328"/>
        <v/>
      </c>
      <c r="W271" s="13"/>
      <c r="X271" s="113" t="str">
        <f t="shared" si="329"/>
        <v/>
      </c>
      <c r="Y271" s="9" t="str">
        <f t="shared" si="330"/>
        <v/>
      </c>
      <c r="Z271" s="9" t="str">
        <f t="shared" si="331"/>
        <v/>
      </c>
      <c r="AA271" s="10" t="str">
        <f t="shared" si="332"/>
        <v/>
      </c>
      <c r="AB271" s="11"/>
      <c r="AD271" s="12"/>
      <c r="AE271" s="23"/>
      <c r="AF271" s="9" t="str">
        <f t="shared" si="333"/>
        <v/>
      </c>
      <c r="AG271" s="9"/>
      <c r="AH271" s="9" t="str">
        <f t="shared" si="334"/>
        <v/>
      </c>
      <c r="AI271" s="23"/>
      <c r="AJ271" s="9" t="str">
        <f t="shared" si="335"/>
        <v/>
      </c>
      <c r="AK271" s="13"/>
      <c r="AL271" s="113" t="str">
        <f t="shared" si="336"/>
        <v/>
      </c>
      <c r="AM271" s="9" t="str">
        <f t="shared" si="337"/>
        <v/>
      </c>
      <c r="AN271" s="9" t="str">
        <f t="shared" si="338"/>
        <v/>
      </c>
      <c r="AO271" s="10" t="str">
        <f t="shared" si="339"/>
        <v/>
      </c>
      <c r="AP271" s="11"/>
      <c r="AR271" s="12"/>
      <c r="AS271" s="23"/>
      <c r="AT271" s="9" t="str">
        <f t="shared" si="340"/>
        <v/>
      </c>
      <c r="AU271" s="9"/>
      <c r="AV271" s="9" t="str">
        <f t="shared" si="341"/>
        <v/>
      </c>
      <c r="AW271" s="23"/>
      <c r="AX271" s="9" t="str">
        <f t="shared" si="342"/>
        <v/>
      </c>
      <c r="AY271" s="13"/>
      <c r="AZ271" s="113" t="str">
        <f t="shared" si="343"/>
        <v/>
      </c>
      <c r="BA271" s="9" t="str">
        <f t="shared" si="344"/>
        <v/>
      </c>
      <c r="BB271" s="9" t="str">
        <f t="shared" si="345"/>
        <v/>
      </c>
      <c r="BC271" s="10" t="str">
        <f t="shared" si="346"/>
        <v/>
      </c>
      <c r="BD271" s="11"/>
      <c r="BF271" s="7"/>
      <c r="BG271" s="34"/>
      <c r="BH271" s="9" t="str">
        <f t="shared" si="308"/>
        <v/>
      </c>
      <c r="BI271" s="9"/>
      <c r="BJ271" s="9"/>
      <c r="BK271" s="9"/>
      <c r="BL271" s="9" t="str">
        <f t="shared" si="309"/>
        <v/>
      </c>
      <c r="BM271" s="9"/>
      <c r="BN271" s="9"/>
      <c r="BO271" s="9"/>
      <c r="BP271" s="9" t="str">
        <f t="shared" si="302"/>
        <v/>
      </c>
      <c r="BQ271" s="10" t="str">
        <f t="shared" si="303"/>
        <v/>
      </c>
      <c r="BR271" s="11"/>
    </row>
    <row r="272" spans="1:70" ht="15" customHeight="1" thickBot="1" x14ac:dyDescent="0.25">
      <c r="A272" s="75"/>
      <c r="B272" s="67"/>
      <c r="C272" s="17"/>
      <c r="D272" s="37" t="str">
        <f t="shared" si="319"/>
        <v/>
      </c>
      <c r="E272" s="17"/>
      <c r="F272" s="17" t="str">
        <f t="shared" si="320"/>
        <v/>
      </c>
      <c r="G272" s="84"/>
      <c r="H272" s="19" t="str">
        <f t="shared" si="321"/>
        <v/>
      </c>
      <c r="I272" s="85"/>
      <c r="J272" s="115" t="str">
        <f t="shared" si="322"/>
        <v/>
      </c>
      <c r="K272" s="37" t="str">
        <f t="shared" si="323"/>
        <v/>
      </c>
      <c r="L272" s="17" t="str">
        <f t="shared" si="324"/>
        <v/>
      </c>
      <c r="M272" s="18" t="str">
        <f t="shared" si="325"/>
        <v/>
      </c>
      <c r="N272" s="11"/>
      <c r="P272" s="16"/>
      <c r="Q272" s="17"/>
      <c r="R272" s="37" t="str">
        <f t="shared" si="326"/>
        <v/>
      </c>
      <c r="S272" s="17"/>
      <c r="T272" s="17" t="str">
        <f t="shared" si="327"/>
        <v/>
      </c>
      <c r="U272" s="84"/>
      <c r="V272" s="17" t="str">
        <f t="shared" si="328"/>
        <v/>
      </c>
      <c r="W272" s="85"/>
      <c r="X272" s="114" t="str">
        <f t="shared" si="329"/>
        <v/>
      </c>
      <c r="Y272" s="37" t="str">
        <f t="shared" si="330"/>
        <v/>
      </c>
      <c r="Z272" s="17" t="str">
        <f t="shared" si="331"/>
        <v/>
      </c>
      <c r="AA272" s="18" t="str">
        <f t="shared" si="332"/>
        <v/>
      </c>
      <c r="AB272" s="11"/>
      <c r="AD272" s="16"/>
      <c r="AE272" s="17"/>
      <c r="AF272" s="37" t="str">
        <f t="shared" si="333"/>
        <v/>
      </c>
      <c r="AG272" s="17"/>
      <c r="AH272" s="17" t="str">
        <f t="shared" si="334"/>
        <v/>
      </c>
      <c r="AI272" s="84"/>
      <c r="AJ272" s="17" t="str">
        <f t="shared" si="335"/>
        <v/>
      </c>
      <c r="AK272" s="85"/>
      <c r="AL272" s="114" t="str">
        <f t="shared" si="336"/>
        <v/>
      </c>
      <c r="AM272" s="37" t="str">
        <f t="shared" si="337"/>
        <v/>
      </c>
      <c r="AN272" s="17" t="str">
        <f t="shared" si="338"/>
        <v/>
      </c>
      <c r="AO272" s="18" t="str">
        <f t="shared" si="339"/>
        <v/>
      </c>
      <c r="AP272" s="11"/>
      <c r="AR272" s="16"/>
      <c r="AS272" s="17"/>
      <c r="AT272" s="37" t="str">
        <f t="shared" si="340"/>
        <v/>
      </c>
      <c r="AU272" s="17"/>
      <c r="AV272" s="17" t="str">
        <f t="shared" si="341"/>
        <v/>
      </c>
      <c r="AW272" s="84"/>
      <c r="AX272" s="17" t="str">
        <f t="shared" si="342"/>
        <v/>
      </c>
      <c r="AY272" s="85"/>
      <c r="AZ272" s="114" t="str">
        <f t="shared" si="343"/>
        <v/>
      </c>
      <c r="BA272" s="37" t="str">
        <f t="shared" si="344"/>
        <v/>
      </c>
      <c r="BB272" s="17" t="str">
        <f t="shared" si="345"/>
        <v/>
      </c>
      <c r="BC272" s="18" t="str">
        <f t="shared" si="346"/>
        <v/>
      </c>
      <c r="BD272" s="11"/>
      <c r="BF272" s="7"/>
      <c r="BG272" s="34"/>
      <c r="BH272" s="9" t="str">
        <f t="shared" si="308"/>
        <v/>
      </c>
      <c r="BI272" s="9"/>
      <c r="BJ272" s="9"/>
      <c r="BK272" s="9"/>
      <c r="BL272" s="9" t="str">
        <f t="shared" si="309"/>
        <v/>
      </c>
      <c r="BM272" s="9"/>
      <c r="BN272" s="9"/>
      <c r="BO272" s="9"/>
      <c r="BP272" s="9" t="str">
        <f t="shared" si="302"/>
        <v/>
      </c>
      <c r="BQ272" s="10" t="str">
        <f t="shared" si="303"/>
        <v/>
      </c>
      <c r="BR272" s="11"/>
    </row>
    <row r="273" spans="1:70" ht="15" customHeight="1" thickTop="1" x14ac:dyDescent="0.2">
      <c r="A273" s="71"/>
      <c r="B273" s="61">
        <f>SUM(D273:D276)+SUM(R273:R276)+SUM(AF273:AF276)+SUM(AT273:AT276)+SUM(BH237)</f>
        <v>0</v>
      </c>
      <c r="C273" s="33"/>
      <c r="D273" s="33" t="str">
        <f t="shared" si="319"/>
        <v/>
      </c>
      <c r="E273" s="33"/>
      <c r="F273" s="20" t="str">
        <f t="shared" si="320"/>
        <v/>
      </c>
      <c r="G273" s="33"/>
      <c r="H273" s="33" t="str">
        <f t="shared" si="321"/>
        <v/>
      </c>
      <c r="I273" s="33"/>
      <c r="J273" s="112" t="str">
        <f t="shared" si="322"/>
        <v/>
      </c>
      <c r="K273" s="40" t="str">
        <f t="shared" si="323"/>
        <v/>
      </c>
      <c r="L273" s="20" t="str">
        <f t="shared" si="324"/>
        <v/>
      </c>
      <c r="M273" s="21" t="str">
        <f t="shared" si="325"/>
        <v/>
      </c>
      <c r="N273" s="11"/>
      <c r="P273" s="47" t="str">
        <f>IF($A$421="","",$A$421)</f>
        <v/>
      </c>
      <c r="Q273" s="33"/>
      <c r="R273" s="33" t="str">
        <f t="shared" si="326"/>
        <v/>
      </c>
      <c r="S273" s="33"/>
      <c r="T273" s="20" t="str">
        <f t="shared" si="327"/>
        <v/>
      </c>
      <c r="U273" s="33"/>
      <c r="V273" s="33" t="str">
        <f t="shared" si="328"/>
        <v/>
      </c>
      <c r="W273" s="33"/>
      <c r="X273" s="112" t="str">
        <f t="shared" si="329"/>
        <v/>
      </c>
      <c r="Y273" s="40" t="str">
        <f t="shared" si="330"/>
        <v/>
      </c>
      <c r="Z273" s="20" t="str">
        <f t="shared" si="331"/>
        <v/>
      </c>
      <c r="AA273" s="21" t="str">
        <f t="shared" si="332"/>
        <v/>
      </c>
      <c r="AB273" s="11"/>
      <c r="AD273" s="47" t="str">
        <f>IF($A$421="","",$A$421)</f>
        <v/>
      </c>
      <c r="AE273" s="33"/>
      <c r="AF273" s="33" t="str">
        <f t="shared" si="333"/>
        <v/>
      </c>
      <c r="AG273" s="33"/>
      <c r="AH273" s="20" t="str">
        <f t="shared" si="334"/>
        <v/>
      </c>
      <c r="AI273" s="33"/>
      <c r="AJ273" s="33" t="str">
        <f t="shared" si="335"/>
        <v/>
      </c>
      <c r="AK273" s="33"/>
      <c r="AL273" s="112" t="str">
        <f t="shared" si="336"/>
        <v/>
      </c>
      <c r="AM273" s="40" t="str">
        <f t="shared" si="337"/>
        <v/>
      </c>
      <c r="AN273" s="20" t="str">
        <f t="shared" si="338"/>
        <v/>
      </c>
      <c r="AO273" s="21" t="str">
        <f t="shared" si="339"/>
        <v/>
      </c>
      <c r="AP273" s="11"/>
      <c r="AR273" s="47" t="str">
        <f>IF($A$421="","",$A$421)</f>
        <v/>
      </c>
      <c r="AS273" s="33"/>
      <c r="AT273" s="33" t="str">
        <f t="shared" si="340"/>
        <v/>
      </c>
      <c r="AU273" s="33"/>
      <c r="AV273" s="20" t="str">
        <f t="shared" si="341"/>
        <v/>
      </c>
      <c r="AW273" s="33"/>
      <c r="AX273" s="33" t="str">
        <f t="shared" si="342"/>
        <v/>
      </c>
      <c r="AY273" s="33"/>
      <c r="AZ273" s="112" t="str">
        <f t="shared" si="343"/>
        <v/>
      </c>
      <c r="BA273" s="40" t="str">
        <f t="shared" si="344"/>
        <v/>
      </c>
      <c r="BB273" s="20" t="str">
        <f t="shared" si="345"/>
        <v/>
      </c>
      <c r="BC273" s="21" t="str">
        <f t="shared" si="346"/>
        <v/>
      </c>
      <c r="BD273" s="11"/>
      <c r="BF273" s="7"/>
      <c r="BG273" s="34"/>
      <c r="BH273" s="9"/>
      <c r="BI273" s="9"/>
      <c r="BJ273" s="9"/>
      <c r="BK273" s="9"/>
      <c r="BL273" s="9"/>
      <c r="BM273" s="9"/>
      <c r="BN273" s="9"/>
      <c r="BO273" s="9"/>
      <c r="BP273" s="9"/>
      <c r="BQ273" s="10"/>
      <c r="BR273" s="11"/>
    </row>
    <row r="274" spans="1:70" ht="15" customHeight="1" x14ac:dyDescent="0.2">
      <c r="A274" s="72"/>
      <c r="B274" s="8"/>
      <c r="C274" s="9"/>
      <c r="D274" s="9" t="str">
        <f t="shared" si="319"/>
        <v/>
      </c>
      <c r="E274" s="9"/>
      <c r="F274" s="9" t="str">
        <f t="shared" si="320"/>
        <v/>
      </c>
      <c r="G274" s="9"/>
      <c r="H274" s="9" t="str">
        <f t="shared" si="321"/>
        <v/>
      </c>
      <c r="I274" s="9"/>
      <c r="J274" s="113" t="str">
        <f t="shared" si="322"/>
        <v/>
      </c>
      <c r="K274" s="34" t="str">
        <f t="shared" si="323"/>
        <v/>
      </c>
      <c r="L274" s="9" t="str">
        <f t="shared" si="324"/>
        <v/>
      </c>
      <c r="M274" s="10" t="str">
        <f t="shared" si="325"/>
        <v/>
      </c>
      <c r="N274" s="11"/>
      <c r="P274" s="12"/>
      <c r="Q274" s="9"/>
      <c r="R274" s="9" t="str">
        <f t="shared" si="326"/>
        <v/>
      </c>
      <c r="S274" s="9"/>
      <c r="T274" s="9" t="str">
        <f t="shared" si="327"/>
        <v/>
      </c>
      <c r="U274" s="9"/>
      <c r="V274" s="9" t="str">
        <f t="shared" si="328"/>
        <v/>
      </c>
      <c r="W274" s="9"/>
      <c r="X274" s="113" t="str">
        <f t="shared" si="329"/>
        <v/>
      </c>
      <c r="Y274" s="34" t="str">
        <f t="shared" si="330"/>
        <v/>
      </c>
      <c r="Z274" s="9" t="str">
        <f t="shared" si="331"/>
        <v/>
      </c>
      <c r="AA274" s="10" t="str">
        <f t="shared" si="332"/>
        <v/>
      </c>
      <c r="AB274" s="11"/>
      <c r="AD274" s="12"/>
      <c r="AE274" s="9"/>
      <c r="AF274" s="9" t="str">
        <f t="shared" si="333"/>
        <v/>
      </c>
      <c r="AG274" s="9"/>
      <c r="AH274" s="9" t="str">
        <f t="shared" si="334"/>
        <v/>
      </c>
      <c r="AI274" s="9"/>
      <c r="AJ274" s="9" t="str">
        <f t="shared" si="335"/>
        <v/>
      </c>
      <c r="AK274" s="9"/>
      <c r="AL274" s="113" t="str">
        <f t="shared" si="336"/>
        <v/>
      </c>
      <c r="AM274" s="34" t="str">
        <f t="shared" si="337"/>
        <v/>
      </c>
      <c r="AN274" s="9" t="str">
        <f t="shared" si="338"/>
        <v/>
      </c>
      <c r="AO274" s="10" t="str">
        <f t="shared" si="339"/>
        <v/>
      </c>
      <c r="AP274" s="11"/>
      <c r="AR274" s="12"/>
      <c r="AS274" s="9"/>
      <c r="AT274" s="9" t="str">
        <f t="shared" si="340"/>
        <v/>
      </c>
      <c r="AU274" s="9"/>
      <c r="AV274" s="9" t="str">
        <f t="shared" si="341"/>
        <v/>
      </c>
      <c r="AW274" s="9"/>
      <c r="AX274" s="9" t="str">
        <f t="shared" si="342"/>
        <v/>
      </c>
      <c r="AY274" s="9"/>
      <c r="AZ274" s="113" t="str">
        <f t="shared" si="343"/>
        <v/>
      </c>
      <c r="BA274" s="34" t="str">
        <f t="shared" si="344"/>
        <v/>
      </c>
      <c r="BB274" s="9" t="str">
        <f t="shared" si="345"/>
        <v/>
      </c>
      <c r="BC274" s="10" t="str">
        <f t="shared" si="346"/>
        <v/>
      </c>
      <c r="BD274" s="11"/>
      <c r="BF274" s="7"/>
      <c r="BG274" s="34"/>
      <c r="BH274" s="9" t="str">
        <f>IF(BG274="","",BG274-#REF!)</f>
        <v/>
      </c>
      <c r="BI274" s="9"/>
      <c r="BJ274" s="9"/>
      <c r="BK274" s="9"/>
      <c r="BL274" s="9" t="str">
        <f>IF(BK274="","",#REF!+#REF!-BK274)</f>
        <v/>
      </c>
      <c r="BM274" s="9"/>
      <c r="BN274" s="9"/>
      <c r="BO274" s="9"/>
      <c r="BP274" s="9" t="str">
        <f>IF(BO274="","",BL274*BO274)</f>
        <v/>
      </c>
      <c r="BQ274" s="10" t="str">
        <f>IF(BP274="","",BP274/(BH274*100))</f>
        <v/>
      </c>
      <c r="BR274" s="11"/>
    </row>
    <row r="275" spans="1:70" ht="15" customHeight="1" x14ac:dyDescent="0.2">
      <c r="A275" s="72"/>
      <c r="B275" s="8"/>
      <c r="C275" s="9"/>
      <c r="D275" s="9" t="str">
        <f t="shared" si="319"/>
        <v/>
      </c>
      <c r="E275" s="9"/>
      <c r="F275" s="9" t="str">
        <f t="shared" si="320"/>
        <v/>
      </c>
      <c r="G275" s="9"/>
      <c r="H275" s="9" t="str">
        <f t="shared" si="321"/>
        <v/>
      </c>
      <c r="I275" s="9"/>
      <c r="J275" s="113" t="str">
        <f t="shared" si="322"/>
        <v/>
      </c>
      <c r="K275" s="9" t="str">
        <f t="shared" si="323"/>
        <v/>
      </c>
      <c r="L275" s="9" t="str">
        <f t="shared" si="324"/>
        <v/>
      </c>
      <c r="M275" s="10" t="str">
        <f t="shared" si="325"/>
        <v/>
      </c>
      <c r="N275" s="11"/>
      <c r="P275" s="12"/>
      <c r="Q275" s="9"/>
      <c r="R275" s="9" t="str">
        <f t="shared" si="326"/>
        <v/>
      </c>
      <c r="S275" s="9"/>
      <c r="T275" s="9" t="str">
        <f t="shared" si="327"/>
        <v/>
      </c>
      <c r="U275" s="9"/>
      <c r="V275" s="9" t="str">
        <f t="shared" si="328"/>
        <v/>
      </c>
      <c r="W275" s="9"/>
      <c r="X275" s="113" t="str">
        <f t="shared" si="329"/>
        <v/>
      </c>
      <c r="Y275" s="9" t="str">
        <f t="shared" si="330"/>
        <v/>
      </c>
      <c r="Z275" s="9" t="str">
        <f t="shared" si="331"/>
        <v/>
      </c>
      <c r="AA275" s="10" t="str">
        <f t="shared" si="332"/>
        <v/>
      </c>
      <c r="AB275" s="11"/>
      <c r="AD275" s="12"/>
      <c r="AE275" s="9"/>
      <c r="AF275" s="9" t="str">
        <f t="shared" si="333"/>
        <v/>
      </c>
      <c r="AG275" s="9"/>
      <c r="AH275" s="9" t="str">
        <f t="shared" si="334"/>
        <v/>
      </c>
      <c r="AI275" s="9"/>
      <c r="AJ275" s="9" t="str">
        <f t="shared" si="335"/>
        <v/>
      </c>
      <c r="AK275" s="9"/>
      <c r="AL275" s="113" t="str">
        <f t="shared" si="336"/>
        <v/>
      </c>
      <c r="AM275" s="9" t="str">
        <f t="shared" si="337"/>
        <v/>
      </c>
      <c r="AN275" s="9" t="str">
        <f t="shared" si="338"/>
        <v/>
      </c>
      <c r="AO275" s="10" t="str">
        <f t="shared" si="339"/>
        <v/>
      </c>
      <c r="AP275" s="11"/>
      <c r="AR275" s="12"/>
      <c r="AS275" s="9"/>
      <c r="AT275" s="9" t="str">
        <f t="shared" si="340"/>
        <v/>
      </c>
      <c r="AU275" s="9"/>
      <c r="AV275" s="9" t="str">
        <f t="shared" si="341"/>
        <v/>
      </c>
      <c r="AW275" s="9"/>
      <c r="AX275" s="9" t="str">
        <f t="shared" si="342"/>
        <v/>
      </c>
      <c r="AY275" s="9"/>
      <c r="AZ275" s="113" t="str">
        <f t="shared" si="343"/>
        <v/>
      </c>
      <c r="BA275" s="9" t="str">
        <f t="shared" si="344"/>
        <v/>
      </c>
      <c r="BB275" s="9" t="str">
        <f t="shared" si="345"/>
        <v/>
      </c>
      <c r="BC275" s="10" t="str">
        <f t="shared" si="346"/>
        <v/>
      </c>
      <c r="BD275" s="11"/>
      <c r="BF275" s="7"/>
      <c r="BG275" s="34"/>
      <c r="BH275" s="9" t="str">
        <f>IF(BG275="","",BG275-BG274)</f>
        <v/>
      </c>
      <c r="BI275" s="9"/>
      <c r="BJ275" s="9"/>
      <c r="BK275" s="9"/>
      <c r="BL275" s="9" t="str">
        <f>IF(BK275="","",BK274+BM274-BK275)</f>
        <v/>
      </c>
      <c r="BM275" s="9"/>
      <c r="BN275" s="9"/>
      <c r="BO275" s="9"/>
      <c r="BP275" s="9" t="str">
        <f>IF(BO275="","",BL275*BO275)</f>
        <v/>
      </c>
      <c r="BQ275" s="10" t="str">
        <f>IF(BP275="","",BP275/(BH275*100))</f>
        <v/>
      </c>
      <c r="BR275" s="11"/>
    </row>
    <row r="276" spans="1:70" ht="15" customHeight="1" thickBot="1" x14ac:dyDescent="0.25">
      <c r="A276" s="75"/>
      <c r="B276" s="67"/>
      <c r="C276" s="17"/>
      <c r="D276" s="17" t="str">
        <f t="shared" si="319"/>
        <v/>
      </c>
      <c r="E276" s="17"/>
      <c r="F276" s="17" t="str">
        <f t="shared" si="320"/>
        <v/>
      </c>
      <c r="G276" s="17"/>
      <c r="H276" s="17"/>
      <c r="I276" s="17"/>
      <c r="J276" s="114" t="str">
        <f t="shared" si="322"/>
        <v/>
      </c>
      <c r="K276" s="37" t="str">
        <f t="shared" si="323"/>
        <v/>
      </c>
      <c r="L276" s="17" t="str">
        <f t="shared" si="324"/>
        <v/>
      </c>
      <c r="M276" s="18" t="str">
        <f t="shared" si="325"/>
        <v/>
      </c>
      <c r="N276" s="11"/>
      <c r="P276" s="16"/>
      <c r="Q276" s="17"/>
      <c r="R276" s="17" t="str">
        <f t="shared" si="326"/>
        <v/>
      </c>
      <c r="S276" s="17"/>
      <c r="T276" s="17" t="str">
        <f t="shared" si="327"/>
        <v/>
      </c>
      <c r="U276" s="17"/>
      <c r="V276" s="17" t="str">
        <f t="shared" si="328"/>
        <v/>
      </c>
      <c r="W276" s="17"/>
      <c r="X276" s="114" t="str">
        <f t="shared" si="329"/>
        <v/>
      </c>
      <c r="Y276" s="37" t="str">
        <f t="shared" si="330"/>
        <v/>
      </c>
      <c r="Z276" s="17" t="str">
        <f t="shared" si="331"/>
        <v/>
      </c>
      <c r="AA276" s="18" t="str">
        <f t="shared" si="332"/>
        <v/>
      </c>
      <c r="AB276" s="11"/>
      <c r="AD276" s="16"/>
      <c r="AE276" s="17"/>
      <c r="AF276" s="17" t="str">
        <f t="shared" si="333"/>
        <v/>
      </c>
      <c r="AG276" s="17"/>
      <c r="AH276" s="17" t="str">
        <f t="shared" si="334"/>
        <v/>
      </c>
      <c r="AI276" s="17"/>
      <c r="AJ276" s="17" t="str">
        <f t="shared" si="335"/>
        <v/>
      </c>
      <c r="AK276" s="17"/>
      <c r="AL276" s="114" t="str">
        <f t="shared" si="336"/>
        <v/>
      </c>
      <c r="AM276" s="37" t="str">
        <f t="shared" si="337"/>
        <v/>
      </c>
      <c r="AN276" s="17" t="str">
        <f t="shared" si="338"/>
        <v/>
      </c>
      <c r="AO276" s="18" t="str">
        <f t="shared" si="339"/>
        <v/>
      </c>
      <c r="AP276" s="11"/>
      <c r="AR276" s="16"/>
      <c r="AS276" s="17"/>
      <c r="AT276" s="17" t="str">
        <f t="shared" si="340"/>
        <v/>
      </c>
      <c r="AU276" s="17"/>
      <c r="AV276" s="17" t="str">
        <f t="shared" si="341"/>
        <v/>
      </c>
      <c r="AW276" s="17"/>
      <c r="AX276" s="17" t="str">
        <f t="shared" si="342"/>
        <v/>
      </c>
      <c r="AY276" s="17"/>
      <c r="AZ276" s="114" t="str">
        <f t="shared" si="343"/>
        <v/>
      </c>
      <c r="BA276" s="37" t="str">
        <f t="shared" si="344"/>
        <v/>
      </c>
      <c r="BB276" s="17" t="str">
        <f t="shared" si="345"/>
        <v/>
      </c>
      <c r="BC276" s="18" t="str">
        <f t="shared" si="346"/>
        <v/>
      </c>
      <c r="BD276" s="11"/>
      <c r="BF276" s="7"/>
      <c r="BG276" s="34"/>
      <c r="BH276" s="9" t="str">
        <f>IF(BG276="","",BG276-BG275)</f>
        <v/>
      </c>
      <c r="BI276" s="9"/>
      <c r="BJ276" s="9"/>
      <c r="BK276" s="9"/>
      <c r="BL276" s="9" t="str">
        <f>IF(BK276="","",BK275+BM275-BK276)</f>
        <v/>
      </c>
      <c r="BM276" s="9"/>
      <c r="BN276" s="9"/>
      <c r="BO276" s="9"/>
      <c r="BP276" s="9" t="str">
        <f>IF(BO276="","",BL276*BO276)</f>
        <v/>
      </c>
      <c r="BQ276" s="10" t="str">
        <f>IF(BP276="","",BP276/(BH276*100))</f>
        <v/>
      </c>
      <c r="BR276" s="11"/>
    </row>
    <row r="277" spans="1:70" ht="15" customHeight="1" thickTop="1" x14ac:dyDescent="0.2">
      <c r="A277" s="71"/>
      <c r="B277" s="61">
        <f>SUM(D277:D280)+SUM(R277:R280)+SUM(AF277:AF280)+SUM(AT277:AT280)+SUM(BH238)</f>
        <v>0</v>
      </c>
      <c r="C277" s="33"/>
      <c r="D277" s="33" t="str">
        <f t="shared" si="319"/>
        <v/>
      </c>
      <c r="E277" s="33"/>
      <c r="F277" s="33" t="str">
        <f t="shared" si="320"/>
        <v/>
      </c>
      <c r="G277" s="33"/>
      <c r="H277" s="33" t="str">
        <f>IF(G277="","",G273+I273-G277)</f>
        <v/>
      </c>
      <c r="I277" s="33"/>
      <c r="J277" s="112" t="str">
        <f t="shared" si="322"/>
        <v/>
      </c>
      <c r="K277" s="33" t="str">
        <f t="shared" si="323"/>
        <v/>
      </c>
      <c r="L277" s="33" t="str">
        <f t="shared" si="324"/>
        <v/>
      </c>
      <c r="M277" s="33" t="str">
        <f t="shared" si="325"/>
        <v/>
      </c>
      <c r="N277" s="11"/>
      <c r="P277" s="47" t="str">
        <f>IF($A$425="","",$A$425)</f>
        <v/>
      </c>
      <c r="Q277" s="33"/>
      <c r="R277" s="33" t="str">
        <f t="shared" si="326"/>
        <v/>
      </c>
      <c r="S277" s="33"/>
      <c r="T277" s="33" t="str">
        <f t="shared" si="327"/>
        <v/>
      </c>
      <c r="U277" s="33"/>
      <c r="V277" s="33" t="str">
        <f t="shared" si="328"/>
        <v/>
      </c>
      <c r="W277" s="33"/>
      <c r="X277" s="112" t="str">
        <f t="shared" si="329"/>
        <v/>
      </c>
      <c r="Y277" s="33" t="str">
        <f t="shared" si="330"/>
        <v/>
      </c>
      <c r="Z277" s="33" t="str">
        <f t="shared" si="331"/>
        <v/>
      </c>
      <c r="AA277" s="33" t="str">
        <f t="shared" si="332"/>
        <v/>
      </c>
      <c r="AB277" s="11"/>
      <c r="AD277" s="47" t="str">
        <f>IF($A$425="","",$A$425)</f>
        <v/>
      </c>
      <c r="AE277" s="33"/>
      <c r="AF277" s="33" t="str">
        <f t="shared" si="333"/>
        <v/>
      </c>
      <c r="AG277" s="33"/>
      <c r="AH277" s="33" t="str">
        <f t="shared" si="334"/>
        <v/>
      </c>
      <c r="AI277" s="33"/>
      <c r="AJ277" s="33" t="str">
        <f t="shared" si="335"/>
        <v/>
      </c>
      <c r="AK277" s="33"/>
      <c r="AL277" s="112" t="str">
        <f t="shared" si="336"/>
        <v/>
      </c>
      <c r="AM277" s="33" t="str">
        <f t="shared" si="337"/>
        <v/>
      </c>
      <c r="AN277" s="33" t="str">
        <f t="shared" si="338"/>
        <v/>
      </c>
      <c r="AO277" s="33" t="str">
        <f t="shared" si="339"/>
        <v/>
      </c>
      <c r="AP277" s="11"/>
      <c r="AR277" s="47" t="str">
        <f>IF($A$425="","",$A$425)</f>
        <v/>
      </c>
      <c r="AS277" s="33"/>
      <c r="AT277" s="33" t="str">
        <f t="shared" si="340"/>
        <v/>
      </c>
      <c r="AU277" s="33"/>
      <c r="AV277" s="33" t="str">
        <f t="shared" si="341"/>
        <v/>
      </c>
      <c r="AW277" s="33"/>
      <c r="AX277" s="33" t="str">
        <f t="shared" si="342"/>
        <v/>
      </c>
      <c r="AY277" s="33"/>
      <c r="AZ277" s="112" t="str">
        <f t="shared" si="343"/>
        <v/>
      </c>
      <c r="BA277" s="33" t="str">
        <f t="shared" si="344"/>
        <v/>
      </c>
      <c r="BB277" s="33" t="str">
        <f t="shared" si="345"/>
        <v/>
      </c>
      <c r="BC277" s="33" t="str">
        <f t="shared" si="346"/>
        <v/>
      </c>
      <c r="BD277" s="11"/>
      <c r="BF277" s="7"/>
      <c r="BG277" s="34"/>
      <c r="BH277" s="9"/>
      <c r="BI277" s="9"/>
      <c r="BJ277" s="9"/>
      <c r="BK277" s="9"/>
      <c r="BL277" s="9" t="str">
        <f>IF(BK277="","",BK276+BM276-BK277)</f>
        <v/>
      </c>
      <c r="BM277" s="9"/>
      <c r="BN277" s="9"/>
      <c r="BO277" s="9"/>
      <c r="BP277" s="9" t="str">
        <f>IF(BO277="","",BL277*BO277)</f>
        <v/>
      </c>
      <c r="BQ277" s="10" t="str">
        <f>IF(BP277="","",BP277/(BH277*100))</f>
        <v/>
      </c>
      <c r="BR277" s="11"/>
    </row>
    <row r="278" spans="1:70" ht="15" customHeight="1" x14ac:dyDescent="0.2">
      <c r="A278" s="71"/>
      <c r="B278" s="61"/>
      <c r="C278" s="33"/>
      <c r="D278" s="33" t="str">
        <f t="shared" si="319"/>
        <v/>
      </c>
      <c r="E278" s="33"/>
      <c r="F278" s="33" t="str">
        <f t="shared" si="320"/>
        <v/>
      </c>
      <c r="G278" s="33"/>
      <c r="H278" s="33" t="str">
        <f>IF(G278="","",G274+I274-G278)</f>
        <v/>
      </c>
      <c r="I278" s="33"/>
      <c r="J278" s="112" t="str">
        <f t="shared" si="322"/>
        <v/>
      </c>
      <c r="K278" s="33" t="str">
        <f t="shared" si="323"/>
        <v/>
      </c>
      <c r="L278" s="33" t="str">
        <f t="shared" si="324"/>
        <v/>
      </c>
      <c r="M278" s="33" t="str">
        <f t="shared" si="325"/>
        <v/>
      </c>
      <c r="N278" s="11"/>
      <c r="P278" s="42"/>
      <c r="Q278" s="33"/>
      <c r="R278" s="33" t="str">
        <f t="shared" si="326"/>
        <v/>
      </c>
      <c r="S278" s="33"/>
      <c r="T278" s="33" t="str">
        <f t="shared" si="327"/>
        <v/>
      </c>
      <c r="U278" s="33"/>
      <c r="V278" s="33" t="str">
        <f t="shared" si="328"/>
        <v/>
      </c>
      <c r="W278" s="33"/>
      <c r="X278" s="112" t="str">
        <f t="shared" si="329"/>
        <v/>
      </c>
      <c r="Y278" s="33" t="str">
        <f t="shared" si="330"/>
        <v/>
      </c>
      <c r="Z278" s="33" t="str">
        <f t="shared" si="331"/>
        <v/>
      </c>
      <c r="AA278" s="33" t="str">
        <f t="shared" si="332"/>
        <v/>
      </c>
      <c r="AB278" s="11"/>
      <c r="AD278" s="42"/>
      <c r="AE278" s="33"/>
      <c r="AF278" s="33" t="str">
        <f t="shared" si="333"/>
        <v/>
      </c>
      <c r="AG278" s="33"/>
      <c r="AH278" s="33" t="str">
        <f t="shared" si="334"/>
        <v/>
      </c>
      <c r="AI278" s="33"/>
      <c r="AJ278" s="33" t="str">
        <f t="shared" si="335"/>
        <v/>
      </c>
      <c r="AK278" s="33"/>
      <c r="AL278" s="112" t="str">
        <f t="shared" si="336"/>
        <v/>
      </c>
      <c r="AM278" s="33" t="str">
        <f t="shared" si="337"/>
        <v/>
      </c>
      <c r="AN278" s="33" t="str">
        <f t="shared" si="338"/>
        <v/>
      </c>
      <c r="AO278" s="33" t="str">
        <f t="shared" si="339"/>
        <v/>
      </c>
      <c r="AP278" s="11"/>
      <c r="AR278" s="42"/>
      <c r="AS278" s="33"/>
      <c r="AT278" s="33" t="str">
        <f t="shared" si="340"/>
        <v/>
      </c>
      <c r="AU278" s="33"/>
      <c r="AV278" s="33" t="str">
        <f t="shared" si="341"/>
        <v/>
      </c>
      <c r="AW278" s="33"/>
      <c r="AX278" s="33" t="str">
        <f t="shared" si="342"/>
        <v/>
      </c>
      <c r="AY278" s="33"/>
      <c r="AZ278" s="112" t="str">
        <f t="shared" si="343"/>
        <v/>
      </c>
      <c r="BA278" s="33" t="str">
        <f t="shared" si="344"/>
        <v/>
      </c>
      <c r="BB278" s="33" t="str">
        <f t="shared" si="345"/>
        <v/>
      </c>
      <c r="BC278" s="33" t="str">
        <f t="shared" si="346"/>
        <v/>
      </c>
      <c r="BD278" s="11"/>
      <c r="BF278" s="7"/>
      <c r="BG278" s="34"/>
      <c r="BH278" s="9"/>
      <c r="BI278" s="9"/>
      <c r="BJ278" s="9"/>
      <c r="BK278" s="9"/>
      <c r="BL278" s="9"/>
      <c r="BM278" s="9"/>
      <c r="BN278" s="9"/>
      <c r="BO278" s="9"/>
      <c r="BP278" s="9"/>
      <c r="BQ278" s="10"/>
      <c r="BR278" s="11"/>
    </row>
    <row r="279" spans="1:70" ht="15" customHeight="1" x14ac:dyDescent="0.2">
      <c r="A279" s="4"/>
      <c r="B279" s="64"/>
      <c r="C279" s="38"/>
      <c r="D279" s="38" t="str">
        <f t="shared" si="319"/>
        <v/>
      </c>
      <c r="E279" s="38"/>
      <c r="F279" s="38" t="str">
        <f t="shared" si="320"/>
        <v/>
      </c>
      <c r="G279" s="38"/>
      <c r="H279" s="38" t="str">
        <f>IF(G279="","",G275+I275-G279)</f>
        <v/>
      </c>
      <c r="I279" s="38"/>
      <c r="J279" s="116" t="str">
        <f t="shared" si="322"/>
        <v/>
      </c>
      <c r="K279" s="38" t="str">
        <f t="shared" si="323"/>
        <v/>
      </c>
      <c r="L279" s="38" t="str">
        <f t="shared" si="324"/>
        <v/>
      </c>
      <c r="M279" s="38" t="str">
        <f t="shared" si="325"/>
        <v/>
      </c>
      <c r="N279" s="26"/>
      <c r="P279" s="53"/>
      <c r="Q279" s="38"/>
      <c r="R279" s="38" t="str">
        <f t="shared" si="326"/>
        <v/>
      </c>
      <c r="S279" s="38"/>
      <c r="T279" s="38" t="str">
        <f t="shared" si="327"/>
        <v/>
      </c>
      <c r="U279" s="38"/>
      <c r="V279" s="38" t="str">
        <f t="shared" si="328"/>
        <v/>
      </c>
      <c r="W279" s="38"/>
      <c r="X279" s="116" t="str">
        <f t="shared" si="329"/>
        <v/>
      </c>
      <c r="Y279" s="38" t="str">
        <f t="shared" si="330"/>
        <v/>
      </c>
      <c r="Z279" s="38" t="str">
        <f t="shared" si="331"/>
        <v/>
      </c>
      <c r="AA279" s="38" t="str">
        <f t="shared" si="332"/>
        <v/>
      </c>
      <c r="AB279" s="26"/>
      <c r="AD279" s="53"/>
      <c r="AE279" s="38"/>
      <c r="AF279" s="38" t="str">
        <f t="shared" si="333"/>
        <v/>
      </c>
      <c r="AG279" s="38"/>
      <c r="AH279" s="38" t="str">
        <f t="shared" si="334"/>
        <v/>
      </c>
      <c r="AI279" s="38"/>
      <c r="AJ279" s="38" t="str">
        <f t="shared" si="335"/>
        <v/>
      </c>
      <c r="AK279" s="38"/>
      <c r="AL279" s="116" t="str">
        <f t="shared" si="336"/>
        <v/>
      </c>
      <c r="AM279" s="38" t="str">
        <f t="shared" si="337"/>
        <v/>
      </c>
      <c r="AN279" s="38" t="str">
        <f t="shared" si="338"/>
        <v/>
      </c>
      <c r="AO279" s="38" t="str">
        <f t="shared" si="339"/>
        <v/>
      </c>
      <c r="AP279" s="26"/>
      <c r="AR279" s="53"/>
      <c r="AS279" s="38"/>
      <c r="AT279" s="38" t="str">
        <f t="shared" si="340"/>
        <v/>
      </c>
      <c r="AU279" s="38"/>
      <c r="AV279" s="38" t="str">
        <f t="shared" si="341"/>
        <v/>
      </c>
      <c r="AW279" s="38"/>
      <c r="AX279" s="38" t="str">
        <f t="shared" si="342"/>
        <v/>
      </c>
      <c r="AY279" s="38"/>
      <c r="AZ279" s="116" t="str">
        <f t="shared" si="343"/>
        <v/>
      </c>
      <c r="BA279" s="38" t="str">
        <f t="shared" si="344"/>
        <v/>
      </c>
      <c r="BB279" s="38" t="str">
        <f t="shared" si="345"/>
        <v/>
      </c>
      <c r="BC279" s="38" t="str">
        <f t="shared" si="346"/>
        <v/>
      </c>
      <c r="BD279" s="26"/>
      <c r="BF279" s="7"/>
      <c r="BG279" s="34"/>
      <c r="BH279" s="9"/>
      <c r="BI279" s="9"/>
      <c r="BJ279" s="9"/>
      <c r="BK279" s="9"/>
      <c r="BL279" s="9"/>
      <c r="BM279" s="9"/>
      <c r="BN279" s="9"/>
      <c r="BO279" s="9"/>
      <c r="BP279" s="9"/>
      <c r="BQ279" s="10"/>
      <c r="BR279" s="11"/>
    </row>
    <row r="280" spans="1:70" ht="15" customHeight="1" thickBot="1" x14ac:dyDescent="0.25">
      <c r="A280" s="58"/>
      <c r="B280" s="65"/>
      <c r="C280" s="36"/>
      <c r="D280" s="36" t="str">
        <f t="shared" si="319"/>
        <v/>
      </c>
      <c r="E280" s="36"/>
      <c r="F280" s="36" t="str">
        <f t="shared" si="320"/>
        <v/>
      </c>
      <c r="G280" s="36"/>
      <c r="H280" s="36" t="str">
        <f>IF(G280="","",G276+I276-G280)</f>
        <v/>
      </c>
      <c r="I280" s="36"/>
      <c r="J280" s="117" t="str">
        <f t="shared" si="322"/>
        <v/>
      </c>
      <c r="K280" s="36" t="str">
        <f t="shared" si="323"/>
        <v/>
      </c>
      <c r="L280" s="36" t="str">
        <f t="shared" si="324"/>
        <v/>
      </c>
      <c r="M280" s="36" t="str">
        <f t="shared" si="325"/>
        <v/>
      </c>
      <c r="N280" s="52"/>
      <c r="P280" s="51"/>
      <c r="Q280" s="36"/>
      <c r="R280" s="36" t="str">
        <f t="shared" si="326"/>
        <v/>
      </c>
      <c r="S280" s="36"/>
      <c r="T280" s="36" t="str">
        <f t="shared" si="327"/>
        <v/>
      </c>
      <c r="U280" s="36"/>
      <c r="V280" s="36" t="str">
        <f t="shared" si="328"/>
        <v/>
      </c>
      <c r="W280" s="36"/>
      <c r="X280" s="117" t="str">
        <f t="shared" si="329"/>
        <v/>
      </c>
      <c r="Y280" s="36" t="str">
        <f t="shared" si="330"/>
        <v/>
      </c>
      <c r="Z280" s="36" t="str">
        <f t="shared" si="331"/>
        <v/>
      </c>
      <c r="AA280" s="36" t="str">
        <f t="shared" si="332"/>
        <v/>
      </c>
      <c r="AB280" s="52"/>
      <c r="AD280" s="51"/>
      <c r="AE280" s="36"/>
      <c r="AF280" s="36" t="str">
        <f t="shared" si="333"/>
        <v/>
      </c>
      <c r="AG280" s="36"/>
      <c r="AH280" s="36" t="str">
        <f t="shared" si="334"/>
        <v/>
      </c>
      <c r="AI280" s="36"/>
      <c r="AJ280" s="36" t="str">
        <f t="shared" si="335"/>
        <v/>
      </c>
      <c r="AK280" s="36"/>
      <c r="AL280" s="117" t="str">
        <f t="shared" si="336"/>
        <v/>
      </c>
      <c r="AM280" s="36" t="str">
        <f t="shared" si="337"/>
        <v/>
      </c>
      <c r="AN280" s="36" t="str">
        <f t="shared" si="338"/>
        <v/>
      </c>
      <c r="AO280" s="36" t="str">
        <f t="shared" si="339"/>
        <v/>
      </c>
      <c r="AP280" s="52"/>
      <c r="AR280" s="51"/>
      <c r="AS280" s="36"/>
      <c r="AT280" s="36" t="str">
        <f t="shared" si="340"/>
        <v/>
      </c>
      <c r="AU280" s="36"/>
      <c r="AV280" s="36" t="str">
        <f t="shared" si="341"/>
        <v/>
      </c>
      <c r="AW280" s="36"/>
      <c r="AX280" s="36" t="str">
        <f t="shared" si="342"/>
        <v/>
      </c>
      <c r="AY280" s="36"/>
      <c r="AZ280" s="117" t="str">
        <f t="shared" si="343"/>
        <v/>
      </c>
      <c r="BA280" s="36" t="str">
        <f t="shared" si="344"/>
        <v/>
      </c>
      <c r="BB280" s="36" t="str">
        <f t="shared" si="345"/>
        <v/>
      </c>
      <c r="BC280" s="36" t="str">
        <f t="shared" si="346"/>
        <v/>
      </c>
      <c r="BD280" s="52"/>
      <c r="BF280" s="7"/>
      <c r="BG280" s="34"/>
      <c r="BH280" s="9"/>
      <c r="BI280" s="9"/>
      <c r="BJ280" s="9"/>
      <c r="BK280" s="9"/>
      <c r="BL280" s="9"/>
      <c r="BM280" s="9"/>
      <c r="BN280" s="9"/>
      <c r="BO280" s="9"/>
      <c r="BP280" s="9"/>
      <c r="BQ280" s="10"/>
      <c r="BR280" s="11"/>
    </row>
    <row r="281" spans="1:70" ht="15" customHeight="1" thickTop="1" x14ac:dyDescent="0.2">
      <c r="A281" s="42"/>
      <c r="B281" s="61"/>
      <c r="C281" s="50" t="s">
        <v>22</v>
      </c>
      <c r="D281" s="33">
        <f>SUM(D225:D277)*100</f>
        <v>103700</v>
      </c>
      <c r="E281" s="70" t="s">
        <v>23</v>
      </c>
      <c r="F281" s="33"/>
      <c r="G281" s="50"/>
      <c r="H281" s="33"/>
      <c r="I281" s="33"/>
      <c r="J281" s="149" t="s">
        <v>24</v>
      </c>
      <c r="K281" s="149"/>
      <c r="L281" s="33">
        <f>SUM(L225:L277)</f>
        <v>46200</v>
      </c>
      <c r="M281" s="33"/>
      <c r="N281" s="45"/>
      <c r="P281" s="42"/>
      <c r="Q281" s="50" t="s">
        <v>22</v>
      </c>
      <c r="R281" s="33">
        <f>SUM(R225:R277)*100</f>
        <v>108300</v>
      </c>
      <c r="S281" s="70" t="s">
        <v>23</v>
      </c>
      <c r="T281" s="33"/>
      <c r="U281" s="50"/>
      <c r="V281" s="33"/>
      <c r="W281" s="33"/>
      <c r="X281" s="149" t="s">
        <v>24</v>
      </c>
      <c r="Y281" s="149"/>
      <c r="Z281" s="33">
        <f>SUM(Z225:Z277)</f>
        <v>34655</v>
      </c>
      <c r="AA281" s="33"/>
      <c r="AB281" s="45"/>
      <c r="AD281" s="42"/>
      <c r="AE281" s="50" t="s">
        <v>22</v>
      </c>
      <c r="AF281" s="33">
        <f>SUM(AF225:AF277)*100</f>
        <v>49900</v>
      </c>
      <c r="AG281" s="70" t="s">
        <v>23</v>
      </c>
      <c r="AH281" s="33"/>
      <c r="AI281" s="50"/>
      <c r="AJ281" s="33"/>
      <c r="AK281" s="33"/>
      <c r="AL281" s="149" t="s">
        <v>24</v>
      </c>
      <c r="AM281" s="149"/>
      <c r="AN281" s="33">
        <f>SUM(AN225:AN277)</f>
        <v>13288</v>
      </c>
      <c r="AO281" s="33"/>
      <c r="AP281" s="45"/>
      <c r="AR281" s="42"/>
      <c r="AS281" s="50" t="s">
        <v>22</v>
      </c>
      <c r="AT281" s="33">
        <f>SUM(AT225:AT277)*100</f>
        <v>64600</v>
      </c>
      <c r="AU281" s="70" t="s">
        <v>23</v>
      </c>
      <c r="AV281" s="33"/>
      <c r="AW281" s="50"/>
      <c r="AX281" s="33"/>
      <c r="AY281" s="33"/>
      <c r="AZ281" s="149" t="s">
        <v>24</v>
      </c>
      <c r="BA281" s="149"/>
      <c r="BB281" s="33">
        <f>SUM(BB225:BB277)</f>
        <v>18910</v>
      </c>
      <c r="BC281" s="33"/>
      <c r="BD281" s="45"/>
      <c r="BF281" s="7"/>
      <c r="BG281" s="39" t="s">
        <v>22</v>
      </c>
      <c r="BH281" s="9">
        <f>SUM(BH225:BH277)*100</f>
        <v>202400</v>
      </c>
      <c r="BI281" s="9"/>
      <c r="BJ281" s="9"/>
      <c r="BK281" s="5"/>
      <c r="BL281" s="9"/>
      <c r="BM281" s="9"/>
      <c r="BN281" s="9"/>
      <c r="BO281" s="9"/>
      <c r="BP281" s="9"/>
      <c r="BQ281" s="9"/>
      <c r="BR281" s="11"/>
    </row>
    <row r="282" spans="1:70" ht="15" customHeight="1" x14ac:dyDescent="0.2">
      <c r="A282" s="22"/>
      <c r="B282" s="66"/>
      <c r="C282" s="5" t="s">
        <v>25</v>
      </c>
      <c r="D282" s="9">
        <f>D281/A286</f>
        <v>3840.7407407407409</v>
      </c>
      <c r="E282" s="9">
        <f>D282*A285</f>
        <v>115222.22222222222</v>
      </c>
      <c r="F282" s="9"/>
      <c r="G282" s="5"/>
      <c r="H282" s="9"/>
      <c r="I282" s="9"/>
      <c r="J282" s="144" t="s">
        <v>26</v>
      </c>
      <c r="K282" s="144"/>
      <c r="L282" s="9"/>
      <c r="M282" s="24">
        <f>L281/D281</f>
        <v>0.44551591128254581</v>
      </c>
      <c r="N282" s="11"/>
      <c r="P282" s="31"/>
      <c r="Q282" s="5" t="s">
        <v>25</v>
      </c>
      <c r="R282" s="9">
        <f>R281/A286</f>
        <v>4011.1111111111113</v>
      </c>
      <c r="S282" s="9">
        <f>R282*A285</f>
        <v>120333.33333333334</v>
      </c>
      <c r="T282" s="9"/>
      <c r="U282" s="5"/>
      <c r="V282" s="9"/>
      <c r="W282" s="9"/>
      <c r="X282" s="144" t="s">
        <v>26</v>
      </c>
      <c r="Y282" s="144"/>
      <c r="Z282" s="9"/>
      <c r="AA282" s="24">
        <f>Z281/R281</f>
        <v>0.31999076638965834</v>
      </c>
      <c r="AB282" s="11"/>
      <c r="AD282" s="31"/>
      <c r="AE282" s="5" t="s">
        <v>25</v>
      </c>
      <c r="AF282" s="9">
        <f>AF281/A286</f>
        <v>1848.148148148148</v>
      </c>
      <c r="AG282" s="9">
        <f>AF282*A285</f>
        <v>55444.444444444438</v>
      </c>
      <c r="AH282" s="9"/>
      <c r="AI282" s="5"/>
      <c r="AJ282" s="9"/>
      <c r="AK282" s="9"/>
      <c r="AL282" s="144" t="s">
        <v>26</v>
      </c>
      <c r="AM282" s="144"/>
      <c r="AN282" s="9"/>
      <c r="AO282" s="24">
        <f>AN281/AF281</f>
        <v>0.26629258517034066</v>
      </c>
      <c r="AP282" s="11"/>
      <c r="AR282" s="31"/>
      <c r="AS282" s="5" t="s">
        <v>25</v>
      </c>
      <c r="AT282" s="9">
        <f>AT281/A286</f>
        <v>2392.5925925925926</v>
      </c>
      <c r="AU282" s="9">
        <f>AT282*A285</f>
        <v>71777.777777777781</v>
      </c>
      <c r="AV282" s="9"/>
      <c r="AW282" s="5"/>
      <c r="AX282" s="9"/>
      <c r="AY282" s="9"/>
      <c r="AZ282" s="144" t="s">
        <v>26</v>
      </c>
      <c r="BA282" s="144"/>
      <c r="BB282" s="9"/>
      <c r="BC282" s="24">
        <f>BB281/AT281</f>
        <v>0.29272445820433435</v>
      </c>
      <c r="BD282" s="11"/>
      <c r="BF282" s="7"/>
      <c r="BG282" s="39" t="s">
        <v>25</v>
      </c>
      <c r="BH282" s="9">
        <f>BH281/A286</f>
        <v>7496.2962962962965</v>
      </c>
      <c r="BI282" s="9">
        <f>BH282*A285</f>
        <v>224888.88888888891</v>
      </c>
      <c r="BJ282" s="9"/>
      <c r="BK282" s="5"/>
      <c r="BL282" s="9"/>
      <c r="BM282" s="9"/>
      <c r="BN282" s="9"/>
      <c r="BO282" s="9"/>
      <c r="BP282" s="9"/>
      <c r="BQ282" s="9"/>
      <c r="BR282" s="11"/>
    </row>
    <row r="283" spans="1:70" ht="15" customHeight="1" x14ac:dyDescent="0.2">
      <c r="A283" s="12"/>
      <c r="B283" s="68"/>
      <c r="C283" s="39" t="s">
        <v>27</v>
      </c>
      <c r="D283" s="9">
        <f>D281*0.6</f>
        <v>62220</v>
      </c>
      <c r="E283" s="9"/>
      <c r="F283" s="9"/>
      <c r="G283" s="5"/>
      <c r="H283" s="9"/>
      <c r="I283" s="9"/>
      <c r="J283" s="144" t="s">
        <v>28</v>
      </c>
      <c r="K283" s="144"/>
      <c r="L283" s="9">
        <f>D283-L281</f>
        <v>16020</v>
      </c>
      <c r="M283" s="24">
        <f>L283/D281</f>
        <v>0.1544840887174542</v>
      </c>
      <c r="N283" s="11"/>
      <c r="P283" s="12"/>
      <c r="Q283" s="39" t="s">
        <v>27</v>
      </c>
      <c r="R283" s="9">
        <f>R281*0.6</f>
        <v>64980</v>
      </c>
      <c r="S283" s="9"/>
      <c r="T283" s="9"/>
      <c r="U283" s="5"/>
      <c r="V283" s="9"/>
      <c r="W283" s="9"/>
      <c r="X283" s="144" t="s">
        <v>28</v>
      </c>
      <c r="Y283" s="144"/>
      <c r="Z283" s="9">
        <f>R283-Z281</f>
        <v>30325</v>
      </c>
      <c r="AA283" s="24">
        <f>Z283/R281</f>
        <v>0.28000923361034163</v>
      </c>
      <c r="AB283" s="11"/>
      <c r="AD283" s="12"/>
      <c r="AE283" s="39" t="s">
        <v>27</v>
      </c>
      <c r="AF283" s="9">
        <f>AF281*0.6</f>
        <v>29940</v>
      </c>
      <c r="AG283" s="9"/>
      <c r="AH283" s="9"/>
      <c r="AI283" s="5"/>
      <c r="AJ283" s="9"/>
      <c r="AK283" s="9"/>
      <c r="AL283" s="144" t="s">
        <v>28</v>
      </c>
      <c r="AM283" s="144"/>
      <c r="AN283" s="9">
        <f>AF283-AN281</f>
        <v>16652</v>
      </c>
      <c r="AO283" s="24">
        <f>AN283/AF281</f>
        <v>0.33370741482965932</v>
      </c>
      <c r="AP283" s="11"/>
      <c r="AR283" s="12"/>
      <c r="AS283" s="39" t="s">
        <v>27</v>
      </c>
      <c r="AT283" s="9">
        <f>AT281*0.6</f>
        <v>38760</v>
      </c>
      <c r="AU283" s="9"/>
      <c r="AV283" s="9"/>
      <c r="AW283" s="5"/>
      <c r="AX283" s="9"/>
      <c r="AY283" s="9"/>
      <c r="AZ283" s="144" t="s">
        <v>28</v>
      </c>
      <c r="BA283" s="144"/>
      <c r="BB283" s="9">
        <f>AT283-BB281</f>
        <v>19850</v>
      </c>
      <c r="BC283" s="24">
        <f>BB283/AT281</f>
        <v>0.30727554179566563</v>
      </c>
      <c r="BD283" s="11"/>
      <c r="BF283" s="7"/>
      <c r="BG283" s="39" t="s">
        <v>27</v>
      </c>
      <c r="BH283" s="9">
        <f>BH281*0.6</f>
        <v>121440</v>
      </c>
      <c r="BI283" s="9"/>
      <c r="BJ283" s="9"/>
      <c r="BK283" s="5" t="s">
        <v>50</v>
      </c>
      <c r="BL283" s="9">
        <f>SUM(BP225:BP277)</f>
        <v>58500</v>
      </c>
      <c r="BM283" s="24">
        <f>BL283/BH281</f>
        <v>0.28903162055335968</v>
      </c>
      <c r="BN283" s="24"/>
      <c r="BO283" s="9"/>
      <c r="BP283" s="9"/>
      <c r="BQ283" s="9"/>
      <c r="BR283" s="11"/>
    </row>
    <row r="284" spans="1:70" ht="15" customHeight="1" x14ac:dyDescent="0.2">
      <c r="A284" s="42"/>
      <c r="B284" s="61"/>
      <c r="C284" s="5" t="s">
        <v>29</v>
      </c>
      <c r="D284" s="9"/>
      <c r="E284" s="9"/>
      <c r="F284" s="9"/>
      <c r="G284" s="5"/>
      <c r="H284" s="9"/>
      <c r="I284" s="15"/>
      <c r="J284" s="145" t="s">
        <v>30</v>
      </c>
      <c r="K284" s="145"/>
      <c r="L284" s="33">
        <f>(G249+I249)*K249+(G250+I250)*K250+(G251+I251)*K251+(G252+I252)*K252</f>
        <v>33803</v>
      </c>
      <c r="M284" s="10"/>
      <c r="N284" s="11"/>
      <c r="P284" s="42"/>
      <c r="Q284" s="5" t="s">
        <v>29</v>
      </c>
      <c r="R284" s="9"/>
      <c r="S284" s="9"/>
      <c r="T284" s="9"/>
      <c r="U284" s="5"/>
      <c r="V284" s="9"/>
      <c r="W284" s="15"/>
      <c r="X284" s="145" t="s">
        <v>30</v>
      </c>
      <c r="Y284" s="145"/>
      <c r="Z284" s="33">
        <f>(U249+W249)*Y249+(U250+W250)*Y250+(U251+W251)*Y251+(U252+W252)*Y252</f>
        <v>16315</v>
      </c>
      <c r="AA284" s="10"/>
      <c r="AB284" s="11"/>
      <c r="AD284" s="42"/>
      <c r="AE284" s="5" t="s">
        <v>29</v>
      </c>
      <c r="AF284" s="9"/>
      <c r="AG284" s="9"/>
      <c r="AH284" s="9"/>
      <c r="AI284" s="5"/>
      <c r="AJ284" s="9"/>
      <c r="AK284" s="15"/>
      <c r="AL284" s="145" t="s">
        <v>30</v>
      </c>
      <c r="AM284" s="145"/>
      <c r="AN284" s="33">
        <f>(AI249+AK249)*AM249+(AI250+AK250)*AM250+(AI251+AK251)*AM251+(AI252+AK252)*AM252</f>
        <v>21882</v>
      </c>
      <c r="AO284" s="10"/>
      <c r="AP284" s="11"/>
      <c r="AR284" s="42"/>
      <c r="AS284" s="5" t="s">
        <v>29</v>
      </c>
      <c r="AT284" s="9"/>
      <c r="AU284" s="9"/>
      <c r="AV284" s="9"/>
      <c r="AW284" s="5"/>
      <c r="AX284" s="9"/>
      <c r="AY284" s="15"/>
      <c r="AZ284" s="145" t="s">
        <v>30</v>
      </c>
      <c r="BA284" s="145"/>
      <c r="BB284" s="33">
        <f>(AW249+AY249)*BA249+(AW250+AY250)*BA250+(AW251+AY251)*BA251+(AW252+AY252)*BA252</f>
        <v>24973</v>
      </c>
      <c r="BC284" s="10"/>
      <c r="BD284" s="11"/>
      <c r="BF284" s="7"/>
      <c r="BG284" s="39" t="s">
        <v>29</v>
      </c>
      <c r="BH284" s="9">
        <f>BH355</f>
        <v>18900</v>
      </c>
      <c r="BI284" s="9"/>
      <c r="BJ284" s="9"/>
      <c r="BK284" s="5" t="s">
        <v>28</v>
      </c>
      <c r="BL284" s="9">
        <f>BH283-BL283</f>
        <v>62940</v>
      </c>
      <c r="BM284" s="24">
        <f>BL284/BH281</f>
        <v>0.3109683794466403</v>
      </c>
      <c r="BN284" s="24"/>
      <c r="BO284" s="10"/>
      <c r="BP284" s="10"/>
      <c r="BQ284" s="10"/>
      <c r="BR284" s="11"/>
    </row>
    <row r="285" spans="1:70" ht="15" customHeight="1" x14ac:dyDescent="0.2">
      <c r="A285" s="4">
        <v>30</v>
      </c>
      <c r="B285" s="80">
        <f>SUM(B225:B277)*100</f>
        <v>528900</v>
      </c>
      <c r="C285" s="5"/>
      <c r="D285" s="9"/>
      <c r="E285" s="9"/>
      <c r="F285" s="9"/>
      <c r="G285" s="5"/>
      <c r="H285" s="9"/>
      <c r="I285" s="15"/>
      <c r="J285" s="118"/>
      <c r="K285" s="56"/>
      <c r="L285" s="40"/>
      <c r="M285" s="10"/>
      <c r="N285" s="11"/>
      <c r="P285" s="42"/>
      <c r="Q285" s="5"/>
      <c r="R285" s="9"/>
      <c r="S285" s="9"/>
      <c r="T285" s="9"/>
      <c r="U285" s="5"/>
      <c r="V285" s="9"/>
      <c r="W285" s="15"/>
      <c r="X285" s="118"/>
      <c r="Y285" s="56"/>
      <c r="Z285" s="40"/>
      <c r="AA285" s="10"/>
      <c r="AB285" s="11"/>
      <c r="AD285" s="42"/>
      <c r="AE285" s="5"/>
      <c r="AF285" s="9"/>
      <c r="AG285" s="9"/>
      <c r="AH285" s="9"/>
      <c r="AI285" s="5"/>
      <c r="AJ285" s="9"/>
      <c r="AK285" s="15"/>
      <c r="AL285" s="118"/>
      <c r="AM285" s="56"/>
      <c r="AN285" s="40"/>
      <c r="AO285" s="10"/>
      <c r="AP285" s="11"/>
      <c r="AR285" s="42"/>
      <c r="AS285" s="5"/>
      <c r="AT285" s="9"/>
      <c r="AU285" s="9"/>
      <c r="AV285" s="9"/>
      <c r="AW285" s="5"/>
      <c r="AX285" s="9"/>
      <c r="AY285" s="15"/>
      <c r="AZ285" s="118"/>
      <c r="BA285" s="56"/>
      <c r="BB285" s="40"/>
      <c r="BC285" s="10"/>
      <c r="BD285" s="11"/>
      <c r="BF285" s="7"/>
      <c r="BG285" s="34"/>
      <c r="BH285" s="9"/>
      <c r="BI285" s="9"/>
      <c r="BJ285" s="9"/>
      <c r="BK285" s="146" t="s">
        <v>30</v>
      </c>
      <c r="BL285" s="147"/>
      <c r="BM285" s="9">
        <f>(BK228+BM228)*BO228</f>
        <v>24000</v>
      </c>
      <c r="BN285" s="9"/>
      <c r="BO285" s="10"/>
      <c r="BP285" s="10"/>
      <c r="BQ285" s="10"/>
      <c r="BR285" s="11"/>
    </row>
    <row r="286" spans="1:70" ht="15" customHeight="1" x14ac:dyDescent="0.2">
      <c r="A286" s="55">
        <f>DATEDIF(A$225,A253,"d")</f>
        <v>27</v>
      </c>
      <c r="B286" s="61"/>
      <c r="C286" s="5"/>
      <c r="D286" s="9"/>
      <c r="E286" s="23"/>
      <c r="F286" s="9"/>
      <c r="G286" s="5"/>
      <c r="H286" s="9"/>
      <c r="I286" s="15"/>
      <c r="J286" s="118"/>
      <c r="K286" s="56"/>
      <c r="L286" s="40"/>
      <c r="M286" s="10"/>
      <c r="N286" s="11"/>
      <c r="P286" s="42"/>
      <c r="Q286" s="5"/>
      <c r="R286" s="9"/>
      <c r="S286" s="9"/>
      <c r="T286" s="9"/>
      <c r="U286" s="5"/>
      <c r="V286" s="9"/>
      <c r="W286" s="15"/>
      <c r="X286" s="118"/>
      <c r="Y286" s="56"/>
      <c r="Z286" s="40"/>
      <c r="AA286" s="10"/>
      <c r="AB286" s="11"/>
      <c r="AD286" s="42"/>
      <c r="AE286" s="5"/>
      <c r="AF286" s="9"/>
      <c r="AG286" s="9"/>
      <c r="AH286" s="9"/>
      <c r="AI286" s="5"/>
      <c r="AJ286" s="9"/>
      <c r="AK286" s="15"/>
      <c r="AL286" s="118"/>
      <c r="AM286" s="56"/>
      <c r="AN286" s="40"/>
      <c r="AO286" s="10"/>
      <c r="AP286" s="11"/>
      <c r="AR286" s="42"/>
      <c r="AS286" s="5"/>
      <c r="AT286" s="9"/>
      <c r="AU286" s="9"/>
      <c r="AV286" s="9"/>
      <c r="AW286" s="5"/>
      <c r="AX286" s="9"/>
      <c r="AY286" s="15"/>
      <c r="AZ286" s="118"/>
      <c r="BA286" s="56"/>
      <c r="BB286" s="40"/>
      <c r="BC286" s="10"/>
      <c r="BD286" s="11"/>
      <c r="BF286" s="7"/>
      <c r="BG286" s="34"/>
      <c r="BH286" s="9"/>
      <c r="BI286" s="9"/>
      <c r="BJ286" s="9"/>
      <c r="BK286" s="5"/>
      <c r="BL286" s="9"/>
      <c r="BM286" s="9"/>
      <c r="BN286" s="9"/>
      <c r="BO286" s="10"/>
      <c r="BP286" s="10"/>
      <c r="BQ286" s="10"/>
      <c r="BR286" s="11"/>
    </row>
    <row r="287" spans="1:70" x14ac:dyDescent="0.2">
      <c r="A287" s="142" t="s">
        <v>31</v>
      </c>
      <c r="B287" s="142"/>
      <c r="C287" s="142"/>
      <c r="D287" s="25">
        <f>SUM(D225,D229,D233,D237,D241,D245,D249,D253,D257,D261,D265,D269,D273)*100</f>
        <v>2700</v>
      </c>
      <c r="E287" s="34"/>
      <c r="F287" s="9"/>
      <c r="G287" s="5">
        <f>D287/H287</f>
        <v>135</v>
      </c>
      <c r="H287" s="25">
        <f>SUM(H225,H229,H233,H237,H241,H245,H250,H253,H257,H261,H265,H269,H273)</f>
        <v>20</v>
      </c>
      <c r="I287" s="9"/>
      <c r="J287" s="112">
        <f t="shared" ref="J287:K290" si="347">J225</f>
        <v>0</v>
      </c>
      <c r="K287" s="40">
        <f t="shared" si="347"/>
        <v>0</v>
      </c>
      <c r="L287" s="25">
        <f>SUM(L225,L229,L233,L237,L241,L245,L250,L253,L257,L261,L265,L269,L273)</f>
        <v>12430</v>
      </c>
      <c r="M287" s="24">
        <f>L287/D287</f>
        <v>4.6037037037037036</v>
      </c>
      <c r="N287" s="11"/>
      <c r="O287" s="14"/>
      <c r="P287" s="142" t="s">
        <v>31</v>
      </c>
      <c r="Q287" s="142"/>
      <c r="R287" s="25">
        <f>SUM(R225,R229,R233,R237,R241,R245,R249,R253,R257,R261,R265,R269,R273)*100</f>
        <v>26300</v>
      </c>
      <c r="S287" s="34"/>
      <c r="T287" s="9"/>
      <c r="U287" s="5">
        <f>R287/V287</f>
        <v>2023.0769230769231</v>
      </c>
      <c r="V287" s="25">
        <f>SUM(V225,V229,V233,V237,V241,V245,V250,V253,V257,V261,V265,V269,V273)</f>
        <v>13</v>
      </c>
      <c r="W287" s="9"/>
      <c r="X287" s="112" t="str">
        <f t="shared" ref="X287:Y290" si="348">X225</f>
        <v>キティボアバンスクリップ</v>
      </c>
      <c r="Y287" s="40">
        <f t="shared" si="348"/>
        <v>1100</v>
      </c>
      <c r="Z287" s="25">
        <f>SUM(Z225,Z229,Z233,Z237,Z241,Z245,Z250,Z253,Z257,Z261,Z265,Z269,Z273)</f>
        <v>13750</v>
      </c>
      <c r="AA287" s="24">
        <f>Z287/R287</f>
        <v>0.52281368821292773</v>
      </c>
      <c r="AB287" s="11"/>
      <c r="AD287" s="142" t="s">
        <v>31</v>
      </c>
      <c r="AE287" s="142"/>
      <c r="AF287" s="25">
        <f>SUM(AF225,AF229,AF233,AF237,AF241,AF245,AF249,AF253,AF257,AF261,AF265,AF269,AF273)*100</f>
        <v>3800</v>
      </c>
      <c r="AG287" s="34"/>
      <c r="AH287" s="9"/>
      <c r="AI287" s="5">
        <f>AF287/AJ287</f>
        <v>633.33333333333337</v>
      </c>
      <c r="AJ287" s="25">
        <f>SUM(AJ225,AJ229,AJ233,AJ237,AJ241,AJ245,AJ250,AJ253,AJ257,AJ261,AJ265,AJ269,AJ273)</f>
        <v>6</v>
      </c>
      <c r="AK287" s="9"/>
      <c r="AL287" s="112" t="str">
        <f t="shared" ref="AL287:AM290" si="349">AL225</f>
        <v>キティフェイス千鳥</v>
      </c>
      <c r="AM287" s="40">
        <f t="shared" si="349"/>
        <v>600</v>
      </c>
      <c r="AN287" s="25">
        <f>SUM(AN225,AN229,AN233,AN237,AN241,AN245,AN250,AN253,AN257,AN261,AN265,AN269,AN273)</f>
        <v>3748</v>
      </c>
      <c r="AO287" s="24">
        <f>AN287/AF287</f>
        <v>0.98631578947368426</v>
      </c>
      <c r="AP287" s="11"/>
      <c r="AR287" s="142" t="s">
        <v>31</v>
      </c>
      <c r="AS287" s="142"/>
      <c r="AT287" s="25">
        <f>SUM(AT225,AT229,AT233,AT237,AT241,AT245,AT249,AT253,AT257,AT261,AT265,AT269,AT273)*100</f>
        <v>28300</v>
      </c>
      <c r="AU287" s="34"/>
      <c r="AV287" s="9"/>
      <c r="AW287" s="5">
        <f>AT287/AX287</f>
        <v>4716.666666666667</v>
      </c>
      <c r="AX287" s="25">
        <f>SUM(AX225,AX229,AX233,AX237,AX241,AX245,AX250,AX253,AX257,AX261,AX265,AX269,AX273)</f>
        <v>6</v>
      </c>
      <c r="AY287" s="9"/>
      <c r="AZ287" s="112" t="str">
        <f t="shared" ref="AZ287:BA290" si="350">AZ225</f>
        <v>キティシッポ付フェイスポーチ</v>
      </c>
      <c r="BA287" s="40">
        <f t="shared" si="350"/>
        <v>825</v>
      </c>
      <c r="BB287" s="25">
        <f>SUM(BB225,BB229,BB233,BB237,BB241,BB245,BB250,BB253,BB257,BB261,BB265,BB269,BB273)</f>
        <v>4950</v>
      </c>
      <c r="BC287" s="24">
        <f>BB287/AT287</f>
        <v>0.17491166077738515</v>
      </c>
      <c r="BD287" s="11"/>
      <c r="BF287" s="7"/>
      <c r="BG287" s="34"/>
      <c r="BH287" s="9"/>
      <c r="BI287" s="9"/>
      <c r="BJ287" s="9"/>
      <c r="BK287" s="5"/>
      <c r="BL287" s="9"/>
      <c r="BM287" s="24"/>
      <c r="BN287" s="24"/>
      <c r="BO287" s="9"/>
      <c r="BP287" s="9"/>
      <c r="BQ287" s="9"/>
      <c r="BR287" s="11"/>
    </row>
    <row r="288" spans="1:70" x14ac:dyDescent="0.2">
      <c r="A288" s="142" t="s">
        <v>31</v>
      </c>
      <c r="B288" s="142"/>
      <c r="C288" s="142"/>
      <c r="D288" s="25">
        <f>SUM(D226,D230,D234,D238,D242,D246,D250,D254,D258,D262,D266,D270,D274)*100</f>
        <v>39000</v>
      </c>
      <c r="E288" s="34"/>
      <c r="F288" s="9"/>
      <c r="G288" s="5">
        <f>D288/H288</f>
        <v>2437.5</v>
      </c>
      <c r="H288" s="25">
        <f>SUM(H226,H230,H234,H238,H242,H246,H249,H254,H258,H262,H266,H270,H274)</f>
        <v>16</v>
      </c>
      <c r="I288" s="9"/>
      <c r="J288" s="112" t="str">
        <f t="shared" si="347"/>
        <v>電ブル</v>
      </c>
      <c r="K288" s="40">
        <f t="shared" si="347"/>
        <v>275</v>
      </c>
      <c r="L288" s="25">
        <f>SUM(L226,L230,L234,L238,L242,L246,L249,L254,L258,L262,L266,L270,L274)</f>
        <v>4400</v>
      </c>
      <c r="M288" s="24">
        <f>L288/D288</f>
        <v>0.11282051282051282</v>
      </c>
      <c r="N288" s="11"/>
      <c r="O288" s="1"/>
      <c r="P288" s="142" t="s">
        <v>31</v>
      </c>
      <c r="Q288" s="142"/>
      <c r="R288" s="25">
        <f>SUM(R226,R230,R234,R238,R242,R246,R250,R254,R258,R262,R266,R270,R274)*100</f>
        <v>20900</v>
      </c>
      <c r="S288" s="34"/>
      <c r="T288" s="9"/>
      <c r="U288" s="5">
        <f>R288/V288</f>
        <v>1900</v>
      </c>
      <c r="V288" s="25">
        <f>SUM(V226,V230,V234,V238,V242,V246,V249,V254,V258,V262,V266,V270,V274)</f>
        <v>11</v>
      </c>
      <c r="W288" s="9"/>
      <c r="X288" s="112" t="str">
        <f t="shared" si="348"/>
        <v>サンリオフェイスポーチ</v>
      </c>
      <c r="Y288" s="40">
        <f t="shared" si="348"/>
        <v>825</v>
      </c>
      <c r="Z288" s="25">
        <f>SUM(Z226,Z230,Z234,Z238,Z242,Z246,Z249,Z254,Z258,Z262,Z266,Z270,Z274)</f>
        <v>9625</v>
      </c>
      <c r="AA288" s="24">
        <f>Z288/R288</f>
        <v>0.46052631578947367</v>
      </c>
      <c r="AB288" s="11"/>
      <c r="AD288" s="142" t="s">
        <v>31</v>
      </c>
      <c r="AE288" s="142"/>
      <c r="AF288" s="25">
        <f>SUM(AF226,AF230,AF234,AF238,AF242,AF246,AF250,AF254,AF258,AF262,AF266,AF270,AF274)*100</f>
        <v>18300</v>
      </c>
      <c r="AG288" s="34"/>
      <c r="AH288" s="9"/>
      <c r="AI288" s="5">
        <f>AF288/AJ288</f>
        <v>3660</v>
      </c>
      <c r="AJ288" s="25">
        <f>SUM(AJ226,AJ230,AJ234,AJ238,AJ242,AJ246,AJ249,AJ254,AJ258,AJ262,AJ266,AJ270,AJ274)</f>
        <v>5</v>
      </c>
      <c r="AK288" s="9"/>
      <c r="AL288" s="112" t="str">
        <f t="shared" si="349"/>
        <v>ジャグラーボタン</v>
      </c>
      <c r="AM288" s="40">
        <f t="shared" si="349"/>
        <v>748</v>
      </c>
      <c r="AN288" s="25">
        <f>SUM(AN226,AN230,AN234,AN238,AN242,AN246,AN249,AN254,AN258,AN262,AN266,AN270,AN274)</f>
        <v>3740</v>
      </c>
      <c r="AO288" s="24">
        <f>AN288/AF288</f>
        <v>0.20437158469945355</v>
      </c>
      <c r="AP288" s="11"/>
      <c r="AR288" s="142" t="s">
        <v>31</v>
      </c>
      <c r="AS288" s="142"/>
      <c r="AT288" s="25">
        <f>SUM(AT226,AT230,AT234,AT238,AT242,AT246,AT250,AT254,AT258,AT262,AT266,AT270,AT274)*100</f>
        <v>13600</v>
      </c>
      <c r="AU288" s="34"/>
      <c r="AV288" s="9"/>
      <c r="AW288" s="5">
        <f>AT288/AX288</f>
        <v>2720</v>
      </c>
      <c r="AX288" s="25">
        <f>SUM(AX226,AX230,AX234,AX238,AX242,AX246,AX249,AX254,AX258,AX262,AX266,AX270,AX274)</f>
        <v>5</v>
      </c>
      <c r="AY288" s="9"/>
      <c r="AZ288" s="112" t="str">
        <f t="shared" si="350"/>
        <v>番長ボタン</v>
      </c>
      <c r="BA288" s="40">
        <f t="shared" si="350"/>
        <v>358</v>
      </c>
      <c r="BB288" s="25">
        <f>SUM(BB226,BB230,BB234,BB238,BB242,BB246,BB249,BB254,BB258,BB262,BB266,BB270,BB274)</f>
        <v>1790</v>
      </c>
      <c r="BC288" s="24">
        <f>BB288/AT288</f>
        <v>0.13161764705882353</v>
      </c>
      <c r="BD288" s="11"/>
      <c r="BF288" s="7"/>
      <c r="BG288" s="9"/>
      <c r="BH288" s="9"/>
      <c r="BI288" s="9"/>
      <c r="BJ288" s="9"/>
      <c r="BK288" s="5"/>
      <c r="BL288" s="9"/>
      <c r="BM288" s="24"/>
      <c r="BN288" s="24"/>
      <c r="BO288" s="9"/>
      <c r="BP288" s="9"/>
      <c r="BQ288" s="9"/>
      <c r="BR288" s="11"/>
    </row>
    <row r="289" spans="1:70" x14ac:dyDescent="0.2">
      <c r="A289" s="142" t="s">
        <v>31</v>
      </c>
      <c r="B289" s="142"/>
      <c r="C289" s="142"/>
      <c r="D289" s="25">
        <f>SUM(D227,D231,D235,D239,D243,D247,D251,D255,D259,D263,D267,D271,D275)*100</f>
        <v>21700</v>
      </c>
      <c r="E289" s="34"/>
      <c r="F289" s="9"/>
      <c r="G289" s="5">
        <f>D289/H289</f>
        <v>1550</v>
      </c>
      <c r="H289" s="25">
        <f>SUM(H227,H231,H235,H240,H243,H247,H251,H255,H259,H263,H267,H271,H275)</f>
        <v>14</v>
      </c>
      <c r="I289" s="9"/>
      <c r="J289" s="112" t="str">
        <f t="shared" si="347"/>
        <v>ギャルキティマスコット</v>
      </c>
      <c r="K289" s="40">
        <f t="shared" si="347"/>
        <v>638</v>
      </c>
      <c r="L289" s="25">
        <f>SUM(L227,L231,L235,L240,L243,L247,L251,L255,L259,L263,L267,L271,L275)</f>
        <v>8932</v>
      </c>
      <c r="M289" s="24">
        <f>L289/D289</f>
        <v>0.41161290322580646</v>
      </c>
      <c r="N289" s="11"/>
      <c r="O289" s="1"/>
      <c r="P289" s="142" t="s">
        <v>31</v>
      </c>
      <c r="Q289" s="142"/>
      <c r="R289" s="25">
        <f>SUM(R227,R231,R235,R239,R243,R247,R251,R255,R259,R263,R267,R271,R275)*100</f>
        <v>41500</v>
      </c>
      <c r="S289" s="34"/>
      <c r="T289" s="9"/>
      <c r="U289" s="5">
        <f>R289/V289</f>
        <v>3192.3076923076924</v>
      </c>
      <c r="V289" s="25">
        <f>SUM(V227,V231,V235,V240,V243,V247,V251,V255,V259,V263,V267,V271,V275)</f>
        <v>13</v>
      </c>
      <c r="W289" s="9"/>
      <c r="X289" s="112" t="str">
        <f t="shared" si="348"/>
        <v>ボンボンドロップシール</v>
      </c>
      <c r="Y289" s="40">
        <f t="shared" si="348"/>
        <v>200</v>
      </c>
      <c r="Z289" s="25">
        <f>SUM(Z227,Z231,Z235,Z240,Z243,Z247,Z251,Z255,Z259,Z263,Z267,Z271,Z275)</f>
        <v>2600</v>
      </c>
      <c r="AA289" s="24">
        <f>Z289/R289</f>
        <v>6.2650602409638559E-2</v>
      </c>
      <c r="AB289" s="11"/>
      <c r="AD289" s="142" t="s">
        <v>31</v>
      </c>
      <c r="AE289" s="142"/>
      <c r="AF289" s="25">
        <f>SUM(AF227,AF231,AF235,AF239,AF243,AF247,AF251,AF255,AF259,AF263,AF267,AF271,AF275)*100</f>
        <v>13400</v>
      </c>
      <c r="AG289" s="34"/>
      <c r="AH289" s="9"/>
      <c r="AI289" s="5">
        <f>AF289/AJ289</f>
        <v>2680</v>
      </c>
      <c r="AJ289" s="25">
        <f>SUM(AJ227,AJ231,AJ235,AJ240,AJ243,AJ247,AJ251,AJ255,AJ259,AJ263,AJ267,AJ271,AJ275)</f>
        <v>5</v>
      </c>
      <c r="AK289" s="9"/>
      <c r="AL289" s="112" t="str">
        <f>AL227</f>
        <v>サンリオスカーフ付きリュック</v>
      </c>
      <c r="AM289" s="40">
        <f t="shared" si="349"/>
        <v>600</v>
      </c>
      <c r="AN289" s="25">
        <f>SUM(AN227,AN231,AN235,AN240,AN243,AN247,AN251,AN255,AN259,AN263,AN267,AN271,AN275)</f>
        <v>3000</v>
      </c>
      <c r="AO289" s="24">
        <f>AN289/AF289</f>
        <v>0.22388059701492538</v>
      </c>
      <c r="AP289" s="11"/>
      <c r="AR289" s="142" t="s">
        <v>31</v>
      </c>
      <c r="AS289" s="142"/>
      <c r="AT289" s="25">
        <f>SUM(AT227,AT231,AT235,AT239,AT243,AT247,AT251,AT255,AT259,AT263,AT267,AT271,AT275)*100</f>
        <v>11500</v>
      </c>
      <c r="AU289" s="34"/>
      <c r="AV289" s="9"/>
      <c r="AW289" s="5">
        <f>AT289/AX289</f>
        <v>1045.4545454545455</v>
      </c>
      <c r="AX289" s="25">
        <f>SUM(AX227,AX231,AX235,AX240,AX243,AX247,AX251,AX255,AX259,AX263,AX267,AX271,AX275)</f>
        <v>11</v>
      </c>
      <c r="AY289" s="9"/>
      <c r="AZ289" s="112" t="str">
        <f t="shared" si="350"/>
        <v>ギャルキティマスコット</v>
      </c>
      <c r="BA289" s="40">
        <f t="shared" si="350"/>
        <v>638</v>
      </c>
      <c r="BB289" s="25">
        <f>SUM(BB227,BB231,BB235,BB240,BB243,BB247,BB251,BB255,BB259,BB263,BB267,BB271,BB275)</f>
        <v>6032</v>
      </c>
      <c r="BC289" s="24">
        <f>BB289/AT289</f>
        <v>0.52452173913043476</v>
      </c>
      <c r="BD289" s="11"/>
      <c r="BF289" s="7"/>
      <c r="BG289" s="141"/>
      <c r="BH289" s="141"/>
      <c r="BI289" s="92"/>
      <c r="BJ289" s="9"/>
      <c r="BK289" s="5"/>
      <c r="BL289" s="9"/>
      <c r="BM289" s="24"/>
      <c r="BN289" s="24"/>
      <c r="BO289" s="9"/>
      <c r="BP289" s="9"/>
      <c r="BQ289" s="9"/>
      <c r="BR289" s="11"/>
    </row>
    <row r="290" spans="1:70" x14ac:dyDescent="0.2">
      <c r="A290" s="142" t="s">
        <v>31</v>
      </c>
      <c r="B290" s="142"/>
      <c r="C290" s="142"/>
      <c r="D290" s="25">
        <f>SUM(D228,D232,D236,D240,D244,D248,D252,D256,D260,D264,D268,D272,D276)*100</f>
        <v>40300</v>
      </c>
      <c r="E290" s="34"/>
      <c r="F290" s="9"/>
      <c r="G290" s="5">
        <f>D290/H290</f>
        <v>2121.0526315789475</v>
      </c>
      <c r="H290" s="25">
        <f>SUM(H228,H232,H236,H239,H244,H248,H252,H256,H260,H264,H268,H272,H276)</f>
        <v>19</v>
      </c>
      <c r="I290" s="9"/>
      <c r="J290" s="112" t="str">
        <f t="shared" si="347"/>
        <v>バタースクイーズ</v>
      </c>
      <c r="K290" s="40">
        <f t="shared" si="347"/>
        <v>1100</v>
      </c>
      <c r="L290" s="25">
        <f>SUM(L228,L232,L236,L239,L244,L248,L252,L256,L260,L264,L268,L272,L276)</f>
        <v>20438</v>
      </c>
      <c r="M290" s="24">
        <f>L290/D290</f>
        <v>0.50714640198511163</v>
      </c>
      <c r="N290" s="11"/>
      <c r="O290" s="1"/>
      <c r="P290" s="142" t="s">
        <v>31</v>
      </c>
      <c r="Q290" s="142"/>
      <c r="R290" s="25">
        <f>SUM(R228,R232,R236,R240,R244,R248,R252,R256,R260,R264,R268,R272,R276)*100</f>
        <v>19600</v>
      </c>
      <c r="S290" s="34"/>
      <c r="T290" s="9"/>
      <c r="U290" s="5">
        <f>R290/V290</f>
        <v>933.33333333333337</v>
      </c>
      <c r="V290" s="25">
        <f>SUM(V228,V232,V236,V239,V244,V248,V252,V256,V260,V264,V268,V272,V276)</f>
        <v>21</v>
      </c>
      <c r="W290" s="9"/>
      <c r="X290" s="112" t="str">
        <f t="shared" si="348"/>
        <v>ゲームアーク</v>
      </c>
      <c r="Y290" s="40">
        <f t="shared" si="348"/>
        <v>648</v>
      </c>
      <c r="Z290" s="25">
        <f>SUM(Z228,Z232,Z236,Z239,Z244,Z248,Z252,Z256,Z260,Z264,Z268,Z272,Z276)</f>
        <v>8680</v>
      </c>
      <c r="AA290" s="24">
        <f>Z290/R290</f>
        <v>0.44285714285714284</v>
      </c>
      <c r="AB290" s="11"/>
      <c r="AD290" s="142" t="s">
        <v>31</v>
      </c>
      <c r="AE290" s="142"/>
      <c r="AF290" s="25">
        <f>SUM(AF228,AF232,AF236,AF240,AF244,AF248,AF252,AF256,AF260,AF264,AF268,AF272,AF276)*100</f>
        <v>14400</v>
      </c>
      <c r="AG290" s="34"/>
      <c r="AH290" s="9"/>
      <c r="AI290" s="5">
        <f>AF290/AJ290</f>
        <v>1800</v>
      </c>
      <c r="AJ290" s="25">
        <f>SUM(AJ228,AJ232,AJ236,AJ239,AJ244,AJ248,AJ252,AJ256,AJ260,AJ264,AJ268,AJ272,AJ276)</f>
        <v>8</v>
      </c>
      <c r="AK290" s="9"/>
      <c r="AL290" s="112" t="str">
        <f>AL228</f>
        <v>ラブブマスコット</v>
      </c>
      <c r="AM290" s="40">
        <f t="shared" si="349"/>
        <v>350</v>
      </c>
      <c r="AN290" s="25">
        <f>SUM(AN228,AN232,AN236,AN239,AN244,AN248,AN252,AN256,AN260,AN264,AN268,AN272,AN276)</f>
        <v>2800</v>
      </c>
      <c r="AO290" s="24">
        <f>AN290/AF290</f>
        <v>0.19444444444444445</v>
      </c>
      <c r="AP290" s="11"/>
      <c r="AR290" s="142" t="s">
        <v>31</v>
      </c>
      <c r="AS290" s="142"/>
      <c r="AT290" s="25">
        <f>SUM(AT228,AT232,AT236,AT240,AT244,AT248,AT252,AT256,AT260,AT264,AT268,AT272,AT276)*100</f>
        <v>11200</v>
      </c>
      <c r="AU290" s="34"/>
      <c r="AV290" s="9"/>
      <c r="AW290" s="5">
        <f>AT290/AX290</f>
        <v>861.53846153846155</v>
      </c>
      <c r="AX290" s="25">
        <f>SUM(AX228,AX232,AX236,AX239,AX244,AX248,AX252,AX256,AX260,AX264,AX268,AX272,AX276)</f>
        <v>13</v>
      </c>
      <c r="AY290" s="9"/>
      <c r="AZ290" s="112" t="str">
        <f t="shared" si="350"/>
        <v>キティフェイスがま口</v>
      </c>
      <c r="BA290" s="40">
        <f t="shared" si="350"/>
        <v>550</v>
      </c>
      <c r="BB290" s="25">
        <f>SUM(BB228,BB232,BB236,BB239,BB244,BB248,BB252,BB256,BB260,BB264,BB268,BB272,BB276)</f>
        <v>6138</v>
      </c>
      <c r="BC290" s="24">
        <f>BB290/AT290</f>
        <v>0.54803571428571429</v>
      </c>
      <c r="BD290" s="11"/>
      <c r="BF290" s="7"/>
      <c r="BG290" s="141"/>
      <c r="BH290" s="141"/>
      <c r="BI290" s="9"/>
      <c r="BJ290" s="9"/>
      <c r="BK290" s="5"/>
      <c r="BL290" s="9"/>
      <c r="BM290" s="24"/>
      <c r="BN290" s="24"/>
      <c r="BO290" s="10"/>
      <c r="BP290" s="10"/>
      <c r="BQ290" s="10"/>
      <c r="BR290" s="11"/>
    </row>
    <row r="291" spans="1:70" x14ac:dyDescent="0.2">
      <c r="A291" s="12"/>
      <c r="B291" s="8"/>
      <c r="C291" s="5" t="s">
        <v>22</v>
      </c>
      <c r="D291" s="9">
        <f>SUM(D287:D290)</f>
        <v>103700</v>
      </c>
      <c r="E291" s="34"/>
      <c r="F291" s="9"/>
      <c r="G291" s="9"/>
      <c r="H291" s="9">
        <f>SUM(H287:H290)</f>
        <v>69</v>
      </c>
      <c r="I291" s="9"/>
      <c r="J291" s="143" t="s">
        <v>32</v>
      </c>
      <c r="K291" s="143"/>
      <c r="L291" s="33">
        <f>SUM(L287:L290)</f>
        <v>46200</v>
      </c>
      <c r="M291" s="44">
        <f>L291/D291</f>
        <v>0.44551591128254581</v>
      </c>
      <c r="N291" s="45"/>
      <c r="O291" s="1"/>
      <c r="P291" s="12"/>
      <c r="Q291" s="5" t="s">
        <v>22</v>
      </c>
      <c r="R291" s="9">
        <f>SUM(R287:R290)</f>
        <v>108300</v>
      </c>
      <c r="S291" s="34"/>
      <c r="T291" s="9"/>
      <c r="U291" s="9"/>
      <c r="V291" s="9">
        <f>SUM(V287:V290)</f>
        <v>58</v>
      </c>
      <c r="W291" s="9"/>
      <c r="X291" s="143" t="s">
        <v>32</v>
      </c>
      <c r="Y291" s="143"/>
      <c r="Z291" s="33">
        <f>SUM(Z287:Z290)</f>
        <v>34655</v>
      </c>
      <c r="AA291" s="44">
        <f>Z291/R291</f>
        <v>0.31999076638965834</v>
      </c>
      <c r="AB291" s="11"/>
      <c r="AD291" s="12"/>
      <c r="AE291" s="5" t="s">
        <v>22</v>
      </c>
      <c r="AF291" s="9">
        <f>SUM(AF287:AF290)</f>
        <v>49900</v>
      </c>
      <c r="AG291" s="34"/>
      <c r="AH291" s="9"/>
      <c r="AI291" s="9"/>
      <c r="AJ291" s="9">
        <f>SUM(AJ287:AJ290)</f>
        <v>24</v>
      </c>
      <c r="AK291" s="9"/>
      <c r="AL291" s="143" t="s">
        <v>32</v>
      </c>
      <c r="AM291" s="143"/>
      <c r="AN291" s="33">
        <f>SUM(AN287:AN290)</f>
        <v>13288</v>
      </c>
      <c r="AO291" s="44">
        <f>AN291/AF291</f>
        <v>0.26629258517034066</v>
      </c>
      <c r="AP291" s="11"/>
      <c r="AR291" s="12"/>
      <c r="AS291" s="5" t="s">
        <v>22</v>
      </c>
      <c r="AT291" s="9">
        <f>SUM(AT287:AT290)</f>
        <v>64600</v>
      </c>
      <c r="AU291" s="34"/>
      <c r="AV291" s="9"/>
      <c r="AW291" s="9"/>
      <c r="AX291" s="9">
        <f>SUM(AX287:AX290)</f>
        <v>35</v>
      </c>
      <c r="AY291" s="9"/>
      <c r="AZ291" s="143" t="s">
        <v>32</v>
      </c>
      <c r="BA291" s="143"/>
      <c r="BB291" s="33">
        <f>SUM(BB287:BB290)</f>
        <v>18910</v>
      </c>
      <c r="BC291" s="44">
        <f>BB291/AT291</f>
        <v>0.29272445820433435</v>
      </c>
      <c r="BD291" s="11"/>
      <c r="BF291" s="7"/>
      <c r="BG291" s="141"/>
      <c r="BH291" s="141"/>
      <c r="BI291" s="24"/>
      <c r="BJ291" s="9"/>
      <c r="BK291" s="5"/>
      <c r="BL291" s="9"/>
      <c r="BM291" s="24"/>
      <c r="BN291" s="24"/>
      <c r="BO291" s="10"/>
      <c r="BP291" s="10"/>
      <c r="BQ291" s="10"/>
      <c r="BR291" s="11"/>
    </row>
    <row r="292" spans="1:70" x14ac:dyDescent="0.2">
      <c r="A292" s="28"/>
      <c r="B292" s="27"/>
      <c r="C292" s="2"/>
      <c r="D292" s="2"/>
      <c r="E292" s="2"/>
      <c r="F292" s="2"/>
      <c r="G292" s="2"/>
      <c r="H292" s="2"/>
      <c r="I292" s="2"/>
      <c r="J292" s="119"/>
      <c r="K292" s="2"/>
      <c r="L292" s="2"/>
      <c r="M292" s="2"/>
      <c r="N292" s="32"/>
      <c r="O292" s="1"/>
      <c r="P292" s="28"/>
      <c r="Q292" s="2"/>
      <c r="R292" s="2"/>
      <c r="S292" s="2"/>
      <c r="T292" s="2"/>
      <c r="U292" s="2"/>
      <c r="V292" s="2"/>
      <c r="W292" s="2"/>
      <c r="X292" s="119"/>
      <c r="Y292" s="2"/>
      <c r="Z292" s="2"/>
      <c r="AA292" s="2"/>
      <c r="AB292" s="32"/>
      <c r="AD292" s="28"/>
      <c r="AE292" s="2"/>
      <c r="AF292" s="2"/>
      <c r="AG292" s="2"/>
      <c r="AH292" s="2"/>
      <c r="AI292" s="2"/>
      <c r="AJ292" s="2"/>
      <c r="AK292" s="2"/>
      <c r="AL292" s="119"/>
      <c r="AM292" s="2"/>
      <c r="AN292" s="2"/>
      <c r="AO292" s="2"/>
      <c r="AP292" s="32"/>
      <c r="AR292" s="28"/>
      <c r="AS292" s="2"/>
      <c r="AT292" s="2"/>
      <c r="AU292" s="2"/>
      <c r="AV292" s="2"/>
      <c r="AW292" s="2"/>
      <c r="AX292" s="2"/>
      <c r="AY292" s="2"/>
      <c r="AZ292" s="119"/>
      <c r="BA292" s="2"/>
      <c r="BB292" s="2"/>
      <c r="BC292" s="2"/>
      <c r="BD292" s="32"/>
      <c r="BF292" s="98"/>
    </row>
    <row r="293" spans="1:70" x14ac:dyDescent="0.2">
      <c r="A293" s="28"/>
      <c r="B293" s="133" t="s">
        <v>33</v>
      </c>
      <c r="C293" s="134"/>
      <c r="D293" s="135" t="s">
        <v>34</v>
      </c>
      <c r="E293" s="136"/>
      <c r="F293" s="135" t="s">
        <v>35</v>
      </c>
      <c r="G293" s="136"/>
      <c r="H293" s="2"/>
      <c r="I293" s="2"/>
      <c r="J293" s="119"/>
      <c r="K293" s="2"/>
      <c r="L293" s="2"/>
      <c r="M293" s="2"/>
      <c r="N293" s="32"/>
      <c r="O293" s="1"/>
      <c r="P293" s="28"/>
      <c r="Q293" s="2"/>
      <c r="R293" s="2"/>
      <c r="S293" s="2"/>
      <c r="T293" s="2"/>
      <c r="U293" s="2"/>
      <c r="V293" s="2"/>
      <c r="W293" s="2"/>
      <c r="X293" s="119"/>
      <c r="Y293" s="2"/>
      <c r="Z293" s="2"/>
      <c r="AA293" s="2"/>
      <c r="AB293" s="32"/>
      <c r="AD293" s="28"/>
      <c r="AE293" s="2"/>
      <c r="AF293" s="2"/>
      <c r="AG293" s="2"/>
      <c r="AH293" s="133" t="s">
        <v>33</v>
      </c>
      <c r="AI293" s="134"/>
      <c r="AJ293" s="135" t="s">
        <v>34</v>
      </c>
      <c r="AK293" s="136"/>
      <c r="AL293" s="135" t="s">
        <v>35</v>
      </c>
      <c r="AM293" s="136"/>
      <c r="AN293" s="2"/>
      <c r="AO293" s="2"/>
      <c r="AP293" s="32"/>
      <c r="AR293" s="28"/>
      <c r="AS293" s="2"/>
      <c r="AT293" s="2"/>
      <c r="AU293" s="2"/>
      <c r="AV293" s="2"/>
      <c r="AW293" s="2"/>
      <c r="AX293" s="2"/>
      <c r="AY293" s="2"/>
      <c r="AZ293" s="119"/>
      <c r="BA293" s="2"/>
      <c r="BB293" s="2"/>
      <c r="BC293" s="2"/>
      <c r="BD293" s="32"/>
      <c r="BF293" s="98"/>
    </row>
    <row r="294" spans="1:70" x14ac:dyDescent="0.2">
      <c r="A294" s="28"/>
      <c r="B294" s="137">
        <f>B285/A286*A285</f>
        <v>587666.66666666674</v>
      </c>
      <c r="C294" s="138"/>
      <c r="D294" s="139">
        <f>L281+Z281+AN281+BB281+BL283</f>
        <v>171553</v>
      </c>
      <c r="E294" s="140"/>
      <c r="F294" s="139">
        <f>K284+Y284</f>
        <v>0</v>
      </c>
      <c r="G294" s="140"/>
      <c r="H294" s="2"/>
      <c r="I294" s="2"/>
      <c r="J294" s="119"/>
      <c r="K294" s="2"/>
      <c r="L294" s="2"/>
      <c r="M294" s="2"/>
      <c r="N294" s="32"/>
      <c r="O294" s="1"/>
      <c r="P294" s="28"/>
      <c r="Q294" s="2"/>
      <c r="R294" s="2"/>
      <c r="S294" s="2"/>
      <c r="T294" s="2"/>
      <c r="U294" s="2"/>
      <c r="V294" s="2"/>
      <c r="W294" s="2"/>
      <c r="X294" s="119"/>
      <c r="Y294" s="2"/>
      <c r="Z294" s="2"/>
      <c r="AA294" s="2"/>
      <c r="AB294" s="32"/>
      <c r="AD294" s="28"/>
      <c r="AE294" s="2"/>
      <c r="AF294" s="2"/>
      <c r="AG294" s="2"/>
      <c r="AH294" s="137" t="e">
        <f>AH285/AG286*AG285</f>
        <v>#DIV/0!</v>
      </c>
      <c r="AI294" s="138"/>
      <c r="AJ294" s="139">
        <f>AR281+BF281+BU281+CI281</f>
        <v>0</v>
      </c>
      <c r="AK294" s="140"/>
      <c r="AL294" s="139">
        <f>AQ284+BE284</f>
        <v>0</v>
      </c>
      <c r="AM294" s="140"/>
      <c r="AN294" s="2"/>
      <c r="AO294" s="2"/>
      <c r="AP294" s="32"/>
      <c r="AR294" s="28"/>
      <c r="AS294" s="2"/>
      <c r="AT294" s="2"/>
      <c r="AU294" s="2"/>
      <c r="AV294" s="2"/>
      <c r="AW294" s="2"/>
      <c r="AX294" s="2"/>
      <c r="AY294" s="2"/>
      <c r="AZ294" s="119"/>
      <c r="BA294" s="2"/>
      <c r="BB294" s="2"/>
      <c r="BC294" s="2"/>
      <c r="BD294" s="32"/>
      <c r="BF294" s="98"/>
    </row>
    <row r="295" spans="1:70" ht="15" customHeight="1" x14ac:dyDescent="0.2">
      <c r="B295" s="54"/>
      <c r="C295" s="54"/>
      <c r="D295" s="69" t="s">
        <v>36</v>
      </c>
      <c r="E295" s="57">
        <f>D294/B285</f>
        <v>0.32435810172055207</v>
      </c>
      <c r="F295" s="9"/>
      <c r="G295" s="9"/>
      <c r="K295"/>
      <c r="AH295" s="54"/>
      <c r="AI295" s="54"/>
      <c r="AJ295" s="69" t="s">
        <v>36</v>
      </c>
      <c r="AK295" s="57" t="e">
        <f>AJ294/AH285</f>
        <v>#DIV/0!</v>
      </c>
      <c r="AL295" s="113"/>
      <c r="AM295" s="9"/>
      <c r="BF295" s="98"/>
    </row>
    <row r="296" spans="1:70" x14ac:dyDescent="0.2">
      <c r="K296"/>
      <c r="BF296" s="98"/>
    </row>
    <row r="297" spans="1:70" ht="18.75" x14ac:dyDescent="0.2">
      <c r="A297" s="150" t="s">
        <v>53</v>
      </c>
      <c r="B297" s="150"/>
      <c r="C297" s="150"/>
      <c r="D297" s="150"/>
      <c r="E297" s="151" t="s">
        <v>0</v>
      </c>
      <c r="F297" s="151"/>
      <c r="G297" s="86"/>
      <c r="H297" s="86"/>
      <c r="I297" s="86"/>
      <c r="J297" s="108"/>
      <c r="K297" s="86"/>
      <c r="L297" s="86"/>
      <c r="M297" s="86"/>
      <c r="N297" s="87"/>
      <c r="O297" s="88"/>
      <c r="P297" s="150" t="s">
        <v>53</v>
      </c>
      <c r="Q297" s="150"/>
      <c r="R297" s="150"/>
      <c r="S297" s="151" t="s">
        <v>1</v>
      </c>
      <c r="T297" s="151"/>
      <c r="U297" s="86"/>
      <c r="V297" s="86"/>
      <c r="W297" s="86"/>
      <c r="X297" s="108"/>
      <c r="Y297" s="86"/>
      <c r="Z297" s="86"/>
      <c r="AA297" s="86"/>
      <c r="AB297" s="87"/>
      <c r="AD297" s="150" t="s">
        <v>53</v>
      </c>
      <c r="AE297" s="150"/>
      <c r="AF297" s="150"/>
      <c r="AG297" s="151" t="s">
        <v>54</v>
      </c>
      <c r="AH297" s="151"/>
      <c r="AI297" s="86"/>
      <c r="AJ297" s="86"/>
      <c r="AK297" s="86"/>
      <c r="AL297" s="108"/>
      <c r="AM297" s="86"/>
      <c r="AN297" s="86"/>
      <c r="AO297" s="86"/>
      <c r="AP297" s="87"/>
      <c r="AR297" s="150" t="s">
        <v>53</v>
      </c>
      <c r="AS297" s="150"/>
      <c r="AT297" s="150"/>
      <c r="AU297" s="151" t="s">
        <v>55</v>
      </c>
      <c r="AV297" s="151"/>
      <c r="AW297" s="86"/>
      <c r="AX297" s="86"/>
      <c r="AY297" s="86"/>
      <c r="AZ297" s="108"/>
      <c r="BA297" s="86"/>
      <c r="BB297" s="86"/>
      <c r="BC297" s="86"/>
      <c r="BD297" s="87"/>
      <c r="BE297" s="105"/>
      <c r="BF297" s="150" t="s">
        <v>43</v>
      </c>
      <c r="BG297" s="150"/>
      <c r="BH297" s="150"/>
      <c r="BI297" s="148" t="s">
        <v>44</v>
      </c>
      <c r="BJ297" s="148"/>
      <c r="BK297" s="106"/>
      <c r="BL297" s="106"/>
      <c r="BM297" s="106"/>
      <c r="BN297" s="106"/>
      <c r="BO297" s="106"/>
      <c r="BP297" s="106"/>
      <c r="BQ297" s="106"/>
      <c r="BR297" s="106"/>
    </row>
    <row r="298" spans="1:70" x14ac:dyDescent="0.2">
      <c r="A298" s="7" t="s">
        <v>2</v>
      </c>
      <c r="B298" s="60" t="s">
        <v>3</v>
      </c>
      <c r="C298" s="5" t="s">
        <v>4</v>
      </c>
      <c r="D298" s="5" t="s">
        <v>5</v>
      </c>
      <c r="E298" s="6" t="s">
        <v>6</v>
      </c>
      <c r="F298" s="5" t="s">
        <v>5</v>
      </c>
      <c r="G298" s="5" t="s">
        <v>7</v>
      </c>
      <c r="H298" s="5" t="s">
        <v>8</v>
      </c>
      <c r="I298" s="5" t="s">
        <v>9</v>
      </c>
      <c r="J298" s="92" t="s">
        <v>10</v>
      </c>
      <c r="K298" s="5" t="s">
        <v>11</v>
      </c>
      <c r="L298" s="5" t="s">
        <v>8</v>
      </c>
      <c r="M298" s="5" t="s">
        <v>12</v>
      </c>
      <c r="N298" s="5" t="s">
        <v>13</v>
      </c>
      <c r="O298" s="3"/>
      <c r="P298" s="7" t="s">
        <v>2</v>
      </c>
      <c r="Q298" s="5" t="s">
        <v>4</v>
      </c>
      <c r="R298" s="5" t="s">
        <v>5</v>
      </c>
      <c r="S298" s="6" t="s">
        <v>6</v>
      </c>
      <c r="T298" s="5" t="s">
        <v>5</v>
      </c>
      <c r="U298" s="5" t="s">
        <v>7</v>
      </c>
      <c r="V298" s="5" t="s">
        <v>8</v>
      </c>
      <c r="W298" s="5" t="s">
        <v>9</v>
      </c>
      <c r="X298" s="92" t="s">
        <v>10</v>
      </c>
      <c r="Y298" s="5" t="s">
        <v>11</v>
      </c>
      <c r="Z298" s="5" t="s">
        <v>8</v>
      </c>
      <c r="AA298" s="5" t="s">
        <v>12</v>
      </c>
      <c r="AB298" s="5" t="s">
        <v>13</v>
      </c>
      <c r="AD298" s="7" t="s">
        <v>2</v>
      </c>
      <c r="AE298" s="5" t="s">
        <v>4</v>
      </c>
      <c r="AF298" s="5" t="s">
        <v>5</v>
      </c>
      <c r="AG298" s="6" t="s">
        <v>6</v>
      </c>
      <c r="AH298" s="5" t="s">
        <v>5</v>
      </c>
      <c r="AI298" s="5" t="s">
        <v>7</v>
      </c>
      <c r="AJ298" s="5" t="s">
        <v>8</v>
      </c>
      <c r="AK298" s="5" t="s">
        <v>9</v>
      </c>
      <c r="AL298" s="92" t="s">
        <v>10</v>
      </c>
      <c r="AM298" s="5" t="s">
        <v>11</v>
      </c>
      <c r="AN298" s="5" t="s">
        <v>8</v>
      </c>
      <c r="AO298" s="5" t="s">
        <v>12</v>
      </c>
      <c r="AP298" s="5" t="s">
        <v>13</v>
      </c>
      <c r="AR298" s="7" t="s">
        <v>2</v>
      </c>
      <c r="AS298" s="5" t="s">
        <v>4</v>
      </c>
      <c r="AT298" s="5" t="s">
        <v>5</v>
      </c>
      <c r="AU298" s="6" t="s">
        <v>6</v>
      </c>
      <c r="AV298" s="5" t="s">
        <v>5</v>
      </c>
      <c r="AW298" s="5" t="s">
        <v>7</v>
      </c>
      <c r="AX298" s="5" t="s">
        <v>8</v>
      </c>
      <c r="AY298" s="5" t="s">
        <v>9</v>
      </c>
      <c r="AZ298" s="92" t="s">
        <v>10</v>
      </c>
      <c r="BA298" s="5" t="s">
        <v>11</v>
      </c>
      <c r="BB298" s="5" t="s">
        <v>8</v>
      </c>
      <c r="BC298" s="5" t="s">
        <v>12</v>
      </c>
      <c r="BD298" s="5" t="s">
        <v>13</v>
      </c>
      <c r="BF298" s="89" t="s">
        <v>2</v>
      </c>
      <c r="BG298" s="5" t="s">
        <v>4</v>
      </c>
      <c r="BH298" s="5" t="s">
        <v>5</v>
      </c>
      <c r="BI298" s="6" t="s">
        <v>6</v>
      </c>
      <c r="BJ298" s="5" t="s">
        <v>5</v>
      </c>
      <c r="BK298" s="5" t="s">
        <v>7</v>
      </c>
      <c r="BL298" s="5" t="s">
        <v>8</v>
      </c>
      <c r="BM298" s="5" t="s">
        <v>9</v>
      </c>
      <c r="BN298" s="5"/>
      <c r="BO298" s="5" t="s">
        <v>11</v>
      </c>
      <c r="BP298" s="5" t="s">
        <v>45</v>
      </c>
      <c r="BQ298" s="5" t="s">
        <v>46</v>
      </c>
      <c r="BR298" s="5" t="s">
        <v>13</v>
      </c>
    </row>
    <row r="299" spans="1:70" x14ac:dyDescent="0.2">
      <c r="A299" s="12">
        <v>45948</v>
      </c>
      <c r="B299" s="61">
        <v>967</v>
      </c>
      <c r="C299" s="33">
        <v>14552</v>
      </c>
      <c r="D299" s="33">
        <v>89</v>
      </c>
      <c r="E299" s="33">
        <v>1042</v>
      </c>
      <c r="F299" s="33">
        <v>3</v>
      </c>
      <c r="G299" s="33">
        <v>12</v>
      </c>
      <c r="H299" s="33">
        <v>2</v>
      </c>
      <c r="I299" s="33"/>
      <c r="J299" s="109" t="s">
        <v>82</v>
      </c>
      <c r="K299" s="40">
        <v>1075</v>
      </c>
      <c r="L299" s="33">
        <v>2150</v>
      </c>
      <c r="M299" s="41">
        <v>0.24157303370786518</v>
      </c>
      <c r="N299" s="11"/>
      <c r="O299" s="1"/>
      <c r="P299" s="12">
        <v>45948</v>
      </c>
      <c r="Q299" s="33">
        <v>13648</v>
      </c>
      <c r="R299" s="33">
        <v>133</v>
      </c>
      <c r="S299" s="33">
        <v>1375</v>
      </c>
      <c r="T299" s="33">
        <v>2</v>
      </c>
      <c r="U299" s="33">
        <v>8</v>
      </c>
      <c r="V299" s="33">
        <v>2</v>
      </c>
      <c r="W299" s="33"/>
      <c r="X299" s="109" t="s">
        <v>47</v>
      </c>
      <c r="Y299" s="40">
        <v>957</v>
      </c>
      <c r="Z299" s="33">
        <v>0</v>
      </c>
      <c r="AA299" s="41">
        <v>0</v>
      </c>
      <c r="AB299" s="11"/>
      <c r="AD299" s="12">
        <v>45948</v>
      </c>
      <c r="AE299" s="33">
        <v>11715</v>
      </c>
      <c r="AF299" s="33">
        <v>7</v>
      </c>
      <c r="AG299" s="33">
        <v>893</v>
      </c>
      <c r="AH299" s="33">
        <v>0</v>
      </c>
      <c r="AI299" s="33">
        <v>7</v>
      </c>
      <c r="AJ299" s="33">
        <v>0</v>
      </c>
      <c r="AK299" s="33"/>
      <c r="AL299" s="109" t="s">
        <v>64</v>
      </c>
      <c r="AM299" s="40">
        <v>748</v>
      </c>
      <c r="AN299" s="33">
        <v>0</v>
      </c>
      <c r="AO299" s="41">
        <v>0</v>
      </c>
      <c r="AP299" s="11"/>
      <c r="AR299" s="12">
        <v>45948</v>
      </c>
      <c r="AS299" s="33">
        <v>8305</v>
      </c>
      <c r="AT299" s="33">
        <v>58</v>
      </c>
      <c r="AU299" s="33">
        <v>468</v>
      </c>
      <c r="AV299" s="33">
        <v>1</v>
      </c>
      <c r="AW299" s="33">
        <v>6</v>
      </c>
      <c r="AX299" s="33">
        <v>1</v>
      </c>
      <c r="AY299" s="33"/>
      <c r="AZ299" s="109" t="s">
        <v>40</v>
      </c>
      <c r="BA299" s="40">
        <v>722</v>
      </c>
      <c r="BB299" s="33">
        <v>722</v>
      </c>
      <c r="BC299" s="41">
        <v>0.12448275862068965</v>
      </c>
      <c r="BD299" s="11"/>
      <c r="BF299" s="7">
        <v>45950</v>
      </c>
      <c r="BG299" s="13">
        <v>0</v>
      </c>
      <c r="BH299" s="33">
        <v>0</v>
      </c>
      <c r="BI299" s="9">
        <v>991</v>
      </c>
      <c r="BJ299" s="33">
        <v>0</v>
      </c>
      <c r="BK299" s="33">
        <v>11</v>
      </c>
      <c r="BL299" s="33">
        <v>0</v>
      </c>
      <c r="BM299" s="33">
        <v>0</v>
      </c>
      <c r="BN299" s="33"/>
      <c r="BO299" s="33">
        <v>715</v>
      </c>
      <c r="BP299" s="9">
        <v>0</v>
      </c>
      <c r="BQ299" s="10">
        <v>0</v>
      </c>
      <c r="BR299" s="93" t="s">
        <v>119</v>
      </c>
    </row>
    <row r="300" spans="1:70" x14ac:dyDescent="0.2">
      <c r="A300" s="59"/>
      <c r="B300" s="8"/>
      <c r="C300" s="33">
        <v>16363</v>
      </c>
      <c r="D300" s="9">
        <v>87</v>
      </c>
      <c r="E300" s="33">
        <v>561</v>
      </c>
      <c r="F300" s="9">
        <v>5</v>
      </c>
      <c r="G300" s="9">
        <v>43</v>
      </c>
      <c r="H300" s="9">
        <v>5</v>
      </c>
      <c r="I300" s="9"/>
      <c r="J300" s="109" t="s">
        <v>15</v>
      </c>
      <c r="K300" s="33">
        <v>275</v>
      </c>
      <c r="L300" s="9">
        <v>1375</v>
      </c>
      <c r="M300" s="10">
        <v>0.15804597701149425</v>
      </c>
      <c r="N300" s="11"/>
      <c r="O300" s="1"/>
      <c r="P300" s="12"/>
      <c r="Q300" s="33">
        <v>13461</v>
      </c>
      <c r="R300" s="9">
        <v>24</v>
      </c>
      <c r="S300" s="33">
        <v>484</v>
      </c>
      <c r="T300" s="9">
        <v>0</v>
      </c>
      <c r="U300" s="9">
        <v>10</v>
      </c>
      <c r="V300" s="9">
        <v>0</v>
      </c>
      <c r="W300" s="9"/>
      <c r="X300" s="121" t="s">
        <v>58</v>
      </c>
      <c r="Y300" s="34">
        <v>600</v>
      </c>
      <c r="Z300" s="9">
        <v>0</v>
      </c>
      <c r="AA300" s="10">
        <v>0</v>
      </c>
      <c r="AB300" s="11"/>
      <c r="AD300" s="12"/>
      <c r="AE300" s="33">
        <v>11230</v>
      </c>
      <c r="AF300" s="9">
        <v>20</v>
      </c>
      <c r="AG300" s="33">
        <v>766</v>
      </c>
      <c r="AH300" s="9">
        <v>1</v>
      </c>
      <c r="AI300" s="9">
        <v>20</v>
      </c>
      <c r="AJ300" s="9">
        <v>1</v>
      </c>
      <c r="AK300" s="9"/>
      <c r="AL300" s="121" t="s">
        <v>59</v>
      </c>
      <c r="AM300" s="34">
        <v>748</v>
      </c>
      <c r="AN300" s="9">
        <v>748</v>
      </c>
      <c r="AO300" s="10">
        <v>0.374</v>
      </c>
      <c r="AP300" s="11"/>
      <c r="AR300" s="12"/>
      <c r="AS300" s="33">
        <v>9919</v>
      </c>
      <c r="AT300" s="9">
        <v>38</v>
      </c>
      <c r="AU300" s="33">
        <v>517</v>
      </c>
      <c r="AV300" s="9">
        <v>2</v>
      </c>
      <c r="AW300" s="9">
        <v>19</v>
      </c>
      <c r="AX300" s="9">
        <v>2</v>
      </c>
      <c r="AY300" s="9"/>
      <c r="AZ300" s="121" t="s">
        <v>60</v>
      </c>
      <c r="BA300" s="34">
        <v>1100</v>
      </c>
      <c r="BB300" s="9">
        <v>2200</v>
      </c>
      <c r="BC300" s="10">
        <v>0.57894736842105265</v>
      </c>
      <c r="BD300" s="11"/>
      <c r="BF300" s="96">
        <f>IF($A303="","",$A303)</f>
        <v>45950</v>
      </c>
      <c r="BG300" s="13">
        <v>0</v>
      </c>
      <c r="BH300" s="9">
        <f t="shared" ref="BH300:BH308" si="351">IF(BG300="","",BG300-BG299)</f>
        <v>0</v>
      </c>
      <c r="BI300" s="9">
        <v>991</v>
      </c>
      <c r="BJ300" s="9">
        <f t="shared" ref="BJ300:BJ308" si="352">IF(BI300="","",BI300-BI299)</f>
        <v>0</v>
      </c>
      <c r="BK300" s="33">
        <v>11</v>
      </c>
      <c r="BL300" s="9">
        <f t="shared" ref="BL300:BL308" si="353">IF(BK300="","",BK299+BM299-BK300)</f>
        <v>0</v>
      </c>
      <c r="BM300" s="33">
        <v>0</v>
      </c>
      <c r="BN300" s="33"/>
      <c r="BO300" s="33">
        <f t="shared" ref="BO300:BO308" si="354">IF(BG300="","",BO299)</f>
        <v>715</v>
      </c>
      <c r="BP300" s="9">
        <f t="shared" ref="BP300:BP308" si="355">IF(BO300="","",BL300*BO300)</f>
        <v>0</v>
      </c>
      <c r="BQ300" s="10" t="e">
        <f t="shared" ref="BQ300:BQ308" si="356">IF(BP300="","",BP300/(BH300*100))</f>
        <v>#DIV/0!</v>
      </c>
      <c r="BR300" s="11"/>
    </row>
    <row r="301" spans="1:70" x14ac:dyDescent="0.2">
      <c r="A301" s="12"/>
      <c r="B301" s="8"/>
      <c r="C301" s="33">
        <v>15504</v>
      </c>
      <c r="D301" s="9">
        <v>136</v>
      </c>
      <c r="E301" s="33">
        <v>586</v>
      </c>
      <c r="F301" s="9">
        <v>0</v>
      </c>
      <c r="G301" s="9">
        <v>18</v>
      </c>
      <c r="H301" s="9">
        <v>0</v>
      </c>
      <c r="I301" s="9"/>
      <c r="J301" s="110" t="s">
        <v>81</v>
      </c>
      <c r="K301" s="34">
        <v>500</v>
      </c>
      <c r="L301" s="9">
        <v>0</v>
      </c>
      <c r="M301" s="10">
        <v>0</v>
      </c>
      <c r="N301" s="11"/>
      <c r="O301" s="1"/>
      <c r="P301" s="12"/>
      <c r="Q301" s="33">
        <v>13425</v>
      </c>
      <c r="R301" s="9">
        <v>91</v>
      </c>
      <c r="S301" s="33">
        <v>890</v>
      </c>
      <c r="T301" s="9">
        <v>9</v>
      </c>
      <c r="U301" s="9">
        <v>83</v>
      </c>
      <c r="V301" s="9">
        <v>9</v>
      </c>
      <c r="W301" s="9"/>
      <c r="X301" s="121" t="s">
        <v>48</v>
      </c>
      <c r="Y301" s="34">
        <v>198</v>
      </c>
      <c r="Z301" s="9">
        <v>1782</v>
      </c>
      <c r="AA301" s="10">
        <v>0.19582417582417583</v>
      </c>
      <c r="AB301" s="11"/>
      <c r="AD301" s="12"/>
      <c r="AE301" s="33">
        <v>14066</v>
      </c>
      <c r="AF301" s="9">
        <v>16</v>
      </c>
      <c r="AG301" s="33">
        <v>2384</v>
      </c>
      <c r="AH301" s="9">
        <v>0</v>
      </c>
      <c r="AI301" s="9">
        <v>13</v>
      </c>
      <c r="AJ301" s="9">
        <v>-1</v>
      </c>
      <c r="AK301" s="9"/>
      <c r="AL301" s="121" t="s">
        <v>61</v>
      </c>
      <c r="AM301" s="34">
        <v>700</v>
      </c>
      <c r="AN301" s="9">
        <v>-700</v>
      </c>
      <c r="AO301" s="10">
        <v>-0.4375</v>
      </c>
      <c r="AP301" s="11" t="s">
        <v>113</v>
      </c>
      <c r="AR301" s="12"/>
      <c r="AS301" s="33">
        <v>12336</v>
      </c>
      <c r="AT301" s="9">
        <v>8</v>
      </c>
      <c r="AU301" s="33">
        <v>731</v>
      </c>
      <c r="AV301" s="9">
        <v>0</v>
      </c>
      <c r="AW301" s="9">
        <v>14</v>
      </c>
      <c r="AX301" s="9">
        <v>0</v>
      </c>
      <c r="AY301" s="9"/>
      <c r="AZ301" s="121" t="s">
        <v>20</v>
      </c>
      <c r="BA301" s="34">
        <v>528</v>
      </c>
      <c r="BB301" s="9">
        <v>0</v>
      </c>
      <c r="BC301" s="10">
        <v>0</v>
      </c>
      <c r="BD301" s="11"/>
      <c r="BF301" s="96">
        <f>IF($A307="","",$A307)</f>
        <v>45954</v>
      </c>
      <c r="BG301" s="13">
        <v>0</v>
      </c>
      <c r="BH301" s="9">
        <f t="shared" si="351"/>
        <v>0</v>
      </c>
      <c r="BI301" s="9">
        <v>991</v>
      </c>
      <c r="BJ301" s="9">
        <f t="shared" si="352"/>
        <v>0</v>
      </c>
      <c r="BK301" s="33">
        <v>11</v>
      </c>
      <c r="BL301" s="9">
        <f t="shared" si="353"/>
        <v>0</v>
      </c>
      <c r="BM301" s="33">
        <v>0</v>
      </c>
      <c r="BN301" s="33"/>
      <c r="BO301" s="33">
        <f t="shared" si="354"/>
        <v>715</v>
      </c>
      <c r="BP301" s="9">
        <f t="shared" si="355"/>
        <v>0</v>
      </c>
      <c r="BQ301" s="10" t="e">
        <f t="shared" si="356"/>
        <v>#DIV/0!</v>
      </c>
      <c r="BR301" s="11"/>
    </row>
    <row r="302" spans="1:70" ht="15" customHeight="1" thickBot="1" x14ac:dyDescent="0.25">
      <c r="A302" s="16"/>
      <c r="B302" s="62"/>
      <c r="C302" s="36">
        <v>11250</v>
      </c>
      <c r="D302" s="36">
        <v>127</v>
      </c>
      <c r="E302" s="36">
        <v>1170</v>
      </c>
      <c r="F302" s="17">
        <v>3</v>
      </c>
      <c r="G302" s="17">
        <v>14</v>
      </c>
      <c r="H302" s="17">
        <v>3</v>
      </c>
      <c r="I302" s="17"/>
      <c r="J302" s="111" t="s">
        <v>83</v>
      </c>
      <c r="K302" s="17">
        <v>996</v>
      </c>
      <c r="L302" s="17">
        <v>2988</v>
      </c>
      <c r="M302" s="18">
        <v>0.23527559055118111</v>
      </c>
      <c r="N302" s="11"/>
      <c r="O302" s="1"/>
      <c r="P302" s="16"/>
      <c r="Q302" s="36">
        <v>11460</v>
      </c>
      <c r="R302" s="36">
        <v>82</v>
      </c>
      <c r="S302" s="36">
        <v>1038</v>
      </c>
      <c r="T302" s="17">
        <v>2</v>
      </c>
      <c r="U302" s="17">
        <v>10</v>
      </c>
      <c r="V302" s="17">
        <v>2</v>
      </c>
      <c r="W302" s="17"/>
      <c r="X302" s="122" t="s">
        <v>18</v>
      </c>
      <c r="Y302" s="17">
        <v>286</v>
      </c>
      <c r="Z302" s="17">
        <v>572</v>
      </c>
      <c r="AA302" s="18">
        <v>6.9756097560975616E-2</v>
      </c>
      <c r="AB302" s="11"/>
      <c r="AD302" s="16"/>
      <c r="AE302" s="36">
        <v>13571</v>
      </c>
      <c r="AF302" s="36">
        <v>40</v>
      </c>
      <c r="AG302" s="36">
        <v>1521</v>
      </c>
      <c r="AH302" s="17">
        <v>1</v>
      </c>
      <c r="AI302" s="17">
        <v>15</v>
      </c>
      <c r="AJ302" s="17">
        <v>1</v>
      </c>
      <c r="AK302" s="17"/>
      <c r="AL302" s="122" t="s">
        <v>80</v>
      </c>
      <c r="AM302" s="17">
        <v>500</v>
      </c>
      <c r="AN302" s="17">
        <v>500</v>
      </c>
      <c r="AO302" s="18">
        <v>0.125</v>
      </c>
      <c r="AP302" s="11"/>
      <c r="AR302" s="16"/>
      <c r="AS302" s="36">
        <v>10259</v>
      </c>
      <c r="AT302" s="36">
        <v>11</v>
      </c>
      <c r="AU302" s="36">
        <v>792</v>
      </c>
      <c r="AV302" s="17">
        <v>1</v>
      </c>
      <c r="AW302" s="17">
        <v>25</v>
      </c>
      <c r="AX302" s="17">
        <v>1</v>
      </c>
      <c r="AY302" s="17"/>
      <c r="AZ302" s="122" t="s">
        <v>94</v>
      </c>
      <c r="BA302" s="17">
        <v>660</v>
      </c>
      <c r="BB302" s="17">
        <v>660</v>
      </c>
      <c r="BC302" s="18">
        <v>0.6</v>
      </c>
      <c r="BD302" s="11"/>
      <c r="BF302" s="96">
        <f>IF($A311="","",$A311)</f>
        <v>45957</v>
      </c>
      <c r="BG302" s="13">
        <v>0</v>
      </c>
      <c r="BH302" s="9">
        <f t="shared" si="351"/>
        <v>0</v>
      </c>
      <c r="BI302" s="9">
        <v>991</v>
      </c>
      <c r="BJ302" s="9">
        <f t="shared" si="352"/>
        <v>0</v>
      </c>
      <c r="BK302" s="33">
        <v>11</v>
      </c>
      <c r="BL302" s="9">
        <f t="shared" si="353"/>
        <v>0</v>
      </c>
      <c r="BM302" s="33">
        <v>0</v>
      </c>
      <c r="BN302" s="33"/>
      <c r="BO302" s="33">
        <f t="shared" si="354"/>
        <v>715</v>
      </c>
      <c r="BP302" s="9">
        <f t="shared" si="355"/>
        <v>0</v>
      </c>
      <c r="BQ302" s="10" t="e">
        <f t="shared" si="356"/>
        <v>#DIV/0!</v>
      </c>
      <c r="BR302" s="11"/>
    </row>
    <row r="303" spans="1:70" ht="15" customHeight="1" thickTop="1" x14ac:dyDescent="0.2">
      <c r="A303" s="71">
        <v>45950</v>
      </c>
      <c r="B303" s="61">
        <f>SUM(D303:D306)+SUM(R303:R306)+SUM(AF303:AF306)+SUM(AT303:AT306)</f>
        <v>673</v>
      </c>
      <c r="C303" s="33">
        <v>14576</v>
      </c>
      <c r="D303" s="33">
        <f t="shared" ref="D303:D318" si="357">IF(C303="","",C303-C299)</f>
        <v>24</v>
      </c>
      <c r="E303" s="33">
        <v>1044</v>
      </c>
      <c r="F303" s="20">
        <f t="shared" ref="F303:F318" si="358">IF(E303="","",E303-E299)</f>
        <v>2</v>
      </c>
      <c r="G303" s="33">
        <v>12</v>
      </c>
      <c r="H303" s="33">
        <f t="shared" ref="H303:H318" si="359">IF(G303="","",G299+I299-G303)</f>
        <v>0</v>
      </c>
      <c r="I303" s="43">
        <v>0</v>
      </c>
      <c r="J303" s="112" t="str">
        <f t="shared" ref="J303:J318" si="360">IF(C303="","",J299)</f>
        <v>液晶ミニカメラ</v>
      </c>
      <c r="K303" s="40">
        <f t="shared" ref="K303:K318" si="361">IF(D303="","",K299)</f>
        <v>1075</v>
      </c>
      <c r="L303" s="20">
        <f t="shared" ref="L303:L318" si="362">IF(G303="","",H303*K303)</f>
        <v>0</v>
      </c>
      <c r="M303" s="21">
        <f t="shared" ref="M303:M318" si="363">IF(H303="","",L303/(D303*100))</f>
        <v>0</v>
      </c>
      <c r="N303" s="11"/>
      <c r="O303" s="1"/>
      <c r="P303" s="76">
        <f>IF($A303="","",$A303)</f>
        <v>45950</v>
      </c>
      <c r="Q303" s="33">
        <v>13674</v>
      </c>
      <c r="R303" s="33">
        <f t="shared" ref="R303:R338" si="364">IF(Q303="","",Q303-Q299)</f>
        <v>26</v>
      </c>
      <c r="S303" s="33">
        <v>1376</v>
      </c>
      <c r="T303" s="20">
        <f t="shared" ref="T303:T338" si="365">IF(S303="","",S303-S299)</f>
        <v>1</v>
      </c>
      <c r="U303" s="33">
        <v>7</v>
      </c>
      <c r="V303" s="33">
        <f t="shared" ref="V303:V338" si="366">IF(U303="","",U299+W299-U303)</f>
        <v>1</v>
      </c>
      <c r="W303" s="43">
        <v>2</v>
      </c>
      <c r="X303" s="112" t="str">
        <f t="shared" ref="X303:X329" si="367">IF(Q303="","",X299)</f>
        <v>キティフェイスポーチ</v>
      </c>
      <c r="Y303" s="40">
        <f t="shared" ref="Y303:Y338" si="368">IF(R303="","",Y299)</f>
        <v>957</v>
      </c>
      <c r="Z303" s="20">
        <f t="shared" ref="Z303:Z338" si="369">IF(U303="","",V303*Y303)</f>
        <v>957</v>
      </c>
      <c r="AA303" s="21">
        <f t="shared" ref="AA303:AA338" si="370">IF(V303="","",Z303/(R303*100))</f>
        <v>0.36807692307692308</v>
      </c>
      <c r="AB303" s="11"/>
      <c r="AD303" s="76">
        <f>IF($A303="","",$A303)</f>
        <v>45950</v>
      </c>
      <c r="AE303" s="33">
        <v>11729</v>
      </c>
      <c r="AF303" s="33">
        <f t="shared" ref="AF303:AF338" si="371">IF(AE303="","",AE303-AE299)</f>
        <v>14</v>
      </c>
      <c r="AG303" s="33">
        <v>893</v>
      </c>
      <c r="AH303" s="20">
        <f t="shared" ref="AH303:AH338" si="372">IF(AG303="","",AG303-AG299)</f>
        <v>0</v>
      </c>
      <c r="AI303" s="33">
        <v>7</v>
      </c>
      <c r="AJ303" s="33">
        <f t="shared" ref="AJ303:AJ338" si="373">IF(AI303="","",AI299+AK299-AI303)</f>
        <v>0</v>
      </c>
      <c r="AK303" s="43">
        <v>8</v>
      </c>
      <c r="AL303" s="112" t="str">
        <f t="shared" ref="AL303:AL308" si="374">IF(AE303="","",AL299)</f>
        <v>ピクミンマスコット</v>
      </c>
      <c r="AM303" s="40">
        <f t="shared" ref="AM303:AM338" si="375">IF(AF303="","",AM299)</f>
        <v>748</v>
      </c>
      <c r="AN303" s="20">
        <f t="shared" ref="AN303:AN338" si="376">IF(AI303="","",AJ303*AM303)</f>
        <v>0</v>
      </c>
      <c r="AO303" s="21">
        <f t="shared" ref="AO303:AO338" si="377">IF(AJ303="","",AN303/(AF303*100))</f>
        <v>0</v>
      </c>
      <c r="AP303" s="11" t="s">
        <v>107</v>
      </c>
      <c r="AR303" s="76">
        <f>IF($A303="","",$A303)</f>
        <v>45950</v>
      </c>
      <c r="AS303" s="33">
        <v>8322</v>
      </c>
      <c r="AT303" s="33">
        <f t="shared" ref="AT303:AT338" si="378">IF(AS303="","",AS303-AS299)</f>
        <v>17</v>
      </c>
      <c r="AU303" s="33">
        <v>469</v>
      </c>
      <c r="AV303" s="20">
        <f t="shared" ref="AV303:AV338" si="379">IF(AU303="","",AU303-AU299)</f>
        <v>1</v>
      </c>
      <c r="AW303" s="33">
        <v>5</v>
      </c>
      <c r="AX303" s="33">
        <f t="shared" ref="AX303:AX338" si="380">IF(AW303="","",AW299+AY299-AW303)</f>
        <v>1</v>
      </c>
      <c r="AY303" s="43">
        <v>6</v>
      </c>
      <c r="AZ303" s="112" t="str">
        <f t="shared" ref="AZ303:AZ329" si="381">IF(AS303="","",AZ299)</f>
        <v>デジタルミニカメラ</v>
      </c>
      <c r="BA303" s="40">
        <f t="shared" ref="BA303:BA338" si="382">IF(AT303="","",BA299)</f>
        <v>722</v>
      </c>
      <c r="BB303" s="20">
        <f t="shared" ref="BB303:BB338" si="383">IF(AW303="","",AX303*BA303)</f>
        <v>722</v>
      </c>
      <c r="BC303" s="21">
        <f t="shared" ref="BC303:BC338" si="384">IF(AX303="","",BB303/(AT303*100))</f>
        <v>0.42470588235294116</v>
      </c>
      <c r="BD303" s="11"/>
      <c r="BF303" s="96">
        <f>IF($A315="","",$A315)</f>
        <v>45962</v>
      </c>
      <c r="BG303" s="13">
        <v>0</v>
      </c>
      <c r="BH303" s="9">
        <f t="shared" si="351"/>
        <v>0</v>
      </c>
      <c r="BI303" s="9">
        <v>991</v>
      </c>
      <c r="BJ303" s="9">
        <f t="shared" si="352"/>
        <v>0</v>
      </c>
      <c r="BK303" s="33">
        <v>11</v>
      </c>
      <c r="BL303" s="9">
        <f t="shared" si="353"/>
        <v>0</v>
      </c>
      <c r="BM303" s="33">
        <v>0</v>
      </c>
      <c r="BN303" s="33"/>
      <c r="BO303" s="33">
        <f t="shared" si="354"/>
        <v>715</v>
      </c>
      <c r="BP303" s="9">
        <f t="shared" si="355"/>
        <v>0</v>
      </c>
      <c r="BQ303" s="10" t="e">
        <f t="shared" si="356"/>
        <v>#DIV/0!</v>
      </c>
      <c r="BR303" s="11"/>
    </row>
    <row r="304" spans="1:70" x14ac:dyDescent="0.2">
      <c r="A304" s="72"/>
      <c r="B304" s="63"/>
      <c r="C304" s="9">
        <v>16404</v>
      </c>
      <c r="D304" s="9">
        <f t="shared" si="357"/>
        <v>41</v>
      </c>
      <c r="E304" s="9">
        <v>561</v>
      </c>
      <c r="F304" s="9">
        <f t="shared" si="358"/>
        <v>0</v>
      </c>
      <c r="G304" s="9">
        <v>43</v>
      </c>
      <c r="H304" s="9">
        <f t="shared" si="359"/>
        <v>0</v>
      </c>
      <c r="I304" s="13">
        <v>0</v>
      </c>
      <c r="J304" s="113" t="str">
        <f t="shared" si="360"/>
        <v>電ブル</v>
      </c>
      <c r="K304" s="34">
        <f t="shared" si="361"/>
        <v>275</v>
      </c>
      <c r="L304" s="9">
        <f t="shared" si="362"/>
        <v>0</v>
      </c>
      <c r="M304" s="10">
        <f t="shared" si="363"/>
        <v>0</v>
      </c>
      <c r="N304" s="11"/>
      <c r="O304" s="1"/>
      <c r="P304" s="72"/>
      <c r="Q304" s="9">
        <v>13495</v>
      </c>
      <c r="R304" s="9">
        <f t="shared" si="364"/>
        <v>34</v>
      </c>
      <c r="S304" s="9">
        <v>484</v>
      </c>
      <c r="T304" s="9">
        <f t="shared" si="365"/>
        <v>0</v>
      </c>
      <c r="U304" s="9">
        <v>10</v>
      </c>
      <c r="V304" s="9">
        <f t="shared" si="366"/>
        <v>0</v>
      </c>
      <c r="W304" s="13">
        <v>0</v>
      </c>
      <c r="X304" s="113" t="str">
        <f t="shared" si="367"/>
        <v>サンリオミニリュックチャーム付</v>
      </c>
      <c r="Y304" s="34">
        <f t="shared" si="368"/>
        <v>600</v>
      </c>
      <c r="Z304" s="9">
        <f t="shared" si="369"/>
        <v>0</v>
      </c>
      <c r="AA304" s="10">
        <f t="shared" si="370"/>
        <v>0</v>
      </c>
      <c r="AB304" s="11"/>
      <c r="AD304" s="72"/>
      <c r="AE304" s="9">
        <v>11258</v>
      </c>
      <c r="AF304" s="9">
        <f t="shared" si="371"/>
        <v>28</v>
      </c>
      <c r="AG304" s="9">
        <v>766</v>
      </c>
      <c r="AH304" s="9">
        <f t="shared" si="372"/>
        <v>0</v>
      </c>
      <c r="AI304" s="9">
        <v>20</v>
      </c>
      <c r="AJ304" s="9">
        <f t="shared" si="373"/>
        <v>0</v>
      </c>
      <c r="AK304" s="13">
        <v>0</v>
      </c>
      <c r="AL304" s="113" t="str">
        <f t="shared" si="374"/>
        <v>ジャグラーサウンドフラッシュ</v>
      </c>
      <c r="AM304" s="34">
        <f t="shared" si="375"/>
        <v>748</v>
      </c>
      <c r="AN304" s="9">
        <f t="shared" si="376"/>
        <v>0</v>
      </c>
      <c r="AO304" s="10">
        <f t="shared" si="377"/>
        <v>0</v>
      </c>
      <c r="AP304" s="11"/>
      <c r="AR304" s="72"/>
      <c r="AS304" s="9">
        <v>9944</v>
      </c>
      <c r="AT304" s="9">
        <f t="shared" si="378"/>
        <v>25</v>
      </c>
      <c r="AU304" s="9">
        <v>519</v>
      </c>
      <c r="AV304" s="9">
        <f t="shared" si="379"/>
        <v>2</v>
      </c>
      <c r="AW304" s="9">
        <v>18</v>
      </c>
      <c r="AX304" s="9">
        <f t="shared" si="380"/>
        <v>1</v>
      </c>
      <c r="AY304" s="13">
        <v>0</v>
      </c>
      <c r="AZ304" s="113" t="str">
        <f t="shared" si="381"/>
        <v>クーリッシュイヤホン</v>
      </c>
      <c r="BA304" s="34">
        <f t="shared" si="382"/>
        <v>1100</v>
      </c>
      <c r="BB304" s="9">
        <f t="shared" si="383"/>
        <v>1100</v>
      </c>
      <c r="BC304" s="10">
        <f t="shared" si="384"/>
        <v>0.44</v>
      </c>
      <c r="BD304" s="11"/>
      <c r="BF304" s="96">
        <f>IF($A319="","",$A319)</f>
        <v>45965</v>
      </c>
      <c r="BG304" s="13">
        <v>0</v>
      </c>
      <c r="BH304" s="9">
        <f t="shared" si="351"/>
        <v>0</v>
      </c>
      <c r="BI304" s="9">
        <v>991</v>
      </c>
      <c r="BJ304" s="9">
        <f t="shared" si="352"/>
        <v>0</v>
      </c>
      <c r="BK304" s="33">
        <v>11</v>
      </c>
      <c r="BL304" s="9">
        <f t="shared" si="353"/>
        <v>0</v>
      </c>
      <c r="BM304" s="33">
        <v>0</v>
      </c>
      <c r="BN304" s="33"/>
      <c r="BO304" s="33">
        <f t="shared" si="354"/>
        <v>715</v>
      </c>
      <c r="BP304" s="9">
        <f t="shared" si="355"/>
        <v>0</v>
      </c>
      <c r="BQ304" s="10" t="e">
        <f t="shared" si="356"/>
        <v>#DIV/0!</v>
      </c>
      <c r="BR304" s="11"/>
    </row>
    <row r="305" spans="1:70" x14ac:dyDescent="0.2">
      <c r="A305" s="72"/>
      <c r="B305" s="63"/>
      <c r="C305" s="23">
        <v>15641</v>
      </c>
      <c r="D305" s="9">
        <f t="shared" si="357"/>
        <v>137</v>
      </c>
      <c r="E305" s="9">
        <v>588</v>
      </c>
      <c r="F305" s="9">
        <f t="shared" si="358"/>
        <v>2</v>
      </c>
      <c r="G305" s="23">
        <v>17</v>
      </c>
      <c r="H305" s="9">
        <f t="shared" si="359"/>
        <v>1</v>
      </c>
      <c r="I305" s="30">
        <v>3</v>
      </c>
      <c r="J305" s="113" t="str">
        <f t="shared" si="360"/>
        <v>ラブブキーホルダー</v>
      </c>
      <c r="K305" s="9">
        <f t="shared" si="361"/>
        <v>500</v>
      </c>
      <c r="L305" s="9">
        <f t="shared" si="362"/>
        <v>500</v>
      </c>
      <c r="M305" s="10">
        <f t="shared" si="363"/>
        <v>3.6496350364963501E-2</v>
      </c>
      <c r="N305" s="11"/>
      <c r="O305" s="1"/>
      <c r="P305" s="72"/>
      <c r="Q305" s="23">
        <v>13607</v>
      </c>
      <c r="R305" s="9">
        <f t="shared" si="364"/>
        <v>182</v>
      </c>
      <c r="S305" s="9">
        <v>900</v>
      </c>
      <c r="T305" s="9">
        <f t="shared" si="365"/>
        <v>10</v>
      </c>
      <c r="U305" s="23">
        <v>73</v>
      </c>
      <c r="V305" s="9">
        <f t="shared" si="366"/>
        <v>10</v>
      </c>
      <c r="W305" s="30">
        <v>0</v>
      </c>
      <c r="X305" s="113" t="str">
        <f t="shared" si="367"/>
        <v>AIラバー</v>
      </c>
      <c r="Y305" s="9">
        <f t="shared" si="368"/>
        <v>198</v>
      </c>
      <c r="Z305" s="9">
        <f t="shared" si="369"/>
        <v>1980</v>
      </c>
      <c r="AA305" s="10">
        <f t="shared" si="370"/>
        <v>0.10879120879120879</v>
      </c>
      <c r="AB305" s="11"/>
      <c r="AD305" s="72"/>
      <c r="AE305" s="23">
        <v>14073</v>
      </c>
      <c r="AF305" s="9">
        <f t="shared" si="371"/>
        <v>7</v>
      </c>
      <c r="AG305" s="9">
        <v>2385</v>
      </c>
      <c r="AH305" s="9">
        <f t="shared" si="372"/>
        <v>1</v>
      </c>
      <c r="AI305" s="23">
        <v>12</v>
      </c>
      <c r="AJ305" s="9">
        <f t="shared" si="373"/>
        <v>1</v>
      </c>
      <c r="AK305" s="30">
        <v>3</v>
      </c>
      <c r="AL305" s="113" t="str">
        <f t="shared" si="374"/>
        <v>サンリオギャルキーケース</v>
      </c>
      <c r="AM305" s="9">
        <f t="shared" si="375"/>
        <v>700</v>
      </c>
      <c r="AN305" s="9">
        <f t="shared" si="376"/>
        <v>700</v>
      </c>
      <c r="AO305" s="10">
        <f t="shared" si="377"/>
        <v>1</v>
      </c>
      <c r="AP305" s="11" t="s">
        <v>109</v>
      </c>
      <c r="AR305" s="72"/>
      <c r="AS305" s="23">
        <v>12373</v>
      </c>
      <c r="AT305" s="9">
        <f t="shared" si="378"/>
        <v>37</v>
      </c>
      <c r="AU305" s="9">
        <v>732</v>
      </c>
      <c r="AV305" s="9">
        <f t="shared" si="379"/>
        <v>1</v>
      </c>
      <c r="AW305" s="23">
        <v>13</v>
      </c>
      <c r="AX305" s="9">
        <f t="shared" si="380"/>
        <v>1</v>
      </c>
      <c r="AY305" s="30">
        <v>3</v>
      </c>
      <c r="AZ305" s="113" t="str">
        <f t="shared" si="381"/>
        <v>モンチッチマスコット</v>
      </c>
      <c r="BA305" s="9">
        <f t="shared" si="382"/>
        <v>528</v>
      </c>
      <c r="BB305" s="9">
        <f t="shared" si="383"/>
        <v>528</v>
      </c>
      <c r="BC305" s="10">
        <f t="shared" si="384"/>
        <v>0.14270270270270272</v>
      </c>
      <c r="BD305" s="11"/>
      <c r="BF305" s="96">
        <f>IF($A323="","",$A323)</f>
        <v>45968</v>
      </c>
      <c r="BG305" s="13">
        <v>0</v>
      </c>
      <c r="BH305" s="9">
        <f t="shared" si="351"/>
        <v>0</v>
      </c>
      <c r="BI305" s="9">
        <v>991</v>
      </c>
      <c r="BJ305" s="9">
        <f t="shared" si="352"/>
        <v>0</v>
      </c>
      <c r="BK305" s="33">
        <v>11</v>
      </c>
      <c r="BL305" s="9">
        <f t="shared" si="353"/>
        <v>0</v>
      </c>
      <c r="BM305" s="33">
        <v>0</v>
      </c>
      <c r="BN305" s="33"/>
      <c r="BO305" s="33">
        <f t="shared" si="354"/>
        <v>715</v>
      </c>
      <c r="BP305" s="9">
        <f t="shared" si="355"/>
        <v>0</v>
      </c>
      <c r="BQ305" s="10" t="e">
        <f t="shared" si="356"/>
        <v>#DIV/0!</v>
      </c>
      <c r="BR305" s="11"/>
    </row>
    <row r="306" spans="1:70" ht="15" customHeight="1" thickBot="1" x14ac:dyDescent="0.25">
      <c r="A306" s="75"/>
      <c r="B306" s="62"/>
      <c r="C306" s="17">
        <v>11283</v>
      </c>
      <c r="D306" s="37">
        <f t="shared" si="357"/>
        <v>33</v>
      </c>
      <c r="E306" s="17">
        <v>1171</v>
      </c>
      <c r="F306" s="17">
        <f t="shared" si="358"/>
        <v>1</v>
      </c>
      <c r="G306" s="17">
        <v>13</v>
      </c>
      <c r="H306" s="17">
        <f t="shared" si="359"/>
        <v>1</v>
      </c>
      <c r="I306" s="29">
        <v>2</v>
      </c>
      <c r="J306" s="114" t="str">
        <f t="shared" si="360"/>
        <v>キティヒョウ柄マスコット</v>
      </c>
      <c r="K306" s="37">
        <f t="shared" si="361"/>
        <v>996</v>
      </c>
      <c r="L306" s="17">
        <f t="shared" si="362"/>
        <v>996</v>
      </c>
      <c r="M306" s="18">
        <f t="shared" si="363"/>
        <v>0.30181818181818182</v>
      </c>
      <c r="N306" s="11"/>
      <c r="O306" s="1"/>
      <c r="P306" s="75"/>
      <c r="Q306" s="17">
        <v>11488</v>
      </c>
      <c r="R306" s="37">
        <f t="shared" si="364"/>
        <v>28</v>
      </c>
      <c r="S306" s="17">
        <v>1039</v>
      </c>
      <c r="T306" s="17">
        <f t="shared" si="365"/>
        <v>1</v>
      </c>
      <c r="U306" s="17">
        <v>9</v>
      </c>
      <c r="V306" s="17">
        <f t="shared" si="366"/>
        <v>1</v>
      </c>
      <c r="W306" s="29">
        <v>0</v>
      </c>
      <c r="X306" s="114" t="str">
        <f t="shared" si="367"/>
        <v>AIマスコット</v>
      </c>
      <c r="Y306" s="37">
        <f t="shared" si="368"/>
        <v>286</v>
      </c>
      <c r="Z306" s="17">
        <f t="shared" si="369"/>
        <v>286</v>
      </c>
      <c r="AA306" s="18">
        <f t="shared" si="370"/>
        <v>0.10214285714285715</v>
      </c>
      <c r="AB306" s="11"/>
      <c r="AD306" s="75"/>
      <c r="AE306" s="17">
        <v>13595</v>
      </c>
      <c r="AF306" s="37">
        <f t="shared" si="371"/>
        <v>24</v>
      </c>
      <c r="AG306" s="17">
        <v>1522</v>
      </c>
      <c r="AH306" s="17">
        <f t="shared" si="372"/>
        <v>1</v>
      </c>
      <c r="AI306" s="17">
        <v>14</v>
      </c>
      <c r="AJ306" s="17">
        <f t="shared" si="373"/>
        <v>1</v>
      </c>
      <c r="AK306" s="29">
        <v>0</v>
      </c>
      <c r="AL306" s="114" t="str">
        <f t="shared" si="374"/>
        <v>ラブブマスコット</v>
      </c>
      <c r="AM306" s="37">
        <f t="shared" si="375"/>
        <v>500</v>
      </c>
      <c r="AN306" s="17">
        <f t="shared" si="376"/>
        <v>500</v>
      </c>
      <c r="AO306" s="18">
        <f t="shared" si="377"/>
        <v>0.20833333333333334</v>
      </c>
      <c r="AP306" s="11"/>
      <c r="AR306" s="75"/>
      <c r="AS306" s="17">
        <v>10275</v>
      </c>
      <c r="AT306" s="37">
        <f t="shared" si="378"/>
        <v>16</v>
      </c>
      <c r="AU306" s="17">
        <v>793</v>
      </c>
      <c r="AV306" s="17">
        <f t="shared" si="379"/>
        <v>1</v>
      </c>
      <c r="AW306" s="17">
        <v>24</v>
      </c>
      <c r="AX306" s="17">
        <f t="shared" si="380"/>
        <v>1</v>
      </c>
      <c r="AY306" s="29">
        <v>0</v>
      </c>
      <c r="AZ306" s="114" t="str">
        <f t="shared" si="381"/>
        <v>サンリオでかぱっちん</v>
      </c>
      <c r="BA306" s="37">
        <f t="shared" si="382"/>
        <v>660</v>
      </c>
      <c r="BB306" s="17">
        <f t="shared" si="383"/>
        <v>660</v>
      </c>
      <c r="BC306" s="18">
        <f t="shared" si="384"/>
        <v>0.41249999999999998</v>
      </c>
      <c r="BD306" s="11"/>
      <c r="BF306" s="96">
        <f>IF($A327="","",$A327)</f>
        <v>45971</v>
      </c>
      <c r="BG306" s="13">
        <v>0</v>
      </c>
      <c r="BH306" s="9">
        <f t="shared" si="351"/>
        <v>0</v>
      </c>
      <c r="BI306" s="9">
        <v>991</v>
      </c>
      <c r="BJ306" s="9">
        <f t="shared" si="352"/>
        <v>0</v>
      </c>
      <c r="BK306" s="33">
        <v>11</v>
      </c>
      <c r="BL306" s="9">
        <f t="shared" si="353"/>
        <v>0</v>
      </c>
      <c r="BM306" s="33">
        <v>0</v>
      </c>
      <c r="BN306" s="33"/>
      <c r="BO306" s="33">
        <f t="shared" si="354"/>
        <v>715</v>
      </c>
      <c r="BP306" s="9">
        <f t="shared" si="355"/>
        <v>0</v>
      </c>
      <c r="BQ306" s="10" t="e">
        <f t="shared" si="356"/>
        <v>#DIV/0!</v>
      </c>
      <c r="BR306" s="11" t="s">
        <v>133</v>
      </c>
    </row>
    <row r="307" spans="1:70" ht="15" customHeight="1" thickTop="1" x14ac:dyDescent="0.2">
      <c r="A307" s="71">
        <v>45954</v>
      </c>
      <c r="B307" s="61">
        <f>SUM(D307:D310)+SUM(R307:R310)+SUM(AF307:AF310)+SUM(AT307:AT310)</f>
        <v>1026</v>
      </c>
      <c r="C307" s="33">
        <v>14667</v>
      </c>
      <c r="D307" s="33">
        <f t="shared" si="357"/>
        <v>91</v>
      </c>
      <c r="E307" s="33">
        <v>1046</v>
      </c>
      <c r="F307" s="20">
        <f t="shared" si="358"/>
        <v>2</v>
      </c>
      <c r="G307" s="33">
        <v>10</v>
      </c>
      <c r="H307" s="33">
        <f t="shared" si="359"/>
        <v>2</v>
      </c>
      <c r="I307" s="43">
        <v>4</v>
      </c>
      <c r="J307" s="112" t="str">
        <f t="shared" si="360"/>
        <v>液晶ミニカメラ</v>
      </c>
      <c r="K307" s="40">
        <f t="shared" si="361"/>
        <v>1075</v>
      </c>
      <c r="L307" s="20">
        <f t="shared" si="362"/>
        <v>2150</v>
      </c>
      <c r="M307" s="21">
        <f t="shared" si="363"/>
        <v>0.23626373626373626</v>
      </c>
      <c r="N307" s="11"/>
      <c r="O307" s="1"/>
      <c r="P307" s="76">
        <f>IF($A307="","",$A307)</f>
        <v>45954</v>
      </c>
      <c r="Q307" s="33">
        <v>13801</v>
      </c>
      <c r="R307" s="33">
        <f t="shared" si="364"/>
        <v>127</v>
      </c>
      <c r="S307" s="33">
        <v>1380</v>
      </c>
      <c r="T307" s="20">
        <f t="shared" si="365"/>
        <v>4</v>
      </c>
      <c r="U307" s="33">
        <v>7</v>
      </c>
      <c r="V307" s="33">
        <f t="shared" si="366"/>
        <v>2</v>
      </c>
      <c r="W307" s="43">
        <v>3</v>
      </c>
      <c r="X307" s="112" t="str">
        <f t="shared" si="367"/>
        <v>キティフェイスポーチ</v>
      </c>
      <c r="Y307" s="40">
        <f t="shared" si="368"/>
        <v>957</v>
      </c>
      <c r="Z307" s="20">
        <f t="shared" si="369"/>
        <v>1914</v>
      </c>
      <c r="AA307" s="21">
        <f t="shared" si="370"/>
        <v>0.15070866141732284</v>
      </c>
      <c r="AB307" s="11"/>
      <c r="AD307" s="76">
        <f>IF($A307="","",$A307)</f>
        <v>45954</v>
      </c>
      <c r="AE307" s="33">
        <v>11760</v>
      </c>
      <c r="AF307" s="94">
        <f t="shared" si="371"/>
        <v>31</v>
      </c>
      <c r="AG307" s="33">
        <v>894</v>
      </c>
      <c r="AH307" s="20">
        <f t="shared" si="372"/>
        <v>1</v>
      </c>
      <c r="AI307" s="33">
        <v>14</v>
      </c>
      <c r="AJ307" s="33">
        <f t="shared" si="373"/>
        <v>1</v>
      </c>
      <c r="AK307" s="43">
        <v>0</v>
      </c>
      <c r="AL307" s="112" t="str">
        <f t="shared" si="374"/>
        <v>ピクミンマスコット</v>
      </c>
      <c r="AM307" s="40">
        <f t="shared" si="375"/>
        <v>748</v>
      </c>
      <c r="AN307" s="20">
        <f t="shared" si="376"/>
        <v>748</v>
      </c>
      <c r="AO307" s="21">
        <f t="shared" si="377"/>
        <v>0.24129032258064517</v>
      </c>
      <c r="AP307" s="11"/>
      <c r="AR307" s="76">
        <f>IF($A307="","",$A307)</f>
        <v>45954</v>
      </c>
      <c r="AS307" s="33">
        <v>8389</v>
      </c>
      <c r="AT307" s="33">
        <f t="shared" si="378"/>
        <v>67</v>
      </c>
      <c r="AU307" s="33">
        <v>470</v>
      </c>
      <c r="AV307" s="20">
        <f t="shared" si="379"/>
        <v>1</v>
      </c>
      <c r="AW307" s="33">
        <v>10</v>
      </c>
      <c r="AX307" s="33">
        <f t="shared" si="380"/>
        <v>1</v>
      </c>
      <c r="AY307" s="43">
        <v>0</v>
      </c>
      <c r="AZ307" s="112" t="str">
        <f t="shared" si="381"/>
        <v>デジタルミニカメラ</v>
      </c>
      <c r="BA307" s="40">
        <f t="shared" si="382"/>
        <v>722</v>
      </c>
      <c r="BB307" s="20">
        <f t="shared" si="383"/>
        <v>722</v>
      </c>
      <c r="BC307" s="21">
        <f t="shared" si="384"/>
        <v>0.10776119402985075</v>
      </c>
      <c r="BD307" s="11"/>
      <c r="BF307" s="96">
        <f>IF($A331="","",$A331)</f>
        <v>45975</v>
      </c>
      <c r="BG307" s="13">
        <v>95</v>
      </c>
      <c r="BH307" s="9">
        <f t="shared" si="351"/>
        <v>95</v>
      </c>
      <c r="BI307" s="9">
        <v>991</v>
      </c>
      <c r="BJ307" s="9">
        <f t="shared" si="352"/>
        <v>0</v>
      </c>
      <c r="BK307" s="33">
        <v>11</v>
      </c>
      <c r="BL307" s="9">
        <f t="shared" si="353"/>
        <v>0</v>
      </c>
      <c r="BM307" s="33">
        <v>0</v>
      </c>
      <c r="BN307" s="33"/>
      <c r="BO307" s="33">
        <f t="shared" si="354"/>
        <v>715</v>
      </c>
      <c r="BP307" s="9">
        <f t="shared" si="355"/>
        <v>0</v>
      </c>
      <c r="BQ307" s="10">
        <f t="shared" si="356"/>
        <v>0</v>
      </c>
      <c r="BR307" s="91"/>
    </row>
    <row r="308" spans="1:70" x14ac:dyDescent="0.2">
      <c r="A308" s="72"/>
      <c r="B308" s="61"/>
      <c r="C308" s="33">
        <v>16474</v>
      </c>
      <c r="D308" s="9">
        <f t="shared" si="357"/>
        <v>70</v>
      </c>
      <c r="E308" s="9">
        <v>562</v>
      </c>
      <c r="F308" s="9">
        <f t="shared" si="358"/>
        <v>1</v>
      </c>
      <c r="G308" s="9">
        <v>42</v>
      </c>
      <c r="H308" s="9">
        <f t="shared" si="359"/>
        <v>1</v>
      </c>
      <c r="I308" s="13">
        <v>0</v>
      </c>
      <c r="J308" s="113" t="str">
        <f t="shared" si="360"/>
        <v>電ブル</v>
      </c>
      <c r="K308" s="34">
        <f t="shared" si="361"/>
        <v>275</v>
      </c>
      <c r="L308" s="9">
        <f t="shared" si="362"/>
        <v>275</v>
      </c>
      <c r="M308" s="10">
        <f t="shared" si="363"/>
        <v>3.9285714285714285E-2</v>
      </c>
      <c r="N308" s="11"/>
      <c r="O308" s="1"/>
      <c r="P308" s="12"/>
      <c r="Q308" s="33">
        <v>13518</v>
      </c>
      <c r="R308" s="77">
        <f t="shared" si="364"/>
        <v>23</v>
      </c>
      <c r="S308" s="9">
        <v>484</v>
      </c>
      <c r="T308" s="9">
        <f t="shared" si="365"/>
        <v>0</v>
      </c>
      <c r="U308" s="9">
        <v>10</v>
      </c>
      <c r="V308" s="9">
        <f t="shared" si="366"/>
        <v>0</v>
      </c>
      <c r="W308" s="13">
        <v>0</v>
      </c>
      <c r="X308" s="113" t="str">
        <f t="shared" si="367"/>
        <v>サンリオミニリュックチャーム付</v>
      </c>
      <c r="Y308" s="34">
        <f t="shared" si="368"/>
        <v>600</v>
      </c>
      <c r="Z308" s="9">
        <f t="shared" si="369"/>
        <v>0</v>
      </c>
      <c r="AA308" s="10">
        <f t="shared" si="370"/>
        <v>0</v>
      </c>
      <c r="AB308" s="11" t="s">
        <v>112</v>
      </c>
      <c r="AD308" s="12"/>
      <c r="AE308" s="33">
        <v>11329</v>
      </c>
      <c r="AF308" s="9">
        <f t="shared" si="371"/>
        <v>71</v>
      </c>
      <c r="AG308" s="9">
        <v>766</v>
      </c>
      <c r="AH308" s="9">
        <f t="shared" si="372"/>
        <v>0</v>
      </c>
      <c r="AI308" s="9">
        <v>20</v>
      </c>
      <c r="AJ308" s="9">
        <f t="shared" si="373"/>
        <v>0</v>
      </c>
      <c r="AK308" s="13">
        <v>0</v>
      </c>
      <c r="AL308" s="113" t="str">
        <f t="shared" si="374"/>
        <v>ジャグラーサウンドフラッシュ</v>
      </c>
      <c r="AM308" s="34">
        <f t="shared" si="375"/>
        <v>748</v>
      </c>
      <c r="AN308" s="9">
        <f t="shared" si="376"/>
        <v>0</v>
      </c>
      <c r="AO308" s="10">
        <f t="shared" si="377"/>
        <v>0</v>
      </c>
      <c r="AP308" s="11"/>
      <c r="AR308" s="12"/>
      <c r="AS308" s="33">
        <v>10029</v>
      </c>
      <c r="AT308" s="9">
        <f t="shared" si="378"/>
        <v>85</v>
      </c>
      <c r="AU308" s="9">
        <v>520</v>
      </c>
      <c r="AV308" s="9">
        <f t="shared" si="379"/>
        <v>1</v>
      </c>
      <c r="AW308" s="9">
        <v>17</v>
      </c>
      <c r="AX308" s="9">
        <f t="shared" si="380"/>
        <v>1</v>
      </c>
      <c r="AY308" s="13">
        <v>0</v>
      </c>
      <c r="AZ308" s="113" t="str">
        <f t="shared" si="381"/>
        <v>クーリッシュイヤホン</v>
      </c>
      <c r="BA308" s="34">
        <f t="shared" si="382"/>
        <v>1100</v>
      </c>
      <c r="BB308" s="9">
        <f t="shared" si="383"/>
        <v>1100</v>
      </c>
      <c r="BC308" s="10">
        <f t="shared" si="384"/>
        <v>0.12941176470588237</v>
      </c>
      <c r="BD308" s="11"/>
      <c r="BF308" s="96">
        <f>IF($A335="","",$A335)</f>
        <v>45980</v>
      </c>
      <c r="BG308" s="13">
        <v>189</v>
      </c>
      <c r="BH308" s="9">
        <f t="shared" si="351"/>
        <v>94</v>
      </c>
      <c r="BI308" s="9">
        <v>992</v>
      </c>
      <c r="BJ308" s="9">
        <f t="shared" si="352"/>
        <v>1</v>
      </c>
      <c r="BK308" s="9">
        <v>10</v>
      </c>
      <c r="BL308" s="9">
        <f t="shared" si="353"/>
        <v>1</v>
      </c>
      <c r="BM308" s="9">
        <v>6</v>
      </c>
      <c r="BN308" s="33"/>
      <c r="BO308" s="33">
        <f t="shared" si="354"/>
        <v>715</v>
      </c>
      <c r="BP308" s="9">
        <f t="shared" si="355"/>
        <v>715</v>
      </c>
      <c r="BQ308" s="10">
        <f t="shared" si="356"/>
        <v>7.6063829787234041E-2</v>
      </c>
      <c r="BR308" s="91"/>
    </row>
    <row r="309" spans="1:70" x14ac:dyDescent="0.2">
      <c r="A309" s="72"/>
      <c r="B309" s="64"/>
      <c r="C309" s="38">
        <v>15715</v>
      </c>
      <c r="D309" s="9">
        <f t="shared" si="357"/>
        <v>74</v>
      </c>
      <c r="E309" s="9">
        <v>589</v>
      </c>
      <c r="F309" s="9">
        <f t="shared" si="358"/>
        <v>1</v>
      </c>
      <c r="G309" s="9">
        <v>19</v>
      </c>
      <c r="H309" s="9">
        <f t="shared" si="359"/>
        <v>1</v>
      </c>
      <c r="I309" s="13">
        <v>0</v>
      </c>
      <c r="J309" s="113" t="str">
        <f t="shared" si="360"/>
        <v>ラブブキーホルダー</v>
      </c>
      <c r="K309" s="9">
        <f t="shared" si="361"/>
        <v>500</v>
      </c>
      <c r="L309" s="9">
        <f t="shared" si="362"/>
        <v>500</v>
      </c>
      <c r="M309" s="10">
        <f t="shared" si="363"/>
        <v>6.7567567567567571E-2</v>
      </c>
      <c r="N309" s="11"/>
      <c r="O309" s="1"/>
      <c r="P309" s="12"/>
      <c r="Q309" s="38">
        <v>13631</v>
      </c>
      <c r="R309" s="77">
        <f t="shared" si="364"/>
        <v>24</v>
      </c>
      <c r="S309" s="9">
        <v>903</v>
      </c>
      <c r="T309" s="9">
        <f t="shared" si="365"/>
        <v>3</v>
      </c>
      <c r="U309" s="9">
        <v>70</v>
      </c>
      <c r="V309" s="9">
        <f t="shared" si="366"/>
        <v>3</v>
      </c>
      <c r="W309" s="13">
        <v>15</v>
      </c>
      <c r="X309" s="113" t="str">
        <f t="shared" si="367"/>
        <v>AIラバー</v>
      </c>
      <c r="Y309" s="9">
        <f t="shared" si="368"/>
        <v>198</v>
      </c>
      <c r="Z309" s="9">
        <f t="shared" si="369"/>
        <v>594</v>
      </c>
      <c r="AA309" s="10">
        <f t="shared" si="370"/>
        <v>0.2475</v>
      </c>
      <c r="AB309" s="11"/>
      <c r="AD309" s="12"/>
      <c r="AE309" s="38">
        <v>14156</v>
      </c>
      <c r="AF309" s="9">
        <f t="shared" si="371"/>
        <v>83</v>
      </c>
      <c r="AG309" s="9">
        <v>2387</v>
      </c>
      <c r="AH309" s="9">
        <f t="shared" si="372"/>
        <v>2</v>
      </c>
      <c r="AI309" s="9">
        <v>13</v>
      </c>
      <c r="AJ309" s="9">
        <f t="shared" si="373"/>
        <v>2</v>
      </c>
      <c r="AK309" s="13">
        <v>0</v>
      </c>
      <c r="AL309" s="113" t="s">
        <v>110</v>
      </c>
      <c r="AM309" s="9">
        <f t="shared" si="375"/>
        <v>700</v>
      </c>
      <c r="AN309" s="9">
        <f t="shared" si="376"/>
        <v>1400</v>
      </c>
      <c r="AO309" s="10">
        <f t="shared" si="377"/>
        <v>0.16867469879518071</v>
      </c>
      <c r="AP309" s="11"/>
      <c r="AR309" s="12"/>
      <c r="AS309" s="38">
        <v>12385</v>
      </c>
      <c r="AT309" s="77">
        <f t="shared" si="378"/>
        <v>12</v>
      </c>
      <c r="AU309" s="9">
        <v>732</v>
      </c>
      <c r="AV309" s="9">
        <f t="shared" si="379"/>
        <v>0</v>
      </c>
      <c r="AW309" s="9">
        <v>16</v>
      </c>
      <c r="AX309" s="9">
        <f t="shared" si="380"/>
        <v>0</v>
      </c>
      <c r="AY309" s="13">
        <v>0</v>
      </c>
      <c r="AZ309" s="113" t="str">
        <f t="shared" si="381"/>
        <v>モンチッチマスコット</v>
      </c>
      <c r="BA309" s="9">
        <f t="shared" si="382"/>
        <v>528</v>
      </c>
      <c r="BB309" s="9">
        <f t="shared" si="383"/>
        <v>0</v>
      </c>
      <c r="BC309" s="10">
        <f t="shared" si="384"/>
        <v>0</v>
      </c>
      <c r="BD309" s="11"/>
      <c r="BF309" s="96" t="str">
        <f>IF($A339="","",$A339)</f>
        <v/>
      </c>
      <c r="BG309" s="13"/>
      <c r="BH309" s="9"/>
      <c r="BI309" s="9"/>
      <c r="BJ309" s="9"/>
      <c r="BK309" s="9"/>
      <c r="BL309" s="9"/>
      <c r="BM309" s="9"/>
      <c r="BN309" s="33"/>
      <c r="BO309" s="33"/>
      <c r="BP309" s="9"/>
      <c r="BQ309" s="10"/>
      <c r="BR309" s="91"/>
    </row>
    <row r="310" spans="1:70" ht="15" customHeight="1" thickBot="1" x14ac:dyDescent="0.25">
      <c r="A310" s="73"/>
      <c r="B310" s="65"/>
      <c r="C310" s="36">
        <v>11378</v>
      </c>
      <c r="D310" s="37">
        <f t="shared" si="357"/>
        <v>95</v>
      </c>
      <c r="E310" s="17">
        <v>1172</v>
      </c>
      <c r="F310" s="17">
        <f t="shared" si="358"/>
        <v>1</v>
      </c>
      <c r="G310" s="17">
        <v>14</v>
      </c>
      <c r="H310" s="17">
        <f t="shared" si="359"/>
        <v>1</v>
      </c>
      <c r="I310" s="29">
        <v>0</v>
      </c>
      <c r="J310" s="114" t="str">
        <f t="shared" si="360"/>
        <v>キティヒョウ柄マスコット</v>
      </c>
      <c r="K310" s="37">
        <f t="shared" si="361"/>
        <v>996</v>
      </c>
      <c r="L310" s="17">
        <f t="shared" si="362"/>
        <v>996</v>
      </c>
      <c r="M310" s="18">
        <f t="shared" si="363"/>
        <v>0.10484210526315789</v>
      </c>
      <c r="N310" s="11"/>
      <c r="O310" s="1"/>
      <c r="P310" s="49"/>
      <c r="Q310" s="36">
        <v>11584</v>
      </c>
      <c r="R310" s="37">
        <f t="shared" si="364"/>
        <v>96</v>
      </c>
      <c r="S310" s="17">
        <v>1043</v>
      </c>
      <c r="T310" s="17">
        <f t="shared" si="365"/>
        <v>4</v>
      </c>
      <c r="U310" s="17">
        <v>7</v>
      </c>
      <c r="V310" s="17">
        <f t="shared" si="366"/>
        <v>2</v>
      </c>
      <c r="W310" s="29">
        <v>4</v>
      </c>
      <c r="X310" s="114" t="str">
        <f t="shared" si="367"/>
        <v>AIマスコット</v>
      </c>
      <c r="Y310" s="37">
        <f t="shared" si="368"/>
        <v>286</v>
      </c>
      <c r="Z310" s="17">
        <f t="shared" si="369"/>
        <v>572</v>
      </c>
      <c r="AA310" s="18">
        <f t="shared" si="370"/>
        <v>5.9583333333333335E-2</v>
      </c>
      <c r="AB310" s="11"/>
      <c r="AD310" s="49"/>
      <c r="AE310" s="36">
        <v>13670</v>
      </c>
      <c r="AF310" s="37">
        <f t="shared" si="371"/>
        <v>75</v>
      </c>
      <c r="AG310" s="17">
        <v>1530</v>
      </c>
      <c r="AH310" s="17">
        <f t="shared" si="372"/>
        <v>8</v>
      </c>
      <c r="AI310" s="17">
        <v>12</v>
      </c>
      <c r="AJ310" s="17">
        <f t="shared" si="373"/>
        <v>2</v>
      </c>
      <c r="AK310" s="29"/>
      <c r="AL310" s="114" t="str">
        <f t="shared" ref="AL310:AL329" si="385">IF(AE310="","",AL306)</f>
        <v>ラブブマスコット</v>
      </c>
      <c r="AM310" s="37">
        <f t="shared" si="375"/>
        <v>500</v>
      </c>
      <c r="AN310" s="17">
        <f t="shared" si="376"/>
        <v>1000</v>
      </c>
      <c r="AO310" s="18">
        <f t="shared" si="377"/>
        <v>0.13333333333333333</v>
      </c>
      <c r="AP310" s="11"/>
      <c r="AR310" s="49"/>
      <c r="AS310" s="36">
        <v>10277</v>
      </c>
      <c r="AT310" s="37">
        <f t="shared" si="378"/>
        <v>2</v>
      </c>
      <c r="AU310" s="17">
        <v>793</v>
      </c>
      <c r="AV310" s="17">
        <f t="shared" si="379"/>
        <v>0</v>
      </c>
      <c r="AW310" s="17">
        <v>24</v>
      </c>
      <c r="AX310" s="17">
        <f t="shared" si="380"/>
        <v>0</v>
      </c>
      <c r="AY310" s="29">
        <v>-17</v>
      </c>
      <c r="AZ310" s="114" t="str">
        <f t="shared" si="381"/>
        <v>サンリオでかぱっちん</v>
      </c>
      <c r="BA310" s="37">
        <f t="shared" si="382"/>
        <v>660</v>
      </c>
      <c r="BB310" s="17">
        <f t="shared" si="383"/>
        <v>0</v>
      </c>
      <c r="BC310" s="18">
        <f t="shared" si="384"/>
        <v>0</v>
      </c>
      <c r="BD310" s="11" t="s">
        <v>111</v>
      </c>
      <c r="BF310" s="96" t="str">
        <f>IF($A343="","",$A343)</f>
        <v/>
      </c>
      <c r="BG310" s="13"/>
      <c r="BH310" s="9" t="str">
        <f>IF(BG310="","",BG310-BG309)</f>
        <v/>
      </c>
      <c r="BI310" s="9"/>
      <c r="BJ310" s="9" t="str">
        <f>IF(BI310="","",BI310-BI309)</f>
        <v/>
      </c>
      <c r="BK310" s="9"/>
      <c r="BL310" s="9" t="str">
        <f>IF(BK310="","",BK309+BM309-BK310)</f>
        <v/>
      </c>
      <c r="BM310" s="9"/>
      <c r="BN310" s="33"/>
      <c r="BO310" s="33" t="str">
        <f>IF(BG310="","",BO309)</f>
        <v/>
      </c>
      <c r="BP310" s="9" t="str">
        <f>IF(BO310="","",BL310*BO310)</f>
        <v/>
      </c>
      <c r="BQ310" s="10" t="str">
        <f>IF(BP310="","",BP310/(BH310*100))</f>
        <v/>
      </c>
      <c r="BR310" s="11"/>
    </row>
    <row r="311" spans="1:70" ht="15" customHeight="1" thickTop="1" x14ac:dyDescent="0.2">
      <c r="A311" s="71">
        <v>45957</v>
      </c>
      <c r="B311" s="61">
        <f>SUM(D311:D314)+SUM(R311:R314)+SUM(AF311:AF314)+SUM(AT311:AT314)</f>
        <v>899</v>
      </c>
      <c r="C311" s="33">
        <v>14738</v>
      </c>
      <c r="D311" s="33">
        <f t="shared" si="357"/>
        <v>71</v>
      </c>
      <c r="E311" s="33">
        <v>1048</v>
      </c>
      <c r="F311" s="20">
        <f t="shared" si="358"/>
        <v>2</v>
      </c>
      <c r="G311" s="33">
        <v>12</v>
      </c>
      <c r="H311" s="33">
        <f t="shared" si="359"/>
        <v>2</v>
      </c>
      <c r="I311" s="43">
        <v>0</v>
      </c>
      <c r="J311" s="113" t="str">
        <f t="shared" si="360"/>
        <v>液晶ミニカメラ</v>
      </c>
      <c r="K311" s="34">
        <f t="shared" si="361"/>
        <v>1075</v>
      </c>
      <c r="L311" s="20">
        <f t="shared" si="362"/>
        <v>2150</v>
      </c>
      <c r="M311" s="21">
        <f t="shared" si="363"/>
        <v>0.30281690140845069</v>
      </c>
      <c r="N311" s="11"/>
      <c r="O311" s="1"/>
      <c r="P311" s="76">
        <f>IF($A311="","",$A311)</f>
        <v>45957</v>
      </c>
      <c r="Q311" s="33">
        <v>13874</v>
      </c>
      <c r="R311" s="33">
        <f t="shared" si="364"/>
        <v>73</v>
      </c>
      <c r="S311" s="33">
        <v>1381</v>
      </c>
      <c r="T311" s="20">
        <f t="shared" si="365"/>
        <v>1</v>
      </c>
      <c r="U311" s="33">
        <v>7</v>
      </c>
      <c r="V311" s="99">
        <f>IF(U311="","",U307+W307-U311)</f>
        <v>3</v>
      </c>
      <c r="W311" s="43">
        <v>0</v>
      </c>
      <c r="X311" s="113" t="str">
        <f t="shared" si="367"/>
        <v>キティフェイスポーチ</v>
      </c>
      <c r="Y311" s="34">
        <f t="shared" si="368"/>
        <v>957</v>
      </c>
      <c r="Z311" s="20">
        <f t="shared" si="369"/>
        <v>2871</v>
      </c>
      <c r="AA311" s="21">
        <f t="shared" si="370"/>
        <v>0.39328767123287672</v>
      </c>
      <c r="AB311" s="11"/>
      <c r="AD311" s="76">
        <f>IF($A311="","",$A311)</f>
        <v>45957</v>
      </c>
      <c r="AE311" s="33">
        <v>11797</v>
      </c>
      <c r="AF311" s="33">
        <f t="shared" si="371"/>
        <v>37</v>
      </c>
      <c r="AG311" s="33">
        <v>894</v>
      </c>
      <c r="AH311" s="20">
        <f t="shared" si="372"/>
        <v>0</v>
      </c>
      <c r="AI311" s="33">
        <v>14</v>
      </c>
      <c r="AJ311" s="33">
        <f t="shared" si="373"/>
        <v>0</v>
      </c>
      <c r="AK311" s="43">
        <v>0</v>
      </c>
      <c r="AL311" s="113" t="str">
        <f t="shared" si="385"/>
        <v>ピクミンマスコット</v>
      </c>
      <c r="AM311" s="34">
        <f t="shared" si="375"/>
        <v>748</v>
      </c>
      <c r="AN311" s="20">
        <f t="shared" si="376"/>
        <v>0</v>
      </c>
      <c r="AO311" s="21">
        <f t="shared" si="377"/>
        <v>0</v>
      </c>
      <c r="AP311" s="11"/>
      <c r="AR311" s="76">
        <f>IF($A311="","",$A311)</f>
        <v>45957</v>
      </c>
      <c r="AS311" s="33">
        <v>8451</v>
      </c>
      <c r="AT311" s="33">
        <f t="shared" si="378"/>
        <v>62</v>
      </c>
      <c r="AU311" s="33">
        <v>471</v>
      </c>
      <c r="AV311" s="20">
        <f t="shared" si="379"/>
        <v>1</v>
      </c>
      <c r="AW311" s="33">
        <v>10</v>
      </c>
      <c r="AX311" s="33">
        <f t="shared" si="380"/>
        <v>0</v>
      </c>
      <c r="AY311" s="43">
        <v>0</v>
      </c>
      <c r="AZ311" s="113" t="str">
        <f t="shared" si="381"/>
        <v>デジタルミニカメラ</v>
      </c>
      <c r="BA311" s="34">
        <f t="shared" si="382"/>
        <v>722</v>
      </c>
      <c r="BB311" s="20">
        <f t="shared" si="383"/>
        <v>0</v>
      </c>
      <c r="BC311" s="21">
        <f t="shared" si="384"/>
        <v>0</v>
      </c>
      <c r="BD311" s="11"/>
      <c r="BF311" s="96" t="str">
        <f>IF($A347="","",$A347)</f>
        <v/>
      </c>
      <c r="BG311" s="13"/>
      <c r="BH311" s="9" t="str">
        <f>IF(BG311="","",BG311-BG310)</f>
        <v/>
      </c>
      <c r="BI311" s="9"/>
      <c r="BJ311" s="9" t="str">
        <f>IF(BI311="","",BI311-BI310)</f>
        <v/>
      </c>
      <c r="BK311" s="9"/>
      <c r="BL311" s="9" t="str">
        <f>IF(BK311="","",BK310+BM310-BK311)</f>
        <v/>
      </c>
      <c r="BM311" s="9"/>
      <c r="BN311" s="33"/>
      <c r="BO311" s="33" t="str">
        <f>IF(BG311="","",BO310)</f>
        <v/>
      </c>
      <c r="BP311" s="9" t="str">
        <f>IF(BO311="","",BL311*BO311)</f>
        <v/>
      </c>
      <c r="BQ311" s="10" t="str">
        <f>IF(BP311="","",BP311/(BH311*100))</f>
        <v/>
      </c>
      <c r="BR311" s="11"/>
    </row>
    <row r="312" spans="1:70" x14ac:dyDescent="0.2">
      <c r="A312" s="72"/>
      <c r="B312" s="8"/>
      <c r="C312" s="9">
        <v>16554</v>
      </c>
      <c r="D312" s="9">
        <f t="shared" si="357"/>
        <v>80</v>
      </c>
      <c r="E312" s="9">
        <v>563</v>
      </c>
      <c r="F312" s="9">
        <f t="shared" si="358"/>
        <v>1</v>
      </c>
      <c r="G312" s="9">
        <v>41</v>
      </c>
      <c r="H312" s="9">
        <f t="shared" si="359"/>
        <v>1</v>
      </c>
      <c r="I312" s="13">
        <v>0</v>
      </c>
      <c r="J312" s="113" t="str">
        <f t="shared" si="360"/>
        <v>電ブル</v>
      </c>
      <c r="K312" s="34">
        <f t="shared" si="361"/>
        <v>275</v>
      </c>
      <c r="L312" s="9">
        <f t="shared" si="362"/>
        <v>275</v>
      </c>
      <c r="M312" s="10">
        <f t="shared" si="363"/>
        <v>3.4375000000000003E-2</v>
      </c>
      <c r="N312" s="11"/>
      <c r="O312" s="1"/>
      <c r="P312" s="72"/>
      <c r="Q312" s="9">
        <v>13548</v>
      </c>
      <c r="R312" s="9">
        <f t="shared" si="364"/>
        <v>30</v>
      </c>
      <c r="S312" s="9">
        <v>486</v>
      </c>
      <c r="T312" s="9">
        <f t="shared" si="365"/>
        <v>2</v>
      </c>
      <c r="U312" s="9">
        <v>9</v>
      </c>
      <c r="V312" s="9">
        <f t="shared" si="366"/>
        <v>1</v>
      </c>
      <c r="W312" s="13">
        <v>0</v>
      </c>
      <c r="X312" s="113" t="str">
        <f t="shared" si="367"/>
        <v>サンリオミニリュックチャーム付</v>
      </c>
      <c r="Y312" s="34">
        <f t="shared" si="368"/>
        <v>600</v>
      </c>
      <c r="Z312" s="9">
        <f t="shared" si="369"/>
        <v>600</v>
      </c>
      <c r="AA312" s="10">
        <f t="shared" si="370"/>
        <v>0.2</v>
      </c>
      <c r="AB312" s="11"/>
      <c r="AD312" s="72"/>
      <c r="AE312" s="9">
        <v>11363</v>
      </c>
      <c r="AF312" s="9">
        <f t="shared" si="371"/>
        <v>34</v>
      </c>
      <c r="AG312" s="9">
        <v>766</v>
      </c>
      <c r="AH312" s="9">
        <f t="shared" si="372"/>
        <v>0</v>
      </c>
      <c r="AI312" s="9">
        <v>20</v>
      </c>
      <c r="AJ312" s="9">
        <f t="shared" si="373"/>
        <v>0</v>
      </c>
      <c r="AK312" s="13">
        <v>0</v>
      </c>
      <c r="AL312" s="113" t="str">
        <f t="shared" si="385"/>
        <v>ジャグラーサウンドフラッシュ</v>
      </c>
      <c r="AM312" s="34">
        <f t="shared" si="375"/>
        <v>748</v>
      </c>
      <c r="AN312" s="9">
        <f t="shared" si="376"/>
        <v>0</v>
      </c>
      <c r="AO312" s="10">
        <f t="shared" si="377"/>
        <v>0</v>
      </c>
      <c r="AP312" s="11"/>
      <c r="AR312" s="72"/>
      <c r="AS312" s="9">
        <v>10039</v>
      </c>
      <c r="AT312" s="9">
        <f t="shared" si="378"/>
        <v>10</v>
      </c>
      <c r="AU312" s="9">
        <v>520</v>
      </c>
      <c r="AV312" s="9">
        <f t="shared" si="379"/>
        <v>0</v>
      </c>
      <c r="AW312" s="9">
        <v>17</v>
      </c>
      <c r="AX312" s="9">
        <f t="shared" si="380"/>
        <v>0</v>
      </c>
      <c r="AY312" s="13">
        <v>0</v>
      </c>
      <c r="AZ312" s="113" t="str">
        <f t="shared" si="381"/>
        <v>クーリッシュイヤホン</v>
      </c>
      <c r="BA312" s="34">
        <f t="shared" si="382"/>
        <v>1100</v>
      </c>
      <c r="BB312" s="9">
        <f t="shared" si="383"/>
        <v>0</v>
      </c>
      <c r="BC312" s="10">
        <f t="shared" si="384"/>
        <v>0</v>
      </c>
      <c r="BD312" s="11"/>
      <c r="BF312" s="96" t="str">
        <f>IF($A$425="","",$A$425)</f>
        <v/>
      </c>
      <c r="BG312" s="9"/>
      <c r="BH312" s="9" t="str">
        <f>IF(BG312="","",BG312-BG311)</f>
        <v/>
      </c>
      <c r="BI312" s="9"/>
      <c r="BJ312" s="9" t="str">
        <f>IF(BI312="","",BI312-BI311)</f>
        <v/>
      </c>
      <c r="BK312" s="9"/>
      <c r="BL312" s="9" t="str">
        <f>IF(BK312="","",BK311+BM311-BK312)</f>
        <v/>
      </c>
      <c r="BM312" s="9"/>
      <c r="BN312" s="33"/>
      <c r="BO312" s="33" t="str">
        <f>IF(BG312="","",BO311)</f>
        <v/>
      </c>
      <c r="BP312" s="9" t="str">
        <f>IF(BO312="","",BL312*BO312)</f>
        <v/>
      </c>
      <c r="BQ312" s="10" t="str">
        <f>IF(BP312="","",BP312/(BG312*100))</f>
        <v/>
      </c>
      <c r="BR312" s="90"/>
    </row>
    <row r="313" spans="1:70" x14ac:dyDescent="0.2">
      <c r="A313" s="74"/>
      <c r="B313" s="66"/>
      <c r="C313" s="23">
        <v>15845</v>
      </c>
      <c r="D313" s="9">
        <f t="shared" si="357"/>
        <v>130</v>
      </c>
      <c r="E313" s="9">
        <v>591</v>
      </c>
      <c r="F313" s="9">
        <f t="shared" si="358"/>
        <v>2</v>
      </c>
      <c r="G313" s="23">
        <v>18</v>
      </c>
      <c r="H313" s="9">
        <f t="shared" si="359"/>
        <v>1</v>
      </c>
      <c r="I313" s="30">
        <v>5</v>
      </c>
      <c r="J313" s="113" t="str">
        <f t="shared" si="360"/>
        <v>ラブブキーホルダー</v>
      </c>
      <c r="K313" s="34">
        <f t="shared" si="361"/>
        <v>500</v>
      </c>
      <c r="L313" s="9">
        <f t="shared" si="362"/>
        <v>500</v>
      </c>
      <c r="M313" s="10">
        <f t="shared" si="363"/>
        <v>3.8461538461538464E-2</v>
      </c>
      <c r="N313" s="11"/>
      <c r="P313" s="74"/>
      <c r="Q313" s="23">
        <v>13659</v>
      </c>
      <c r="R313" s="9">
        <f t="shared" si="364"/>
        <v>28</v>
      </c>
      <c r="S313" s="9">
        <v>904</v>
      </c>
      <c r="T313" s="9">
        <f t="shared" si="365"/>
        <v>1</v>
      </c>
      <c r="U313" s="23">
        <v>84</v>
      </c>
      <c r="V313" s="9">
        <f t="shared" si="366"/>
        <v>1</v>
      </c>
      <c r="W313" s="30">
        <v>0</v>
      </c>
      <c r="X313" s="113" t="str">
        <f t="shared" si="367"/>
        <v>AIラバー</v>
      </c>
      <c r="Y313" s="34">
        <f t="shared" si="368"/>
        <v>198</v>
      </c>
      <c r="Z313" s="9">
        <f t="shared" si="369"/>
        <v>198</v>
      </c>
      <c r="AA313" s="10">
        <f t="shared" si="370"/>
        <v>7.0714285714285716E-2</v>
      </c>
      <c r="AB313" s="11"/>
      <c r="AD313" s="74"/>
      <c r="AE313" s="23">
        <v>14210</v>
      </c>
      <c r="AF313" s="9">
        <f t="shared" si="371"/>
        <v>54</v>
      </c>
      <c r="AG313" s="9">
        <v>2387</v>
      </c>
      <c r="AH313" s="9">
        <f t="shared" si="372"/>
        <v>0</v>
      </c>
      <c r="AI313" s="23">
        <v>13</v>
      </c>
      <c r="AJ313" s="9">
        <f t="shared" si="373"/>
        <v>0</v>
      </c>
      <c r="AK313" s="30">
        <v>0</v>
      </c>
      <c r="AL313" s="113" t="str">
        <f t="shared" si="385"/>
        <v>サンリオがま口財布</v>
      </c>
      <c r="AM313" s="34">
        <f t="shared" si="375"/>
        <v>700</v>
      </c>
      <c r="AN313" s="9">
        <f t="shared" si="376"/>
        <v>0</v>
      </c>
      <c r="AO313" s="10">
        <f t="shared" si="377"/>
        <v>0</v>
      </c>
      <c r="AP313" s="11"/>
      <c r="AR313" s="74"/>
      <c r="AS313" s="23">
        <v>12418</v>
      </c>
      <c r="AT313" s="9">
        <f t="shared" si="378"/>
        <v>33</v>
      </c>
      <c r="AU313" s="9">
        <v>732</v>
      </c>
      <c r="AV313" s="9">
        <f t="shared" si="379"/>
        <v>0</v>
      </c>
      <c r="AW313" s="23">
        <v>16</v>
      </c>
      <c r="AX313" s="9">
        <f t="shared" si="380"/>
        <v>0</v>
      </c>
      <c r="AY313" s="30">
        <v>0</v>
      </c>
      <c r="AZ313" s="113" t="str">
        <f t="shared" si="381"/>
        <v>モンチッチマスコット</v>
      </c>
      <c r="BA313" s="34">
        <f t="shared" si="382"/>
        <v>528</v>
      </c>
      <c r="BB313" s="9">
        <f t="shared" si="383"/>
        <v>0</v>
      </c>
      <c r="BC313" s="10">
        <f t="shared" si="384"/>
        <v>0</v>
      </c>
      <c r="BD313" s="11"/>
      <c r="BF313" s="96"/>
      <c r="BG313" s="9"/>
      <c r="BH313" s="9"/>
      <c r="BI313" s="9"/>
      <c r="BJ313" s="9"/>
      <c r="BK313" s="9"/>
      <c r="BL313" s="9"/>
      <c r="BM313" s="9"/>
      <c r="BN313" s="33"/>
      <c r="BO313" s="33"/>
      <c r="BP313" s="9"/>
      <c r="BQ313" s="10" t="str">
        <f>IF(BP313="","",BP313/(BG313*100))</f>
        <v/>
      </c>
      <c r="BR313" s="90"/>
    </row>
    <row r="314" spans="1:70" ht="15" customHeight="1" thickBot="1" x14ac:dyDescent="0.25">
      <c r="A314" s="75"/>
      <c r="B314" s="67"/>
      <c r="C314" s="17">
        <v>11457</v>
      </c>
      <c r="D314" s="37">
        <f t="shared" si="357"/>
        <v>79</v>
      </c>
      <c r="E314" s="17">
        <v>1173</v>
      </c>
      <c r="F314" s="17">
        <f t="shared" si="358"/>
        <v>1</v>
      </c>
      <c r="G314" s="17">
        <v>13</v>
      </c>
      <c r="H314" s="17">
        <f t="shared" si="359"/>
        <v>1</v>
      </c>
      <c r="I314" s="29">
        <v>0</v>
      </c>
      <c r="J314" s="114" t="str">
        <f t="shared" si="360"/>
        <v>キティヒョウ柄マスコット</v>
      </c>
      <c r="K314" s="37">
        <f t="shared" si="361"/>
        <v>996</v>
      </c>
      <c r="L314" s="17">
        <f t="shared" si="362"/>
        <v>996</v>
      </c>
      <c r="M314" s="18">
        <f t="shared" si="363"/>
        <v>0.1260759493670886</v>
      </c>
      <c r="N314" s="11"/>
      <c r="P314" s="75"/>
      <c r="Q314" s="17">
        <v>11675</v>
      </c>
      <c r="R314" s="37">
        <f t="shared" si="364"/>
        <v>91</v>
      </c>
      <c r="S314" s="17">
        <v>1043</v>
      </c>
      <c r="T314" s="17">
        <f t="shared" si="365"/>
        <v>0</v>
      </c>
      <c r="U314" s="17">
        <v>11</v>
      </c>
      <c r="V314" s="17">
        <f t="shared" si="366"/>
        <v>0</v>
      </c>
      <c r="W314" s="29">
        <v>0</v>
      </c>
      <c r="X314" s="114" t="str">
        <f t="shared" si="367"/>
        <v>AIマスコット</v>
      </c>
      <c r="Y314" s="37">
        <f t="shared" si="368"/>
        <v>286</v>
      </c>
      <c r="Z314" s="17">
        <f t="shared" si="369"/>
        <v>0</v>
      </c>
      <c r="AA314" s="18">
        <f t="shared" si="370"/>
        <v>0</v>
      </c>
      <c r="AB314" s="11"/>
      <c r="AD314" s="75"/>
      <c r="AE314" s="17">
        <v>13726</v>
      </c>
      <c r="AF314" s="37">
        <f t="shared" si="371"/>
        <v>56</v>
      </c>
      <c r="AG314" s="17">
        <v>1530</v>
      </c>
      <c r="AH314" s="17">
        <f t="shared" si="372"/>
        <v>0</v>
      </c>
      <c r="AI314" s="17">
        <v>12</v>
      </c>
      <c r="AJ314" s="17">
        <f t="shared" si="373"/>
        <v>0</v>
      </c>
      <c r="AK314" s="29">
        <v>0</v>
      </c>
      <c r="AL314" s="114" t="str">
        <f t="shared" si="385"/>
        <v>ラブブマスコット</v>
      </c>
      <c r="AM314" s="37">
        <f t="shared" si="375"/>
        <v>500</v>
      </c>
      <c r="AN314" s="17">
        <f t="shared" si="376"/>
        <v>0</v>
      </c>
      <c r="AO314" s="18">
        <f t="shared" si="377"/>
        <v>0</v>
      </c>
      <c r="AP314" s="11"/>
      <c r="AR314" s="75"/>
      <c r="AS314" s="17">
        <v>10308</v>
      </c>
      <c r="AT314" s="37">
        <f t="shared" si="378"/>
        <v>31</v>
      </c>
      <c r="AU314" s="17">
        <v>793</v>
      </c>
      <c r="AV314" s="17">
        <f t="shared" si="379"/>
        <v>0</v>
      </c>
      <c r="AW314" s="17">
        <v>7</v>
      </c>
      <c r="AX314" s="17">
        <f t="shared" si="380"/>
        <v>0</v>
      </c>
      <c r="AY314" s="29">
        <v>0</v>
      </c>
      <c r="AZ314" s="114" t="str">
        <f t="shared" si="381"/>
        <v>サンリオでかぱっちん</v>
      </c>
      <c r="BA314" s="37">
        <f t="shared" si="382"/>
        <v>660</v>
      </c>
      <c r="BB314" s="17">
        <f t="shared" si="383"/>
        <v>0</v>
      </c>
      <c r="BC314" s="18">
        <f t="shared" si="384"/>
        <v>0</v>
      </c>
      <c r="BD314" s="11"/>
      <c r="BF314" s="96"/>
      <c r="BG314" s="9"/>
      <c r="BH314" s="9" t="str">
        <f>IF(BG314="","",BG314-BG315)</f>
        <v/>
      </c>
      <c r="BI314" s="9"/>
      <c r="BJ314" s="9" t="str">
        <f>IF(BI314="","",BI314-BI315)</f>
        <v/>
      </c>
      <c r="BK314" s="9"/>
      <c r="BL314" s="9" t="str">
        <f>IF(BK314="","",BK315+BM315-BK314)</f>
        <v/>
      </c>
      <c r="BM314" s="9"/>
      <c r="BN314" s="33"/>
      <c r="BO314" s="33" t="str">
        <f>IF(BG314="","",BO315)</f>
        <v/>
      </c>
      <c r="BP314" s="9" t="str">
        <f t="shared" ref="BP314:BP346" si="386">IF(BO314="","",BL314*BO314)</f>
        <v/>
      </c>
      <c r="BQ314" s="10" t="str">
        <f t="shared" ref="BQ314:BQ346" si="387">IF(BP314="","",BP314/(BH314*100))</f>
        <v/>
      </c>
      <c r="BR314" s="90"/>
    </row>
    <row r="315" spans="1:70" ht="15" customHeight="1" thickTop="1" x14ac:dyDescent="0.2">
      <c r="A315" s="71">
        <v>45962</v>
      </c>
      <c r="B315" s="61">
        <f>SUM(D315:D318)+SUM(R315:R318)+SUM(AF315:AF318)+SUM(AT315:AT318)</f>
        <v>862</v>
      </c>
      <c r="C315" s="33">
        <v>14751</v>
      </c>
      <c r="D315" s="94">
        <f t="shared" si="357"/>
        <v>13</v>
      </c>
      <c r="E315" s="33">
        <v>1048</v>
      </c>
      <c r="F315" s="20">
        <f t="shared" si="358"/>
        <v>0</v>
      </c>
      <c r="G315" s="33">
        <v>12</v>
      </c>
      <c r="H315" s="33">
        <f t="shared" si="359"/>
        <v>0</v>
      </c>
      <c r="I315" s="43">
        <v>88</v>
      </c>
      <c r="J315" s="112" t="str">
        <f t="shared" si="360"/>
        <v>液晶ミニカメラ</v>
      </c>
      <c r="K315" s="40">
        <f t="shared" si="361"/>
        <v>1075</v>
      </c>
      <c r="L315" s="20">
        <f t="shared" si="362"/>
        <v>0</v>
      </c>
      <c r="M315" s="21">
        <f t="shared" si="363"/>
        <v>0</v>
      </c>
      <c r="N315" s="11" t="s">
        <v>115</v>
      </c>
      <c r="P315" s="76">
        <f>IF($A315="","",$A315)</f>
        <v>45962</v>
      </c>
      <c r="Q315" s="33">
        <v>13954</v>
      </c>
      <c r="R315" s="33">
        <f t="shared" si="364"/>
        <v>80</v>
      </c>
      <c r="S315" s="33">
        <v>1382</v>
      </c>
      <c r="T315" s="20">
        <f t="shared" si="365"/>
        <v>1</v>
      </c>
      <c r="U315" s="33">
        <v>6</v>
      </c>
      <c r="V315" s="33">
        <f t="shared" si="366"/>
        <v>1</v>
      </c>
      <c r="W315" s="43">
        <v>2</v>
      </c>
      <c r="X315" s="112" t="str">
        <f t="shared" si="367"/>
        <v>キティフェイスポーチ</v>
      </c>
      <c r="Y315" s="40">
        <f t="shared" si="368"/>
        <v>957</v>
      </c>
      <c r="Z315" s="20">
        <f t="shared" si="369"/>
        <v>957</v>
      </c>
      <c r="AA315" s="21">
        <f t="shared" si="370"/>
        <v>0.119625</v>
      </c>
      <c r="AB315" s="11"/>
      <c r="AD315" s="76">
        <f>IF($A315="","",$A315)</f>
        <v>45962</v>
      </c>
      <c r="AE315" s="33">
        <v>11815</v>
      </c>
      <c r="AF315" s="94">
        <f t="shared" si="371"/>
        <v>18</v>
      </c>
      <c r="AG315" s="33">
        <v>894</v>
      </c>
      <c r="AH315" s="20">
        <f t="shared" si="372"/>
        <v>0</v>
      </c>
      <c r="AI315" s="33">
        <v>14</v>
      </c>
      <c r="AJ315" s="33">
        <f t="shared" si="373"/>
        <v>0</v>
      </c>
      <c r="AK315" s="43">
        <v>-5</v>
      </c>
      <c r="AL315" s="112" t="s">
        <v>117</v>
      </c>
      <c r="AM315" s="40">
        <f t="shared" si="375"/>
        <v>748</v>
      </c>
      <c r="AN315" s="20">
        <f t="shared" si="376"/>
        <v>0</v>
      </c>
      <c r="AO315" s="21">
        <f t="shared" si="377"/>
        <v>0</v>
      </c>
      <c r="AP315" s="11" t="s">
        <v>118</v>
      </c>
      <c r="AR315" s="76">
        <f>IF($A315="","",$A315)</f>
        <v>45962</v>
      </c>
      <c r="AS315" s="33">
        <v>8529</v>
      </c>
      <c r="AT315" s="33">
        <f t="shared" si="378"/>
        <v>78</v>
      </c>
      <c r="AU315" s="33">
        <v>472</v>
      </c>
      <c r="AV315" s="20">
        <f t="shared" si="379"/>
        <v>1</v>
      </c>
      <c r="AW315" s="33">
        <v>9</v>
      </c>
      <c r="AX315" s="33">
        <f t="shared" si="380"/>
        <v>1</v>
      </c>
      <c r="AY315" s="43"/>
      <c r="AZ315" s="112" t="str">
        <f t="shared" si="381"/>
        <v>デジタルミニカメラ</v>
      </c>
      <c r="BA315" s="40">
        <f t="shared" si="382"/>
        <v>722</v>
      </c>
      <c r="BB315" s="20">
        <f t="shared" si="383"/>
        <v>722</v>
      </c>
      <c r="BC315" s="21">
        <f t="shared" si="384"/>
        <v>9.2564102564102566E-2</v>
      </c>
      <c r="BD315" s="11"/>
      <c r="BF315" s="96"/>
      <c r="BG315" s="9"/>
      <c r="BH315" s="9" t="str">
        <f>IF(BG315="","",BG315-BG312)</f>
        <v/>
      </c>
      <c r="BI315" s="9"/>
      <c r="BJ315" s="9" t="str">
        <f>IF(BI315="","",BI315-BI312)</f>
        <v/>
      </c>
      <c r="BK315" s="9"/>
      <c r="BL315" s="9" t="str">
        <f>IF(BK315="","",BK312+BM312-BK315)</f>
        <v/>
      </c>
      <c r="BM315" s="9"/>
      <c r="BN315" s="33"/>
      <c r="BO315" s="33" t="str">
        <f>IF(BG315="","",BO312)</f>
        <v/>
      </c>
      <c r="BP315" s="9" t="str">
        <f t="shared" si="386"/>
        <v/>
      </c>
      <c r="BQ315" s="10" t="str">
        <f t="shared" si="387"/>
        <v/>
      </c>
      <c r="BR315" s="90"/>
    </row>
    <row r="316" spans="1:70" x14ac:dyDescent="0.2">
      <c r="A316" s="71"/>
      <c r="B316" s="61"/>
      <c r="C316" s="33">
        <v>16648</v>
      </c>
      <c r="D316" s="9">
        <f t="shared" si="357"/>
        <v>94</v>
      </c>
      <c r="E316" s="9">
        <v>565</v>
      </c>
      <c r="F316" s="9">
        <f t="shared" si="358"/>
        <v>2</v>
      </c>
      <c r="G316" s="9">
        <v>39</v>
      </c>
      <c r="H316" s="9">
        <f t="shared" si="359"/>
        <v>2</v>
      </c>
      <c r="I316" s="13">
        <v>10</v>
      </c>
      <c r="J316" s="113" t="str">
        <f t="shared" si="360"/>
        <v>電ブル</v>
      </c>
      <c r="K316" s="34">
        <f t="shared" si="361"/>
        <v>275</v>
      </c>
      <c r="L316" s="9">
        <f t="shared" si="362"/>
        <v>550</v>
      </c>
      <c r="M316" s="10">
        <f t="shared" si="363"/>
        <v>5.8510638297872342E-2</v>
      </c>
      <c r="N316" s="11"/>
      <c r="P316" s="71"/>
      <c r="Q316" s="33">
        <v>13579</v>
      </c>
      <c r="R316" s="77">
        <f t="shared" si="364"/>
        <v>31</v>
      </c>
      <c r="S316" s="9">
        <v>486</v>
      </c>
      <c r="T316" s="9">
        <f t="shared" si="365"/>
        <v>0</v>
      </c>
      <c r="U316" s="9">
        <v>9</v>
      </c>
      <c r="V316" s="9">
        <f t="shared" si="366"/>
        <v>0</v>
      </c>
      <c r="W316" s="13">
        <v>0</v>
      </c>
      <c r="X316" s="113" t="str">
        <f t="shared" si="367"/>
        <v>サンリオミニリュックチャーム付</v>
      </c>
      <c r="Y316" s="34">
        <f t="shared" si="368"/>
        <v>600</v>
      </c>
      <c r="Z316" s="9">
        <f t="shared" si="369"/>
        <v>0</v>
      </c>
      <c r="AA316" s="10">
        <f t="shared" si="370"/>
        <v>0</v>
      </c>
      <c r="AB316" s="11"/>
      <c r="AD316" s="71"/>
      <c r="AE316" s="33">
        <v>11440</v>
      </c>
      <c r="AF316" s="9">
        <f t="shared" si="371"/>
        <v>77</v>
      </c>
      <c r="AG316" s="9">
        <v>767</v>
      </c>
      <c r="AH316" s="9">
        <f t="shared" si="372"/>
        <v>1</v>
      </c>
      <c r="AI316" s="9">
        <v>19</v>
      </c>
      <c r="AJ316" s="9">
        <f t="shared" si="373"/>
        <v>1</v>
      </c>
      <c r="AK316" s="13">
        <v>0</v>
      </c>
      <c r="AL316" s="113" t="str">
        <f t="shared" si="385"/>
        <v>ジャグラーサウンドフラッシュ</v>
      </c>
      <c r="AM316" s="34">
        <f t="shared" si="375"/>
        <v>748</v>
      </c>
      <c r="AN316" s="9">
        <f t="shared" si="376"/>
        <v>748</v>
      </c>
      <c r="AO316" s="10">
        <f t="shared" si="377"/>
        <v>9.7142857142857142E-2</v>
      </c>
      <c r="AP316" s="11"/>
      <c r="AR316" s="71"/>
      <c r="AS316" s="33">
        <v>10064</v>
      </c>
      <c r="AT316" s="77">
        <f t="shared" si="378"/>
        <v>25</v>
      </c>
      <c r="AU316" s="9">
        <v>520</v>
      </c>
      <c r="AV316" s="9">
        <f t="shared" si="379"/>
        <v>0</v>
      </c>
      <c r="AW316" s="9">
        <v>17</v>
      </c>
      <c r="AX316" s="9">
        <f t="shared" si="380"/>
        <v>0</v>
      </c>
      <c r="AY316" s="13"/>
      <c r="AZ316" s="113" t="str">
        <f t="shared" si="381"/>
        <v>クーリッシュイヤホン</v>
      </c>
      <c r="BA316" s="34">
        <f t="shared" si="382"/>
        <v>1100</v>
      </c>
      <c r="BB316" s="9">
        <f t="shared" si="383"/>
        <v>0</v>
      </c>
      <c r="BC316" s="10">
        <f t="shared" si="384"/>
        <v>0</v>
      </c>
      <c r="BD316" s="11"/>
      <c r="BF316" s="97"/>
      <c r="BG316" s="9"/>
      <c r="BH316" s="9" t="str">
        <f>IF(BG316="","",BG316-BG314)</f>
        <v/>
      </c>
      <c r="BI316" s="9"/>
      <c r="BJ316" s="9" t="str">
        <f>IF(BI316="","",BI316-BI314)</f>
        <v/>
      </c>
      <c r="BK316" s="9"/>
      <c r="BL316" s="9" t="str">
        <f>IF(BK316="","",BK314+BM314-BK316)</f>
        <v/>
      </c>
      <c r="BM316" s="9"/>
      <c r="BN316" s="33"/>
      <c r="BO316" s="33" t="str">
        <f>IF(BG316="","",BO314)</f>
        <v/>
      </c>
      <c r="BP316" s="9" t="str">
        <f t="shared" si="386"/>
        <v/>
      </c>
      <c r="BQ316" s="10" t="str">
        <f t="shared" si="387"/>
        <v/>
      </c>
      <c r="BR316" s="11"/>
    </row>
    <row r="317" spans="1:70" ht="15" customHeight="1" x14ac:dyDescent="0.2">
      <c r="A317" s="71"/>
      <c r="B317" s="64"/>
      <c r="C317" s="38">
        <v>15947</v>
      </c>
      <c r="D317" s="9">
        <f t="shared" si="357"/>
        <v>102</v>
      </c>
      <c r="E317" s="9">
        <v>593</v>
      </c>
      <c r="F317" s="9">
        <f t="shared" si="358"/>
        <v>2</v>
      </c>
      <c r="G317" s="9">
        <v>21</v>
      </c>
      <c r="H317" s="9">
        <f t="shared" si="359"/>
        <v>2</v>
      </c>
      <c r="I317" s="13">
        <v>0</v>
      </c>
      <c r="J317" s="113" t="str">
        <f t="shared" si="360"/>
        <v>ラブブキーホルダー</v>
      </c>
      <c r="K317" s="9">
        <f t="shared" si="361"/>
        <v>500</v>
      </c>
      <c r="L317" s="9">
        <f t="shared" si="362"/>
        <v>1000</v>
      </c>
      <c r="M317" s="10">
        <f t="shared" si="363"/>
        <v>9.8039215686274508E-2</v>
      </c>
      <c r="N317" s="11"/>
      <c r="P317" s="71"/>
      <c r="Q317" s="38">
        <v>13672</v>
      </c>
      <c r="R317" s="77">
        <f t="shared" si="364"/>
        <v>13</v>
      </c>
      <c r="S317" s="9">
        <v>905</v>
      </c>
      <c r="T317" s="9">
        <f t="shared" si="365"/>
        <v>1</v>
      </c>
      <c r="U317" s="9">
        <v>83</v>
      </c>
      <c r="V317" s="9">
        <f t="shared" si="366"/>
        <v>1</v>
      </c>
      <c r="W317" s="13">
        <v>0</v>
      </c>
      <c r="X317" s="113" t="str">
        <f t="shared" si="367"/>
        <v>AIラバー</v>
      </c>
      <c r="Y317" s="9">
        <f t="shared" si="368"/>
        <v>198</v>
      </c>
      <c r="Z317" s="9">
        <f t="shared" si="369"/>
        <v>198</v>
      </c>
      <c r="AA317" s="10">
        <f t="shared" si="370"/>
        <v>0.15230769230769231</v>
      </c>
      <c r="AB317" s="11"/>
      <c r="AD317" s="71"/>
      <c r="AE317" s="38">
        <v>14255</v>
      </c>
      <c r="AF317" s="9">
        <f t="shared" si="371"/>
        <v>45</v>
      </c>
      <c r="AG317" s="9">
        <v>2388</v>
      </c>
      <c r="AH317" s="9">
        <f t="shared" si="372"/>
        <v>1</v>
      </c>
      <c r="AI317" s="9">
        <v>12</v>
      </c>
      <c r="AJ317" s="9">
        <f t="shared" si="373"/>
        <v>1</v>
      </c>
      <c r="AK317" s="13">
        <v>0</v>
      </c>
      <c r="AL317" s="113" t="str">
        <f t="shared" si="385"/>
        <v>サンリオがま口財布</v>
      </c>
      <c r="AM317" s="9">
        <f t="shared" si="375"/>
        <v>700</v>
      </c>
      <c r="AN317" s="9">
        <f t="shared" si="376"/>
        <v>700</v>
      </c>
      <c r="AO317" s="10">
        <f t="shared" si="377"/>
        <v>0.15555555555555556</v>
      </c>
      <c r="AP317" s="11"/>
      <c r="AR317" s="71"/>
      <c r="AS317" s="38">
        <v>12481</v>
      </c>
      <c r="AT317" s="9">
        <f t="shared" si="378"/>
        <v>63</v>
      </c>
      <c r="AU317" s="9">
        <v>733</v>
      </c>
      <c r="AV317" s="9">
        <f t="shared" si="379"/>
        <v>1</v>
      </c>
      <c r="AW317" s="9">
        <v>16</v>
      </c>
      <c r="AX317" s="9">
        <f t="shared" si="380"/>
        <v>0</v>
      </c>
      <c r="AY317" s="13"/>
      <c r="AZ317" s="113" t="str">
        <f t="shared" si="381"/>
        <v>モンチッチマスコット</v>
      </c>
      <c r="BA317" s="9">
        <f t="shared" si="382"/>
        <v>528</v>
      </c>
      <c r="BB317" s="9">
        <f t="shared" si="383"/>
        <v>0</v>
      </c>
      <c r="BC317" s="10">
        <f t="shared" si="384"/>
        <v>0</v>
      </c>
      <c r="BD317" s="11"/>
      <c r="BF317" s="97" t="str">
        <f>IF($A317="","",$A317)</f>
        <v/>
      </c>
      <c r="BG317" s="9"/>
      <c r="BH317" s="9" t="str">
        <f>IF(BG317="","",BG317-#REF!)</f>
        <v/>
      </c>
      <c r="BI317" s="9"/>
      <c r="BJ317" s="9" t="str">
        <f>IF(BI317="","",BI317-#REF!)</f>
        <v/>
      </c>
      <c r="BK317" s="9"/>
      <c r="BL317" s="9" t="str">
        <f>IF(BK317="","",#REF!+#REF!-BK317)</f>
        <v/>
      </c>
      <c r="BM317" s="9"/>
      <c r="BN317" s="33"/>
      <c r="BO317" s="33" t="str">
        <f>IF(BG317="","",#REF!)</f>
        <v/>
      </c>
      <c r="BP317" s="9" t="str">
        <f t="shared" si="386"/>
        <v/>
      </c>
      <c r="BQ317" s="10" t="str">
        <f t="shared" si="387"/>
        <v/>
      </c>
      <c r="BR317" s="11"/>
    </row>
    <row r="318" spans="1:70" ht="15" customHeight="1" thickBot="1" x14ac:dyDescent="0.25">
      <c r="A318" s="75"/>
      <c r="B318" s="67"/>
      <c r="C318" s="36">
        <v>11523</v>
      </c>
      <c r="D318" s="37">
        <f t="shared" si="357"/>
        <v>66</v>
      </c>
      <c r="E318" s="17">
        <v>1174</v>
      </c>
      <c r="F318" s="17">
        <f t="shared" si="358"/>
        <v>1</v>
      </c>
      <c r="G318" s="17">
        <v>12</v>
      </c>
      <c r="H318" s="17">
        <f t="shared" si="359"/>
        <v>1</v>
      </c>
      <c r="I318" s="29">
        <v>3</v>
      </c>
      <c r="J318" s="114" t="str">
        <f t="shared" si="360"/>
        <v>キティヒョウ柄マスコット</v>
      </c>
      <c r="K318" s="37">
        <f t="shared" si="361"/>
        <v>996</v>
      </c>
      <c r="L318" s="17">
        <f t="shared" si="362"/>
        <v>996</v>
      </c>
      <c r="M318" s="18">
        <f t="shared" si="363"/>
        <v>0.15090909090909091</v>
      </c>
      <c r="N318" s="11"/>
      <c r="P318" s="75"/>
      <c r="Q318" s="36">
        <v>11708</v>
      </c>
      <c r="R318" s="83">
        <f t="shared" si="364"/>
        <v>33</v>
      </c>
      <c r="S318" s="17">
        <v>1044</v>
      </c>
      <c r="T318" s="17">
        <f t="shared" si="365"/>
        <v>1</v>
      </c>
      <c r="U318" s="17">
        <v>10</v>
      </c>
      <c r="V318" s="17">
        <f t="shared" si="366"/>
        <v>1</v>
      </c>
      <c r="W318" s="29">
        <v>2</v>
      </c>
      <c r="X318" s="114" t="str">
        <f t="shared" si="367"/>
        <v>AIマスコット</v>
      </c>
      <c r="Y318" s="37">
        <f t="shared" si="368"/>
        <v>286</v>
      </c>
      <c r="Z318" s="17">
        <f t="shared" si="369"/>
        <v>286</v>
      </c>
      <c r="AA318" s="18">
        <f t="shared" si="370"/>
        <v>8.666666666666667E-2</v>
      </c>
      <c r="AB318" s="11" t="s">
        <v>116</v>
      </c>
      <c r="AD318" s="75"/>
      <c r="AE318" s="36">
        <v>13829</v>
      </c>
      <c r="AF318" s="37">
        <f t="shared" si="371"/>
        <v>103</v>
      </c>
      <c r="AG318" s="17">
        <v>1532</v>
      </c>
      <c r="AH318" s="17">
        <f t="shared" si="372"/>
        <v>2</v>
      </c>
      <c r="AI318" s="17">
        <v>10</v>
      </c>
      <c r="AJ318" s="17">
        <f t="shared" si="373"/>
        <v>2</v>
      </c>
      <c r="AK318" s="29">
        <v>5</v>
      </c>
      <c r="AL318" s="114" t="str">
        <f t="shared" si="385"/>
        <v>ラブブマスコット</v>
      </c>
      <c r="AM318" s="37">
        <f t="shared" si="375"/>
        <v>500</v>
      </c>
      <c r="AN318" s="17">
        <f t="shared" si="376"/>
        <v>1000</v>
      </c>
      <c r="AO318" s="18">
        <f t="shared" si="377"/>
        <v>9.7087378640776698E-2</v>
      </c>
      <c r="AP318" s="11"/>
      <c r="AR318" s="75"/>
      <c r="AS318" s="36">
        <v>10329</v>
      </c>
      <c r="AT318" s="83">
        <f t="shared" si="378"/>
        <v>21</v>
      </c>
      <c r="AU318" s="17">
        <v>793</v>
      </c>
      <c r="AV318" s="17">
        <f t="shared" si="379"/>
        <v>0</v>
      </c>
      <c r="AW318" s="17">
        <v>7</v>
      </c>
      <c r="AX318" s="17">
        <f t="shared" si="380"/>
        <v>0</v>
      </c>
      <c r="AY318" s="29"/>
      <c r="AZ318" s="114" t="s">
        <v>114</v>
      </c>
      <c r="BA318" s="37">
        <f t="shared" si="382"/>
        <v>660</v>
      </c>
      <c r="BB318" s="17">
        <f t="shared" si="383"/>
        <v>0</v>
      </c>
      <c r="BC318" s="18">
        <f t="shared" si="384"/>
        <v>0</v>
      </c>
      <c r="BD318" s="11"/>
      <c r="BF318" s="97" t="str">
        <f>IF($A318="","",$A318)</f>
        <v/>
      </c>
      <c r="BG318" s="9"/>
      <c r="BH318" s="9" t="str">
        <f>IF(BG318="","",BG318-BG317)</f>
        <v/>
      </c>
      <c r="BI318" s="9"/>
      <c r="BJ318" s="9" t="str">
        <f>IF(BI318="","",BI318-BI317)</f>
        <v/>
      </c>
      <c r="BK318" s="9"/>
      <c r="BL318" s="9" t="str">
        <f>IF(BK318="","",BK317+BM317-BK318)</f>
        <v/>
      </c>
      <c r="BM318" s="9"/>
      <c r="BN318" s="33"/>
      <c r="BO318" s="33" t="str">
        <f>IF(BG318="","",BO317)</f>
        <v/>
      </c>
      <c r="BP318" s="9" t="str">
        <f t="shared" si="386"/>
        <v/>
      </c>
      <c r="BQ318" s="10" t="str">
        <f t="shared" si="387"/>
        <v/>
      </c>
      <c r="BR318" s="11"/>
    </row>
    <row r="319" spans="1:70" ht="15" customHeight="1" thickTop="1" x14ac:dyDescent="0.2">
      <c r="A319" s="71">
        <v>45965</v>
      </c>
      <c r="B319" s="61">
        <f>SUM(D319:D322)+SUM(R319:R322)+SUM(AF319:AF322)+SUM(AT319:AT322)</f>
        <v>607</v>
      </c>
      <c r="C319" s="33">
        <v>14817</v>
      </c>
      <c r="D319" s="33">
        <f t="shared" ref="D319:D354" si="388">IF(C319="","",C319-C315)</f>
        <v>66</v>
      </c>
      <c r="E319" s="33">
        <v>1050</v>
      </c>
      <c r="F319" s="20">
        <f t="shared" ref="F319:F354" si="389">IF(E319="","",E319-E315)</f>
        <v>2</v>
      </c>
      <c r="G319" s="33">
        <v>98</v>
      </c>
      <c r="H319" s="33">
        <f t="shared" ref="H319:H349" si="390">IF(G319="","",G315+I315-G319)</f>
        <v>2</v>
      </c>
      <c r="I319" s="43"/>
      <c r="J319" s="113" t="s">
        <v>120</v>
      </c>
      <c r="K319" s="34">
        <f t="shared" ref="K319:K354" si="391">IF(D319="","",K315)</f>
        <v>1075</v>
      </c>
      <c r="L319" s="20">
        <f t="shared" ref="L319:L354" si="392">IF(G319="","",H319*K319)</f>
        <v>2150</v>
      </c>
      <c r="M319" s="21">
        <f t="shared" ref="M319:M354" si="393">IF(H319="","",L319/(D319*100))</f>
        <v>0.32575757575757575</v>
      </c>
      <c r="N319" s="11" t="s">
        <v>121</v>
      </c>
      <c r="P319" s="76">
        <f>IF($A319="","",$A319)</f>
        <v>45965</v>
      </c>
      <c r="Q319" s="33">
        <v>13980</v>
      </c>
      <c r="R319" s="33">
        <f t="shared" si="364"/>
        <v>26</v>
      </c>
      <c r="S319" s="33">
        <v>1382</v>
      </c>
      <c r="T319" s="20">
        <f t="shared" si="365"/>
        <v>0</v>
      </c>
      <c r="U319" s="33">
        <v>8</v>
      </c>
      <c r="V319" s="33">
        <f t="shared" si="366"/>
        <v>0</v>
      </c>
      <c r="W319" s="43">
        <v>1</v>
      </c>
      <c r="X319" s="113" t="str">
        <f t="shared" si="367"/>
        <v>キティフェイスポーチ</v>
      </c>
      <c r="Y319" s="34">
        <f t="shared" si="368"/>
        <v>957</v>
      </c>
      <c r="Z319" s="20">
        <f t="shared" si="369"/>
        <v>0</v>
      </c>
      <c r="AA319" s="21">
        <f t="shared" si="370"/>
        <v>0</v>
      </c>
      <c r="AB319" s="11"/>
      <c r="AD319" s="76">
        <f>IF($A319="","",$A319)</f>
        <v>45965</v>
      </c>
      <c r="AE319" s="33">
        <v>11867</v>
      </c>
      <c r="AF319" s="33">
        <f t="shared" si="371"/>
        <v>52</v>
      </c>
      <c r="AG319" s="33">
        <v>895</v>
      </c>
      <c r="AH319" s="20">
        <f t="shared" si="372"/>
        <v>1</v>
      </c>
      <c r="AI319" s="33">
        <v>8</v>
      </c>
      <c r="AJ319" s="33">
        <f t="shared" si="373"/>
        <v>1</v>
      </c>
      <c r="AK319" s="43">
        <v>1</v>
      </c>
      <c r="AL319" s="113" t="s">
        <v>123</v>
      </c>
      <c r="AM319" s="34">
        <f t="shared" si="375"/>
        <v>748</v>
      </c>
      <c r="AN319" s="20">
        <f t="shared" si="376"/>
        <v>748</v>
      </c>
      <c r="AO319" s="21">
        <f t="shared" si="377"/>
        <v>0.14384615384615385</v>
      </c>
      <c r="AP319" s="11"/>
      <c r="AR319" s="76">
        <f>IF($A319="","",$A319)</f>
        <v>45965</v>
      </c>
      <c r="AS319" s="33">
        <v>8565</v>
      </c>
      <c r="AT319" s="33">
        <f t="shared" si="378"/>
        <v>36</v>
      </c>
      <c r="AU319" s="33">
        <v>472</v>
      </c>
      <c r="AV319" s="20">
        <f t="shared" si="379"/>
        <v>0</v>
      </c>
      <c r="AW319" s="33">
        <v>9</v>
      </c>
      <c r="AX319" s="33">
        <f t="shared" si="380"/>
        <v>0</v>
      </c>
      <c r="AY319" s="43"/>
      <c r="AZ319" s="113" t="str">
        <f t="shared" si="381"/>
        <v>デジタルミニカメラ</v>
      </c>
      <c r="BA319" s="34">
        <f t="shared" si="382"/>
        <v>722</v>
      </c>
      <c r="BB319" s="20">
        <f t="shared" si="383"/>
        <v>0</v>
      </c>
      <c r="BC319" s="21">
        <f t="shared" si="384"/>
        <v>0</v>
      </c>
      <c r="BD319" s="11"/>
      <c r="BF319" s="97"/>
      <c r="BG319" s="9"/>
      <c r="BH319" s="9" t="str">
        <f>IF(BG319="","",BG319-BG318)</f>
        <v/>
      </c>
      <c r="BI319" s="9"/>
      <c r="BJ319" s="9" t="str">
        <f>IF(BI319="","",BI319-BI318)</f>
        <v/>
      </c>
      <c r="BK319" s="9"/>
      <c r="BL319" s="9" t="str">
        <f>IF(BK319="","",BK318+BM318-BK319)</f>
        <v/>
      </c>
      <c r="BM319" s="9"/>
      <c r="BN319" s="33"/>
      <c r="BO319" s="33" t="str">
        <f>IF(BG319="","",BO318)</f>
        <v/>
      </c>
      <c r="BP319" s="9" t="str">
        <f t="shared" si="386"/>
        <v/>
      </c>
      <c r="BQ319" s="10" t="str">
        <f t="shared" si="387"/>
        <v/>
      </c>
      <c r="BR319" s="11"/>
    </row>
    <row r="320" spans="1:70" ht="15" customHeight="1" x14ac:dyDescent="0.2">
      <c r="A320" s="72"/>
      <c r="B320" s="8"/>
      <c r="C320" s="9">
        <v>16691</v>
      </c>
      <c r="D320" s="9">
        <f t="shared" si="388"/>
        <v>43</v>
      </c>
      <c r="E320" s="9">
        <v>567</v>
      </c>
      <c r="F320" s="9">
        <f t="shared" si="389"/>
        <v>2</v>
      </c>
      <c r="G320" s="9">
        <v>47</v>
      </c>
      <c r="H320" s="9">
        <f t="shared" si="390"/>
        <v>2</v>
      </c>
      <c r="I320" s="13">
        <v>5</v>
      </c>
      <c r="J320" s="113" t="str">
        <f t="shared" ref="J320:J329" si="394">IF(C320="","",J316)</f>
        <v>電ブル</v>
      </c>
      <c r="K320" s="34">
        <f t="shared" si="391"/>
        <v>275</v>
      </c>
      <c r="L320" s="9">
        <f t="shared" si="392"/>
        <v>550</v>
      </c>
      <c r="M320" s="10">
        <f t="shared" si="393"/>
        <v>0.12790697674418605</v>
      </c>
      <c r="N320" s="11"/>
      <c r="P320" s="72"/>
      <c r="Q320" s="9">
        <v>13591</v>
      </c>
      <c r="R320" s="78">
        <f t="shared" si="364"/>
        <v>12</v>
      </c>
      <c r="S320" s="9">
        <v>486</v>
      </c>
      <c r="T320" s="9">
        <f t="shared" si="365"/>
        <v>0</v>
      </c>
      <c r="U320" s="9">
        <v>9</v>
      </c>
      <c r="V320" s="9">
        <f t="shared" si="366"/>
        <v>0</v>
      </c>
      <c r="W320" s="13">
        <v>0</v>
      </c>
      <c r="X320" s="113" t="str">
        <f t="shared" si="367"/>
        <v>サンリオミニリュックチャーム付</v>
      </c>
      <c r="Y320" s="34">
        <f t="shared" si="368"/>
        <v>600</v>
      </c>
      <c r="Z320" s="9">
        <f t="shared" si="369"/>
        <v>0</v>
      </c>
      <c r="AA320" s="10">
        <f t="shared" si="370"/>
        <v>0</v>
      </c>
      <c r="AB320" s="11"/>
      <c r="AD320" s="72"/>
      <c r="AE320" s="9">
        <v>11483</v>
      </c>
      <c r="AF320" s="9">
        <f t="shared" si="371"/>
        <v>43</v>
      </c>
      <c r="AG320" s="9">
        <v>768</v>
      </c>
      <c r="AH320" s="9">
        <f t="shared" si="372"/>
        <v>1</v>
      </c>
      <c r="AI320" s="9">
        <v>18</v>
      </c>
      <c r="AJ320" s="9">
        <f t="shared" si="373"/>
        <v>1</v>
      </c>
      <c r="AK320" s="13">
        <v>1</v>
      </c>
      <c r="AL320" s="113" t="str">
        <f t="shared" si="385"/>
        <v>ジャグラーサウンドフラッシュ</v>
      </c>
      <c r="AM320" s="34">
        <f t="shared" si="375"/>
        <v>748</v>
      </c>
      <c r="AN320" s="9">
        <f t="shared" si="376"/>
        <v>748</v>
      </c>
      <c r="AO320" s="10">
        <f t="shared" si="377"/>
        <v>0.17395348837209301</v>
      </c>
      <c r="AP320" s="11"/>
      <c r="AR320" s="72"/>
      <c r="AS320" s="9">
        <v>10085</v>
      </c>
      <c r="AT320" s="9">
        <f t="shared" si="378"/>
        <v>21</v>
      </c>
      <c r="AU320" s="9">
        <v>520</v>
      </c>
      <c r="AV320" s="9">
        <f t="shared" si="379"/>
        <v>0</v>
      </c>
      <c r="AW320" s="9">
        <v>17</v>
      </c>
      <c r="AX320" s="9">
        <f t="shared" si="380"/>
        <v>0</v>
      </c>
      <c r="AY320" s="13"/>
      <c r="AZ320" s="113" t="str">
        <f t="shared" si="381"/>
        <v>クーリッシュイヤホン</v>
      </c>
      <c r="BA320" s="34">
        <f t="shared" si="382"/>
        <v>1100</v>
      </c>
      <c r="BB320" s="9">
        <f t="shared" si="383"/>
        <v>0</v>
      </c>
      <c r="BC320" s="10">
        <f t="shared" si="384"/>
        <v>0</v>
      </c>
      <c r="BD320" s="11"/>
      <c r="BF320" s="7"/>
      <c r="BG320" s="34"/>
      <c r="BH320" s="9" t="str">
        <f>IF(BG320="","",BG320-BG319)</f>
        <v/>
      </c>
      <c r="BI320" s="9"/>
      <c r="BJ320" s="9" t="str">
        <f>IF(BI320="","",BI320-BI319)</f>
        <v/>
      </c>
      <c r="BK320" s="9"/>
      <c r="BL320" s="9" t="str">
        <f>IF(BK320="","",BK319+BM319-BK320)</f>
        <v/>
      </c>
      <c r="BM320" s="9"/>
      <c r="BN320" s="9"/>
      <c r="BO320" s="9"/>
      <c r="BP320" s="9" t="str">
        <f t="shared" si="386"/>
        <v/>
      </c>
      <c r="BQ320" s="10" t="str">
        <f t="shared" si="387"/>
        <v/>
      </c>
      <c r="BR320" s="11"/>
    </row>
    <row r="321" spans="1:70" ht="15" customHeight="1" x14ac:dyDescent="0.2">
      <c r="A321" s="72"/>
      <c r="B321" s="66"/>
      <c r="C321" s="23">
        <v>16038</v>
      </c>
      <c r="D321" s="9">
        <f t="shared" si="388"/>
        <v>91</v>
      </c>
      <c r="E321" s="9">
        <v>594</v>
      </c>
      <c r="F321" s="9">
        <f t="shared" si="389"/>
        <v>1</v>
      </c>
      <c r="G321" s="23">
        <v>20</v>
      </c>
      <c r="H321" s="9">
        <f t="shared" si="390"/>
        <v>1</v>
      </c>
      <c r="I321" s="30"/>
      <c r="J321" s="113" t="str">
        <f t="shared" si="394"/>
        <v>ラブブキーホルダー</v>
      </c>
      <c r="K321" s="34">
        <f t="shared" si="391"/>
        <v>500</v>
      </c>
      <c r="L321" s="9">
        <f t="shared" si="392"/>
        <v>500</v>
      </c>
      <c r="M321" s="10">
        <f t="shared" si="393"/>
        <v>5.4945054945054944E-2</v>
      </c>
      <c r="N321" s="11"/>
      <c r="P321" s="72"/>
      <c r="Q321" s="23">
        <v>13688</v>
      </c>
      <c r="R321" s="78">
        <f t="shared" si="364"/>
        <v>16</v>
      </c>
      <c r="S321" s="9">
        <v>906</v>
      </c>
      <c r="T321" s="9">
        <f t="shared" si="365"/>
        <v>1</v>
      </c>
      <c r="U321" s="23">
        <v>83</v>
      </c>
      <c r="V321" s="9">
        <f t="shared" si="366"/>
        <v>0</v>
      </c>
      <c r="W321" s="30">
        <v>0</v>
      </c>
      <c r="X321" s="113" t="str">
        <f t="shared" si="367"/>
        <v>AIラバー</v>
      </c>
      <c r="Y321" s="34">
        <f t="shared" si="368"/>
        <v>198</v>
      </c>
      <c r="Z321" s="9">
        <f t="shared" si="369"/>
        <v>0</v>
      </c>
      <c r="AA321" s="10">
        <f t="shared" si="370"/>
        <v>0</v>
      </c>
      <c r="AB321" s="11"/>
      <c r="AD321" s="72"/>
      <c r="AE321" s="23">
        <v>14308</v>
      </c>
      <c r="AF321" s="9">
        <f t="shared" si="371"/>
        <v>53</v>
      </c>
      <c r="AG321" s="9">
        <v>2389</v>
      </c>
      <c r="AH321" s="9">
        <f t="shared" si="372"/>
        <v>1</v>
      </c>
      <c r="AI321" s="23">
        <v>11</v>
      </c>
      <c r="AJ321" s="9">
        <f t="shared" si="373"/>
        <v>1</v>
      </c>
      <c r="AK321" s="30">
        <v>0</v>
      </c>
      <c r="AL321" s="113" t="str">
        <f t="shared" si="385"/>
        <v>サンリオがま口財布</v>
      </c>
      <c r="AM321" s="34">
        <f t="shared" si="375"/>
        <v>700</v>
      </c>
      <c r="AN321" s="9">
        <f t="shared" si="376"/>
        <v>700</v>
      </c>
      <c r="AO321" s="10">
        <f t="shared" si="377"/>
        <v>0.13207547169811321</v>
      </c>
      <c r="AP321" s="11"/>
      <c r="AR321" s="72"/>
      <c r="AS321" s="23">
        <v>12488</v>
      </c>
      <c r="AT321" s="78">
        <f t="shared" si="378"/>
        <v>7</v>
      </c>
      <c r="AU321" s="9">
        <v>733</v>
      </c>
      <c r="AV321" s="9">
        <f t="shared" si="379"/>
        <v>0</v>
      </c>
      <c r="AW321" s="23">
        <v>16</v>
      </c>
      <c r="AX321" s="9">
        <f t="shared" si="380"/>
        <v>0</v>
      </c>
      <c r="AY321" s="30"/>
      <c r="AZ321" s="113" t="str">
        <f t="shared" si="381"/>
        <v>モンチッチマスコット</v>
      </c>
      <c r="BA321" s="34">
        <f t="shared" si="382"/>
        <v>528</v>
      </c>
      <c r="BB321" s="9">
        <f t="shared" si="383"/>
        <v>0</v>
      </c>
      <c r="BC321" s="10">
        <f t="shared" si="384"/>
        <v>0</v>
      </c>
      <c r="BD321" s="11"/>
      <c r="BF321" s="7"/>
      <c r="BG321" s="34"/>
      <c r="BH321" s="9" t="str">
        <f>IF(BG321="","",BG321-BG320)</f>
        <v/>
      </c>
      <c r="BI321" s="9"/>
      <c r="BJ321" s="9" t="str">
        <f>IF(BI321="","",BI321-BI320)</f>
        <v/>
      </c>
      <c r="BK321" s="9"/>
      <c r="BL321" s="9" t="str">
        <f>IF(BK321="","",BK320+BM320-BK321)</f>
        <v/>
      </c>
      <c r="BM321" s="9"/>
      <c r="BN321" s="9"/>
      <c r="BO321" s="9"/>
      <c r="BP321" s="9" t="str">
        <f t="shared" si="386"/>
        <v/>
      </c>
      <c r="BQ321" s="10" t="str">
        <f t="shared" si="387"/>
        <v/>
      </c>
      <c r="BR321" s="11"/>
    </row>
    <row r="322" spans="1:70" ht="15" customHeight="1" thickBot="1" x14ac:dyDescent="0.25">
      <c r="A322" s="75"/>
      <c r="B322" s="67"/>
      <c r="C322" s="17">
        <v>11551</v>
      </c>
      <c r="D322" s="37">
        <f t="shared" si="388"/>
        <v>28</v>
      </c>
      <c r="E322" s="17">
        <v>1174</v>
      </c>
      <c r="F322" s="17">
        <f t="shared" si="389"/>
        <v>0</v>
      </c>
      <c r="G322" s="17">
        <v>15</v>
      </c>
      <c r="H322" s="17">
        <f t="shared" si="390"/>
        <v>0</v>
      </c>
      <c r="I322" s="29"/>
      <c r="J322" s="114" t="str">
        <f t="shared" si="394"/>
        <v>キティヒョウ柄マスコット</v>
      </c>
      <c r="K322" s="37">
        <f t="shared" si="391"/>
        <v>996</v>
      </c>
      <c r="L322" s="17">
        <f t="shared" si="392"/>
        <v>0</v>
      </c>
      <c r="M322" s="18">
        <f t="shared" si="393"/>
        <v>0</v>
      </c>
      <c r="N322" s="11"/>
      <c r="P322" s="75"/>
      <c r="Q322" s="17">
        <v>11741</v>
      </c>
      <c r="R322" s="37">
        <f t="shared" si="364"/>
        <v>33</v>
      </c>
      <c r="S322" s="17">
        <v>1044</v>
      </c>
      <c r="T322" s="17">
        <f t="shared" si="365"/>
        <v>0</v>
      </c>
      <c r="U322" s="17">
        <v>12</v>
      </c>
      <c r="V322" s="17">
        <f t="shared" si="366"/>
        <v>0</v>
      </c>
      <c r="W322" s="29">
        <v>0</v>
      </c>
      <c r="X322" s="114" t="s">
        <v>122</v>
      </c>
      <c r="Y322" s="37">
        <f t="shared" si="368"/>
        <v>286</v>
      </c>
      <c r="Z322" s="17">
        <f t="shared" si="369"/>
        <v>0</v>
      </c>
      <c r="AA322" s="18">
        <f t="shared" si="370"/>
        <v>0</v>
      </c>
      <c r="AB322" s="11"/>
      <c r="AD322" s="75"/>
      <c r="AE322" s="17">
        <v>13895</v>
      </c>
      <c r="AF322" s="37">
        <f t="shared" si="371"/>
        <v>66</v>
      </c>
      <c r="AG322" s="17">
        <v>1533</v>
      </c>
      <c r="AH322" s="17">
        <f t="shared" si="372"/>
        <v>1</v>
      </c>
      <c r="AI322" s="17">
        <v>14</v>
      </c>
      <c r="AJ322" s="17">
        <f t="shared" si="373"/>
        <v>1</v>
      </c>
      <c r="AK322" s="29">
        <v>0</v>
      </c>
      <c r="AL322" s="114" t="str">
        <f t="shared" si="385"/>
        <v>ラブブマスコット</v>
      </c>
      <c r="AM322" s="37">
        <f t="shared" si="375"/>
        <v>500</v>
      </c>
      <c r="AN322" s="17">
        <f t="shared" si="376"/>
        <v>500</v>
      </c>
      <c r="AO322" s="18">
        <f t="shared" si="377"/>
        <v>7.575757575757576E-2</v>
      </c>
      <c r="AP322" s="11"/>
      <c r="AR322" s="75"/>
      <c r="AS322" s="17">
        <v>10343</v>
      </c>
      <c r="AT322" s="104">
        <f t="shared" si="378"/>
        <v>14</v>
      </c>
      <c r="AU322" s="17">
        <v>793</v>
      </c>
      <c r="AV322" s="17">
        <f t="shared" si="379"/>
        <v>0</v>
      </c>
      <c r="AW322" s="17">
        <v>7</v>
      </c>
      <c r="AX322" s="17">
        <f t="shared" si="380"/>
        <v>0</v>
      </c>
      <c r="AY322" s="29"/>
      <c r="AZ322" s="114" t="str">
        <f t="shared" si="381"/>
        <v>サンリオがま口ポーチ</v>
      </c>
      <c r="BA322" s="37">
        <f t="shared" si="382"/>
        <v>660</v>
      </c>
      <c r="BB322" s="17">
        <f t="shared" si="383"/>
        <v>0</v>
      </c>
      <c r="BC322" s="18">
        <f t="shared" si="384"/>
        <v>0</v>
      </c>
      <c r="BD322" s="11"/>
      <c r="BF322" s="7"/>
      <c r="BG322" s="34"/>
      <c r="BH322" s="9" t="str">
        <f>IF(BG322="","",BG322-BG321)</f>
        <v/>
      </c>
      <c r="BI322" s="9"/>
      <c r="BJ322" s="9"/>
      <c r="BK322" s="9"/>
      <c r="BL322" s="9" t="str">
        <f>IF(BK322="","",BK321+BM321-BK322)</f>
        <v/>
      </c>
      <c r="BM322" s="9"/>
      <c r="BN322" s="9"/>
      <c r="BO322" s="9"/>
      <c r="BP322" s="9" t="str">
        <f t="shared" si="386"/>
        <v/>
      </c>
      <c r="BQ322" s="10" t="str">
        <f t="shared" si="387"/>
        <v/>
      </c>
      <c r="BR322" s="11"/>
    </row>
    <row r="323" spans="1:70" ht="15" customHeight="1" thickTop="1" x14ac:dyDescent="0.2">
      <c r="A323" s="71">
        <v>45968</v>
      </c>
      <c r="B323" s="61">
        <f>SUM(D323:D326)+SUM(R323:R326)+SUM(AF323:AF326)+SUM(AT323:AT326)</f>
        <v>576</v>
      </c>
      <c r="C323" s="33">
        <v>14865</v>
      </c>
      <c r="D323" s="33">
        <f t="shared" si="388"/>
        <v>48</v>
      </c>
      <c r="E323" s="33">
        <v>1051</v>
      </c>
      <c r="F323" s="20">
        <f t="shared" si="389"/>
        <v>1</v>
      </c>
      <c r="G323" s="33">
        <v>98</v>
      </c>
      <c r="H323" s="33">
        <f t="shared" si="390"/>
        <v>0</v>
      </c>
      <c r="I323" s="43">
        <v>0</v>
      </c>
      <c r="J323" s="112" t="str">
        <f t="shared" si="394"/>
        <v>アングリーベイビー</v>
      </c>
      <c r="K323" s="40">
        <f t="shared" si="391"/>
        <v>1075</v>
      </c>
      <c r="L323" s="20">
        <f t="shared" si="392"/>
        <v>0</v>
      </c>
      <c r="M323" s="21">
        <f t="shared" si="393"/>
        <v>0</v>
      </c>
      <c r="N323" s="11"/>
      <c r="P323" s="76">
        <f>IF($A323="","",$A323)</f>
        <v>45968</v>
      </c>
      <c r="Q323" s="33">
        <v>14013</v>
      </c>
      <c r="R323" s="33">
        <f t="shared" si="364"/>
        <v>33</v>
      </c>
      <c r="S323" s="33">
        <v>1382</v>
      </c>
      <c r="T323" s="20">
        <f t="shared" si="365"/>
        <v>0</v>
      </c>
      <c r="U323" s="33">
        <v>9</v>
      </c>
      <c r="V323" s="33">
        <f t="shared" si="366"/>
        <v>0</v>
      </c>
      <c r="W323" s="43"/>
      <c r="X323" s="112" t="str">
        <f t="shared" si="367"/>
        <v>キティフェイスポーチ</v>
      </c>
      <c r="Y323" s="40">
        <f t="shared" si="368"/>
        <v>957</v>
      </c>
      <c r="Z323" s="20">
        <f t="shared" si="369"/>
        <v>0</v>
      </c>
      <c r="AA323" s="21">
        <f t="shared" si="370"/>
        <v>0</v>
      </c>
      <c r="AB323" s="11"/>
      <c r="AD323" s="76">
        <f>IF($A323="","",$A323)</f>
        <v>45968</v>
      </c>
      <c r="AE323" s="33">
        <v>11892</v>
      </c>
      <c r="AF323" s="94">
        <f t="shared" si="371"/>
        <v>25</v>
      </c>
      <c r="AG323" s="33">
        <v>895</v>
      </c>
      <c r="AH323" s="20">
        <f t="shared" si="372"/>
        <v>0</v>
      </c>
      <c r="AI323" s="33">
        <v>9</v>
      </c>
      <c r="AJ323" s="33">
        <f t="shared" si="373"/>
        <v>0</v>
      </c>
      <c r="AK323" s="43">
        <v>0</v>
      </c>
      <c r="AL323" s="112" t="str">
        <f t="shared" si="385"/>
        <v>スンスン髪留め</v>
      </c>
      <c r="AM323" s="40">
        <f t="shared" si="375"/>
        <v>748</v>
      </c>
      <c r="AN323" s="20">
        <f t="shared" si="376"/>
        <v>0</v>
      </c>
      <c r="AO323" s="21">
        <f t="shared" si="377"/>
        <v>0</v>
      </c>
      <c r="AP323" s="11"/>
      <c r="AR323" s="76">
        <f>IF($A323="","",$A323)</f>
        <v>45968</v>
      </c>
      <c r="AS323" s="33">
        <v>8592</v>
      </c>
      <c r="AT323" s="33">
        <f t="shared" si="378"/>
        <v>27</v>
      </c>
      <c r="AU323" s="33">
        <v>472</v>
      </c>
      <c r="AV323" s="20">
        <f t="shared" si="379"/>
        <v>0</v>
      </c>
      <c r="AW323" s="33">
        <v>9</v>
      </c>
      <c r="AX323" s="33">
        <f t="shared" si="380"/>
        <v>0</v>
      </c>
      <c r="AY323" s="43"/>
      <c r="AZ323" s="112" t="str">
        <f t="shared" si="381"/>
        <v>デジタルミニカメラ</v>
      </c>
      <c r="BA323" s="40">
        <f t="shared" si="382"/>
        <v>722</v>
      </c>
      <c r="BB323" s="20">
        <f t="shared" si="383"/>
        <v>0</v>
      </c>
      <c r="BC323" s="21">
        <f t="shared" si="384"/>
        <v>0</v>
      </c>
      <c r="BD323" s="11"/>
      <c r="BF323" s="7"/>
      <c r="BG323" s="9"/>
      <c r="BH323" s="9" t="str">
        <f>IF(BG323="","",BG323-BG324)</f>
        <v/>
      </c>
      <c r="BI323" s="9"/>
      <c r="BJ323" s="9" t="str">
        <f>IF(BI323="","",BI323-BI324)</f>
        <v/>
      </c>
      <c r="BK323" s="9"/>
      <c r="BL323" s="9" t="str">
        <f>IF(BK323="","",BK324+BM324-BK323)</f>
        <v/>
      </c>
      <c r="BM323" s="9"/>
      <c r="BN323" s="9"/>
      <c r="BO323" s="9"/>
      <c r="BP323" s="9" t="str">
        <f t="shared" si="386"/>
        <v/>
      </c>
      <c r="BQ323" s="10" t="str">
        <f t="shared" si="387"/>
        <v/>
      </c>
      <c r="BR323" s="11"/>
    </row>
    <row r="324" spans="1:70" ht="15" customHeight="1" x14ac:dyDescent="0.2">
      <c r="A324" s="71"/>
      <c r="B324" s="61"/>
      <c r="C324" s="33">
        <v>16735</v>
      </c>
      <c r="D324" s="9">
        <f t="shared" si="388"/>
        <v>44</v>
      </c>
      <c r="E324" s="9">
        <v>567</v>
      </c>
      <c r="F324" s="9">
        <f t="shared" si="389"/>
        <v>0</v>
      </c>
      <c r="G324" s="9">
        <v>52</v>
      </c>
      <c r="H324" s="9">
        <f t="shared" si="390"/>
        <v>0</v>
      </c>
      <c r="I324" s="13">
        <v>0</v>
      </c>
      <c r="J324" s="113" t="str">
        <f t="shared" si="394"/>
        <v>電ブル</v>
      </c>
      <c r="K324" s="34">
        <f t="shared" si="391"/>
        <v>275</v>
      </c>
      <c r="L324" s="9">
        <f t="shared" si="392"/>
        <v>0</v>
      </c>
      <c r="M324" s="10">
        <f t="shared" si="393"/>
        <v>0</v>
      </c>
      <c r="N324" s="11"/>
      <c r="P324" s="71"/>
      <c r="Q324" s="33">
        <v>13618</v>
      </c>
      <c r="R324" s="9">
        <f t="shared" si="364"/>
        <v>27</v>
      </c>
      <c r="S324" s="9">
        <v>486</v>
      </c>
      <c r="T324" s="9">
        <f t="shared" si="365"/>
        <v>0</v>
      </c>
      <c r="U324" s="9">
        <v>9</v>
      </c>
      <c r="V324" s="9">
        <f t="shared" si="366"/>
        <v>0</v>
      </c>
      <c r="W324" s="13"/>
      <c r="X324" s="113" t="str">
        <f t="shared" si="367"/>
        <v>サンリオミニリュックチャーム付</v>
      </c>
      <c r="Y324" s="34">
        <f t="shared" si="368"/>
        <v>600</v>
      </c>
      <c r="Z324" s="9">
        <f t="shared" si="369"/>
        <v>0</v>
      </c>
      <c r="AA324" s="10">
        <f t="shared" si="370"/>
        <v>0</v>
      </c>
      <c r="AB324" s="11"/>
      <c r="AD324" s="71"/>
      <c r="AE324" s="33">
        <v>11502</v>
      </c>
      <c r="AF324" s="77">
        <f t="shared" si="371"/>
        <v>19</v>
      </c>
      <c r="AG324" s="9">
        <v>768</v>
      </c>
      <c r="AH324" s="9">
        <f t="shared" si="372"/>
        <v>0</v>
      </c>
      <c r="AI324" s="9">
        <v>19</v>
      </c>
      <c r="AJ324" s="9">
        <f t="shared" si="373"/>
        <v>0</v>
      </c>
      <c r="AK324" s="13">
        <v>0</v>
      </c>
      <c r="AL324" s="113" t="str">
        <f t="shared" si="385"/>
        <v>ジャグラーサウンドフラッシュ</v>
      </c>
      <c r="AM324" s="34">
        <f t="shared" si="375"/>
        <v>748</v>
      </c>
      <c r="AN324" s="9">
        <f t="shared" si="376"/>
        <v>0</v>
      </c>
      <c r="AO324" s="10">
        <f t="shared" si="377"/>
        <v>0</v>
      </c>
      <c r="AP324" s="11"/>
      <c r="AR324" s="71"/>
      <c r="AS324" s="33">
        <v>10141</v>
      </c>
      <c r="AT324" s="9">
        <f t="shared" si="378"/>
        <v>56</v>
      </c>
      <c r="AU324" s="9">
        <v>520</v>
      </c>
      <c r="AV324" s="9">
        <f t="shared" si="379"/>
        <v>0</v>
      </c>
      <c r="AW324" s="9">
        <v>17</v>
      </c>
      <c r="AX324" s="9">
        <f t="shared" si="380"/>
        <v>0</v>
      </c>
      <c r="AY324" s="13"/>
      <c r="AZ324" s="113" t="str">
        <f t="shared" si="381"/>
        <v>クーリッシュイヤホン</v>
      </c>
      <c r="BA324" s="34">
        <f t="shared" si="382"/>
        <v>1100</v>
      </c>
      <c r="BB324" s="9">
        <f t="shared" si="383"/>
        <v>0</v>
      </c>
      <c r="BC324" s="10">
        <f t="shared" si="384"/>
        <v>0</v>
      </c>
      <c r="BD324" s="11"/>
      <c r="BF324" s="7"/>
      <c r="BG324" s="9"/>
      <c r="BH324" s="9" t="str">
        <f>IF(BG324="","",BG324-BG322)</f>
        <v/>
      </c>
      <c r="BI324" s="9"/>
      <c r="BJ324" s="9" t="str">
        <f>IF(BI324="","",BI324-BI322)</f>
        <v/>
      </c>
      <c r="BK324" s="9"/>
      <c r="BL324" s="9" t="str">
        <f>IF(BK324="","",BK322+BM322-BK324)</f>
        <v/>
      </c>
      <c r="BM324" s="9"/>
      <c r="BN324" s="9"/>
      <c r="BO324" s="9"/>
      <c r="BP324" s="9" t="str">
        <f t="shared" si="386"/>
        <v/>
      </c>
      <c r="BQ324" s="10" t="str">
        <f t="shared" si="387"/>
        <v/>
      </c>
      <c r="BR324" s="11"/>
    </row>
    <row r="325" spans="1:70" ht="15" customHeight="1" x14ac:dyDescent="0.2">
      <c r="A325" s="72"/>
      <c r="B325" s="8"/>
      <c r="C325" s="38">
        <v>16112</v>
      </c>
      <c r="D325" s="9">
        <f t="shared" si="388"/>
        <v>74</v>
      </c>
      <c r="E325" s="9">
        <v>595</v>
      </c>
      <c r="F325" s="9">
        <f t="shared" si="389"/>
        <v>1</v>
      </c>
      <c r="G325" s="9">
        <v>19</v>
      </c>
      <c r="H325" s="9">
        <f t="shared" si="390"/>
        <v>1</v>
      </c>
      <c r="I325" s="13">
        <v>5</v>
      </c>
      <c r="J325" s="113" t="str">
        <f t="shared" si="394"/>
        <v>ラブブキーホルダー</v>
      </c>
      <c r="K325" s="9">
        <f t="shared" si="391"/>
        <v>500</v>
      </c>
      <c r="L325" s="9">
        <f t="shared" si="392"/>
        <v>500</v>
      </c>
      <c r="M325" s="10">
        <f t="shared" si="393"/>
        <v>6.7567567567567571E-2</v>
      </c>
      <c r="N325" s="11"/>
      <c r="P325" s="72"/>
      <c r="Q325" s="38">
        <v>13701</v>
      </c>
      <c r="R325" s="78">
        <f t="shared" si="364"/>
        <v>13</v>
      </c>
      <c r="S325" s="9">
        <v>906</v>
      </c>
      <c r="T325" s="9">
        <f t="shared" si="365"/>
        <v>0</v>
      </c>
      <c r="U325" s="9">
        <v>83</v>
      </c>
      <c r="V325" s="9">
        <f t="shared" si="366"/>
        <v>0</v>
      </c>
      <c r="W325" s="13"/>
      <c r="X325" s="113" t="str">
        <f t="shared" si="367"/>
        <v>AIラバー</v>
      </c>
      <c r="Y325" s="9">
        <f t="shared" si="368"/>
        <v>198</v>
      </c>
      <c r="Z325" s="9">
        <f t="shared" si="369"/>
        <v>0</v>
      </c>
      <c r="AA325" s="10">
        <f t="shared" si="370"/>
        <v>0</v>
      </c>
      <c r="AB325" s="11"/>
      <c r="AD325" s="72"/>
      <c r="AE325" s="38">
        <v>14350</v>
      </c>
      <c r="AF325" s="9">
        <f t="shared" si="371"/>
        <v>42</v>
      </c>
      <c r="AG325" s="9">
        <v>2389</v>
      </c>
      <c r="AH325" s="9">
        <f t="shared" si="372"/>
        <v>0</v>
      </c>
      <c r="AI325" s="9">
        <v>11</v>
      </c>
      <c r="AJ325" s="9">
        <f t="shared" si="373"/>
        <v>0</v>
      </c>
      <c r="AK325" s="13">
        <v>0</v>
      </c>
      <c r="AL325" s="113" t="str">
        <f t="shared" si="385"/>
        <v>サンリオがま口財布</v>
      </c>
      <c r="AM325" s="9">
        <f t="shared" si="375"/>
        <v>700</v>
      </c>
      <c r="AN325" s="9">
        <f t="shared" si="376"/>
        <v>0</v>
      </c>
      <c r="AO325" s="10">
        <f t="shared" si="377"/>
        <v>0</v>
      </c>
      <c r="AP325" s="11"/>
      <c r="AR325" s="72"/>
      <c r="AS325" s="38">
        <v>12512</v>
      </c>
      <c r="AT325" s="9">
        <f t="shared" si="378"/>
        <v>24</v>
      </c>
      <c r="AU325" s="9">
        <v>733</v>
      </c>
      <c r="AV325" s="9">
        <f t="shared" si="379"/>
        <v>0</v>
      </c>
      <c r="AW325" s="9">
        <v>16</v>
      </c>
      <c r="AX325" s="9">
        <f t="shared" si="380"/>
        <v>0</v>
      </c>
      <c r="AY325" s="13"/>
      <c r="AZ325" s="113" t="str">
        <f t="shared" si="381"/>
        <v>モンチッチマスコット</v>
      </c>
      <c r="BA325" s="9">
        <f t="shared" si="382"/>
        <v>528</v>
      </c>
      <c r="BB325" s="9">
        <f t="shared" si="383"/>
        <v>0</v>
      </c>
      <c r="BC325" s="10">
        <f t="shared" si="384"/>
        <v>0</v>
      </c>
      <c r="BD325" s="11"/>
      <c r="BF325" s="7"/>
      <c r="BG325" s="34"/>
      <c r="BH325" s="9" t="str">
        <f>IF(BG325="","",BG325-BG323)</f>
        <v/>
      </c>
      <c r="BI325" s="9"/>
      <c r="BJ325" s="9"/>
      <c r="BK325" s="9"/>
      <c r="BL325" s="9" t="str">
        <f>IF(BK325="","",BK323+BM323-BK325)</f>
        <v/>
      </c>
      <c r="BM325" s="9"/>
      <c r="BN325" s="9"/>
      <c r="BO325" s="9"/>
      <c r="BP325" s="9" t="str">
        <f t="shared" si="386"/>
        <v/>
      </c>
      <c r="BQ325" s="10" t="str">
        <f t="shared" si="387"/>
        <v/>
      </c>
      <c r="BR325" s="11"/>
    </row>
    <row r="326" spans="1:70" ht="15" customHeight="1" thickBot="1" x14ac:dyDescent="0.25">
      <c r="A326" s="75"/>
      <c r="B326" s="67"/>
      <c r="C326" s="36">
        <v>11582</v>
      </c>
      <c r="D326" s="37">
        <f t="shared" si="388"/>
        <v>31</v>
      </c>
      <c r="E326" s="17">
        <v>1174</v>
      </c>
      <c r="F326" s="17">
        <f t="shared" si="389"/>
        <v>0</v>
      </c>
      <c r="G326" s="17">
        <v>15</v>
      </c>
      <c r="H326" s="17">
        <f t="shared" si="390"/>
        <v>0</v>
      </c>
      <c r="I326" s="29">
        <v>0</v>
      </c>
      <c r="J326" s="114" t="str">
        <f t="shared" si="394"/>
        <v>キティヒョウ柄マスコット</v>
      </c>
      <c r="K326" s="37">
        <f t="shared" si="391"/>
        <v>996</v>
      </c>
      <c r="L326" s="17">
        <f t="shared" si="392"/>
        <v>0</v>
      </c>
      <c r="M326" s="18">
        <f t="shared" si="393"/>
        <v>0</v>
      </c>
      <c r="N326" s="11"/>
      <c r="P326" s="75"/>
      <c r="Q326" s="36">
        <v>11769</v>
      </c>
      <c r="R326" s="37">
        <f t="shared" si="364"/>
        <v>28</v>
      </c>
      <c r="S326" s="17">
        <v>1044</v>
      </c>
      <c r="T326" s="17">
        <f t="shared" si="365"/>
        <v>0</v>
      </c>
      <c r="U326" s="17">
        <v>12</v>
      </c>
      <c r="V326" s="17">
        <f t="shared" si="366"/>
        <v>0</v>
      </c>
      <c r="W326" s="29"/>
      <c r="X326" s="114" t="str">
        <f t="shared" si="367"/>
        <v>ちいかわマスコットポーチ</v>
      </c>
      <c r="Y326" s="37">
        <f t="shared" si="368"/>
        <v>286</v>
      </c>
      <c r="Z326" s="17">
        <f t="shared" si="369"/>
        <v>0</v>
      </c>
      <c r="AA326" s="18">
        <f t="shared" si="370"/>
        <v>0</v>
      </c>
      <c r="AB326" s="11"/>
      <c r="AD326" s="75"/>
      <c r="AE326" s="36">
        <v>13942</v>
      </c>
      <c r="AF326" s="37">
        <f t="shared" si="371"/>
        <v>47</v>
      </c>
      <c r="AG326" s="17">
        <v>1533</v>
      </c>
      <c r="AH326" s="17">
        <f t="shared" si="372"/>
        <v>0</v>
      </c>
      <c r="AI326" s="17">
        <v>14</v>
      </c>
      <c r="AJ326" s="17">
        <f t="shared" si="373"/>
        <v>0</v>
      </c>
      <c r="AK326" s="29">
        <v>0</v>
      </c>
      <c r="AL326" s="114" t="str">
        <f t="shared" si="385"/>
        <v>ラブブマスコット</v>
      </c>
      <c r="AM326" s="37">
        <f t="shared" si="375"/>
        <v>500</v>
      </c>
      <c r="AN326" s="17">
        <f t="shared" si="376"/>
        <v>0</v>
      </c>
      <c r="AO326" s="18">
        <f t="shared" si="377"/>
        <v>0</v>
      </c>
      <c r="AP326" s="11"/>
      <c r="AR326" s="75"/>
      <c r="AS326" s="36">
        <v>10381</v>
      </c>
      <c r="AT326" s="37">
        <f t="shared" si="378"/>
        <v>38</v>
      </c>
      <c r="AU326" s="17">
        <v>793</v>
      </c>
      <c r="AV326" s="17">
        <f t="shared" si="379"/>
        <v>0</v>
      </c>
      <c r="AW326" s="17">
        <v>7</v>
      </c>
      <c r="AX326" s="17">
        <f t="shared" si="380"/>
        <v>0</v>
      </c>
      <c r="AY326" s="29"/>
      <c r="AZ326" s="114" t="str">
        <f t="shared" si="381"/>
        <v>サンリオがま口ポーチ</v>
      </c>
      <c r="BA326" s="37">
        <f t="shared" si="382"/>
        <v>660</v>
      </c>
      <c r="BB326" s="17">
        <f t="shared" si="383"/>
        <v>0</v>
      </c>
      <c r="BC326" s="18">
        <f t="shared" si="384"/>
        <v>0</v>
      </c>
      <c r="BD326" s="11"/>
      <c r="BF326" s="7"/>
      <c r="BG326" s="34"/>
      <c r="BH326" s="9" t="str">
        <f t="shared" ref="BH326:BH346" si="395">IF(BG326="","",BG326-BG325)</f>
        <v/>
      </c>
      <c r="BI326" s="9"/>
      <c r="BJ326" s="9"/>
      <c r="BK326" s="9"/>
      <c r="BL326" s="9" t="str">
        <f t="shared" ref="BL326:BL346" si="396">IF(BK326="","",BK325+BM325-BK326)</f>
        <v/>
      </c>
      <c r="BM326" s="9"/>
      <c r="BN326" s="9"/>
      <c r="BO326" s="9"/>
      <c r="BP326" s="9" t="str">
        <f t="shared" si="386"/>
        <v/>
      </c>
      <c r="BQ326" s="10" t="str">
        <f t="shared" si="387"/>
        <v/>
      </c>
      <c r="BR326" s="11"/>
    </row>
    <row r="327" spans="1:70" ht="15" customHeight="1" thickTop="1" x14ac:dyDescent="0.2">
      <c r="A327" s="71">
        <v>45971</v>
      </c>
      <c r="B327" s="61">
        <f>SUM(D327:D330)+SUM(R327:R330)+SUM(AF327:AF330)+SUM(AT327:AT330)</f>
        <v>832</v>
      </c>
      <c r="C327" s="33">
        <v>14947</v>
      </c>
      <c r="D327" s="33">
        <f t="shared" si="388"/>
        <v>82</v>
      </c>
      <c r="E327" s="33">
        <v>1055</v>
      </c>
      <c r="F327" s="20">
        <f t="shared" si="389"/>
        <v>4</v>
      </c>
      <c r="G327" s="33">
        <v>94</v>
      </c>
      <c r="H327" s="33">
        <f t="shared" si="390"/>
        <v>4</v>
      </c>
      <c r="I327" s="43">
        <v>0</v>
      </c>
      <c r="J327" s="112" t="str">
        <f t="shared" si="394"/>
        <v>アングリーベイビー</v>
      </c>
      <c r="K327" s="40">
        <f t="shared" si="391"/>
        <v>1075</v>
      </c>
      <c r="L327" s="20">
        <f t="shared" si="392"/>
        <v>4300</v>
      </c>
      <c r="M327" s="21">
        <f t="shared" si="393"/>
        <v>0.52439024390243905</v>
      </c>
      <c r="N327" s="11" t="s">
        <v>124</v>
      </c>
      <c r="P327" s="76">
        <f>IF($A327="","",$A327)</f>
        <v>45971</v>
      </c>
      <c r="Q327" s="33">
        <v>14032</v>
      </c>
      <c r="R327" s="94">
        <f t="shared" si="364"/>
        <v>19</v>
      </c>
      <c r="S327" s="33">
        <v>1382</v>
      </c>
      <c r="T327" s="20">
        <f t="shared" si="365"/>
        <v>0</v>
      </c>
      <c r="U327" s="33">
        <v>9</v>
      </c>
      <c r="V327" s="33">
        <f t="shared" si="366"/>
        <v>0</v>
      </c>
      <c r="W327" s="43">
        <v>0</v>
      </c>
      <c r="X327" s="112" t="str">
        <f t="shared" si="367"/>
        <v>キティフェイスポーチ</v>
      </c>
      <c r="Y327" s="40">
        <f t="shared" si="368"/>
        <v>957</v>
      </c>
      <c r="Z327" s="20">
        <f t="shared" si="369"/>
        <v>0</v>
      </c>
      <c r="AA327" s="21">
        <f t="shared" si="370"/>
        <v>0</v>
      </c>
      <c r="AB327" s="11" t="s">
        <v>130</v>
      </c>
      <c r="AD327" s="76">
        <f>IF($A327="","",$A327)</f>
        <v>45971</v>
      </c>
      <c r="AE327" s="33">
        <v>11963</v>
      </c>
      <c r="AF327" s="33">
        <f t="shared" si="371"/>
        <v>71</v>
      </c>
      <c r="AG327" s="33">
        <v>896</v>
      </c>
      <c r="AH327" s="20">
        <f t="shared" si="372"/>
        <v>1</v>
      </c>
      <c r="AI327" s="33">
        <v>8</v>
      </c>
      <c r="AJ327" s="33">
        <f t="shared" si="373"/>
        <v>1</v>
      </c>
      <c r="AK327" s="43">
        <v>1</v>
      </c>
      <c r="AL327" s="112" t="str">
        <f t="shared" si="385"/>
        <v>スンスン髪留め</v>
      </c>
      <c r="AM327" s="40">
        <f t="shared" si="375"/>
        <v>748</v>
      </c>
      <c r="AN327" s="20">
        <f t="shared" si="376"/>
        <v>748</v>
      </c>
      <c r="AO327" s="21">
        <f t="shared" si="377"/>
        <v>0.10535211267605633</v>
      </c>
      <c r="AP327" s="11" t="s">
        <v>125</v>
      </c>
      <c r="AR327" s="76">
        <f>IF($A327="","",$A327)</f>
        <v>45971</v>
      </c>
      <c r="AS327" s="33">
        <v>8620</v>
      </c>
      <c r="AT327" s="94">
        <f t="shared" si="378"/>
        <v>28</v>
      </c>
      <c r="AU327" s="33">
        <v>472</v>
      </c>
      <c r="AV327" s="20">
        <f t="shared" si="379"/>
        <v>0</v>
      </c>
      <c r="AW327" s="33">
        <v>9</v>
      </c>
      <c r="AX327" s="33">
        <f t="shared" si="380"/>
        <v>0</v>
      </c>
      <c r="AY327" s="43">
        <v>0</v>
      </c>
      <c r="AZ327" s="112" t="str">
        <f t="shared" si="381"/>
        <v>デジタルミニカメラ</v>
      </c>
      <c r="BA327" s="40">
        <f t="shared" si="382"/>
        <v>722</v>
      </c>
      <c r="BB327" s="20">
        <f t="shared" si="383"/>
        <v>0</v>
      </c>
      <c r="BC327" s="21">
        <f t="shared" si="384"/>
        <v>0</v>
      </c>
      <c r="BD327" s="11"/>
      <c r="BF327" s="7"/>
      <c r="BG327" s="34"/>
      <c r="BH327" s="9" t="str">
        <f t="shared" si="395"/>
        <v/>
      </c>
      <c r="BI327" s="9"/>
      <c r="BJ327" s="9"/>
      <c r="BK327" s="9"/>
      <c r="BL327" s="9" t="str">
        <f t="shared" si="396"/>
        <v/>
      </c>
      <c r="BM327" s="9"/>
      <c r="BN327" s="9"/>
      <c r="BO327" s="9"/>
      <c r="BP327" s="9" t="str">
        <f t="shared" si="386"/>
        <v/>
      </c>
      <c r="BQ327" s="10" t="str">
        <f t="shared" si="387"/>
        <v/>
      </c>
      <c r="BR327" s="11"/>
    </row>
    <row r="328" spans="1:70" ht="15" customHeight="1" x14ac:dyDescent="0.2">
      <c r="A328" s="72"/>
      <c r="B328" s="61"/>
      <c r="C328" s="9">
        <v>16748</v>
      </c>
      <c r="D328" s="77">
        <f t="shared" si="388"/>
        <v>13</v>
      </c>
      <c r="E328" s="9">
        <v>567</v>
      </c>
      <c r="F328" s="9">
        <f t="shared" si="389"/>
        <v>0</v>
      </c>
      <c r="G328" s="9">
        <v>52</v>
      </c>
      <c r="H328" s="9">
        <f t="shared" si="390"/>
        <v>0</v>
      </c>
      <c r="I328" s="13">
        <v>0</v>
      </c>
      <c r="J328" s="113" t="str">
        <f t="shared" si="394"/>
        <v>電ブル</v>
      </c>
      <c r="K328" s="34">
        <f t="shared" si="391"/>
        <v>275</v>
      </c>
      <c r="L328" s="9">
        <f t="shared" si="392"/>
        <v>0</v>
      </c>
      <c r="M328" s="10">
        <f t="shared" si="393"/>
        <v>0</v>
      </c>
      <c r="N328" s="11"/>
      <c r="P328" s="72"/>
      <c r="Q328" s="9">
        <v>13657</v>
      </c>
      <c r="R328" s="9">
        <f t="shared" si="364"/>
        <v>39</v>
      </c>
      <c r="S328" s="9">
        <v>486</v>
      </c>
      <c r="T328" s="9">
        <f t="shared" si="365"/>
        <v>0</v>
      </c>
      <c r="U328" s="9">
        <v>9</v>
      </c>
      <c r="V328" s="9">
        <f t="shared" si="366"/>
        <v>0</v>
      </c>
      <c r="W328" s="13">
        <v>5</v>
      </c>
      <c r="X328" s="113" t="str">
        <f t="shared" si="367"/>
        <v>サンリオミニリュックチャーム付</v>
      </c>
      <c r="Y328" s="34">
        <f t="shared" si="368"/>
        <v>600</v>
      </c>
      <c r="Z328" s="9">
        <f t="shared" si="369"/>
        <v>0</v>
      </c>
      <c r="AA328" s="10">
        <f t="shared" si="370"/>
        <v>0</v>
      </c>
      <c r="AB328" s="11" t="s">
        <v>126</v>
      </c>
      <c r="AD328" s="72"/>
      <c r="AE328" s="9">
        <v>11546</v>
      </c>
      <c r="AF328" s="9">
        <f t="shared" si="371"/>
        <v>44</v>
      </c>
      <c r="AG328" s="9">
        <v>769</v>
      </c>
      <c r="AH328" s="9">
        <f t="shared" si="372"/>
        <v>1</v>
      </c>
      <c r="AI328" s="9">
        <v>18</v>
      </c>
      <c r="AJ328" s="9">
        <f t="shared" si="373"/>
        <v>1</v>
      </c>
      <c r="AK328" s="13">
        <v>0</v>
      </c>
      <c r="AL328" s="113" t="str">
        <f t="shared" si="385"/>
        <v>ジャグラーサウンドフラッシュ</v>
      </c>
      <c r="AM328" s="34">
        <f t="shared" si="375"/>
        <v>748</v>
      </c>
      <c r="AN328" s="9">
        <f t="shared" si="376"/>
        <v>748</v>
      </c>
      <c r="AO328" s="10">
        <f t="shared" si="377"/>
        <v>0.17</v>
      </c>
      <c r="AP328" s="11" t="s">
        <v>131</v>
      </c>
      <c r="AR328" s="72"/>
      <c r="AS328" s="9">
        <v>10158</v>
      </c>
      <c r="AT328" s="77">
        <f t="shared" si="378"/>
        <v>17</v>
      </c>
      <c r="AU328" s="9">
        <v>520</v>
      </c>
      <c r="AV328" s="9">
        <f t="shared" si="379"/>
        <v>0</v>
      </c>
      <c r="AW328" s="9">
        <v>17</v>
      </c>
      <c r="AX328" s="9">
        <f t="shared" si="380"/>
        <v>0</v>
      </c>
      <c r="AY328" s="13">
        <v>-3</v>
      </c>
      <c r="AZ328" s="113" t="str">
        <f t="shared" si="381"/>
        <v>クーリッシュイヤホン</v>
      </c>
      <c r="BA328" s="34">
        <f t="shared" si="382"/>
        <v>1100</v>
      </c>
      <c r="BB328" s="9">
        <f t="shared" si="383"/>
        <v>0</v>
      </c>
      <c r="BC328" s="10">
        <f t="shared" si="384"/>
        <v>0</v>
      </c>
      <c r="BD328" s="11" t="s">
        <v>127</v>
      </c>
      <c r="BF328" s="7"/>
      <c r="BG328" s="34"/>
      <c r="BH328" s="9" t="str">
        <f t="shared" si="395"/>
        <v/>
      </c>
      <c r="BI328" s="9"/>
      <c r="BJ328" s="9"/>
      <c r="BK328" s="9"/>
      <c r="BL328" s="9" t="str">
        <f t="shared" si="396"/>
        <v/>
      </c>
      <c r="BM328" s="9"/>
      <c r="BN328" s="9"/>
      <c r="BO328" s="9"/>
      <c r="BP328" s="9" t="str">
        <f t="shared" si="386"/>
        <v/>
      </c>
      <c r="BQ328" s="10" t="str">
        <f t="shared" si="387"/>
        <v/>
      </c>
      <c r="BR328" s="11"/>
    </row>
    <row r="329" spans="1:70" ht="15" customHeight="1" x14ac:dyDescent="0.2">
      <c r="A329" s="72"/>
      <c r="B329" s="8"/>
      <c r="C329" s="23">
        <v>16425</v>
      </c>
      <c r="D329" s="9">
        <f t="shared" si="388"/>
        <v>313</v>
      </c>
      <c r="E329" s="9">
        <v>598</v>
      </c>
      <c r="F329" s="9">
        <f t="shared" si="389"/>
        <v>3</v>
      </c>
      <c r="G329" s="23">
        <v>21</v>
      </c>
      <c r="H329" s="9">
        <f t="shared" si="390"/>
        <v>3</v>
      </c>
      <c r="I329" s="30">
        <v>5</v>
      </c>
      <c r="J329" s="113" t="str">
        <f t="shared" si="394"/>
        <v>ラブブキーホルダー</v>
      </c>
      <c r="K329" s="9">
        <f t="shared" si="391"/>
        <v>500</v>
      </c>
      <c r="L329" s="9">
        <f t="shared" si="392"/>
        <v>1500</v>
      </c>
      <c r="M329" s="10">
        <f t="shared" si="393"/>
        <v>4.7923322683706068E-2</v>
      </c>
      <c r="N329" s="11"/>
      <c r="P329" s="72"/>
      <c r="Q329" s="23">
        <v>13716</v>
      </c>
      <c r="R329" s="77">
        <f t="shared" si="364"/>
        <v>15</v>
      </c>
      <c r="S329" s="9">
        <v>906</v>
      </c>
      <c r="T329" s="9">
        <f t="shared" si="365"/>
        <v>0</v>
      </c>
      <c r="U329" s="23">
        <v>83</v>
      </c>
      <c r="V329" s="9">
        <f t="shared" si="366"/>
        <v>0</v>
      </c>
      <c r="W329" s="30">
        <v>0</v>
      </c>
      <c r="X329" s="113" t="str">
        <f t="shared" si="367"/>
        <v>AIラバー</v>
      </c>
      <c r="Y329" s="9">
        <f t="shared" si="368"/>
        <v>198</v>
      </c>
      <c r="Z329" s="9">
        <f t="shared" si="369"/>
        <v>0</v>
      </c>
      <c r="AA329" s="10">
        <f t="shared" si="370"/>
        <v>0</v>
      </c>
      <c r="AB329" s="11"/>
      <c r="AD329" s="72"/>
      <c r="AE329" s="23">
        <v>14367</v>
      </c>
      <c r="AF329" s="77">
        <f t="shared" si="371"/>
        <v>17</v>
      </c>
      <c r="AG329" s="9">
        <v>2389</v>
      </c>
      <c r="AH329" s="9">
        <f t="shared" si="372"/>
        <v>0</v>
      </c>
      <c r="AI329" s="23">
        <v>11</v>
      </c>
      <c r="AJ329" s="9">
        <f t="shared" si="373"/>
        <v>0</v>
      </c>
      <c r="AK329" s="30">
        <v>0</v>
      </c>
      <c r="AL329" s="113" t="str">
        <f t="shared" si="385"/>
        <v>サンリオがま口財布</v>
      </c>
      <c r="AM329" s="9">
        <f t="shared" si="375"/>
        <v>700</v>
      </c>
      <c r="AN329" s="9">
        <f t="shared" si="376"/>
        <v>0</v>
      </c>
      <c r="AO329" s="10">
        <f t="shared" si="377"/>
        <v>0</v>
      </c>
      <c r="AP329" s="11"/>
      <c r="AR329" s="72"/>
      <c r="AS329" s="23">
        <v>12522</v>
      </c>
      <c r="AT329" s="77">
        <f t="shared" si="378"/>
        <v>10</v>
      </c>
      <c r="AU329" s="9">
        <v>734</v>
      </c>
      <c r="AV329" s="9">
        <f t="shared" si="379"/>
        <v>1</v>
      </c>
      <c r="AW329" s="23">
        <v>15</v>
      </c>
      <c r="AX329" s="9">
        <f t="shared" si="380"/>
        <v>1</v>
      </c>
      <c r="AY329" s="30">
        <v>-1</v>
      </c>
      <c r="AZ329" s="113" t="str">
        <f t="shared" si="381"/>
        <v>モンチッチマスコット</v>
      </c>
      <c r="BA329" s="9">
        <f t="shared" si="382"/>
        <v>528</v>
      </c>
      <c r="BB329" s="9">
        <f t="shared" si="383"/>
        <v>528</v>
      </c>
      <c r="BC329" s="10">
        <f t="shared" si="384"/>
        <v>0.52800000000000002</v>
      </c>
      <c r="BD329" s="11" t="s">
        <v>81</v>
      </c>
      <c r="BF329" s="7"/>
      <c r="BG329" s="34"/>
      <c r="BH329" s="9" t="str">
        <f t="shared" si="395"/>
        <v/>
      </c>
      <c r="BI329" s="9"/>
      <c r="BJ329" s="9"/>
      <c r="BK329" s="9"/>
      <c r="BL329" s="9" t="str">
        <f t="shared" si="396"/>
        <v/>
      </c>
      <c r="BM329" s="9"/>
      <c r="BN329" s="9"/>
      <c r="BO329" s="9"/>
      <c r="BP329" s="9" t="str">
        <f t="shared" si="386"/>
        <v/>
      </c>
      <c r="BQ329" s="10" t="str">
        <f t="shared" si="387"/>
        <v/>
      </c>
      <c r="BR329" s="11"/>
    </row>
    <row r="330" spans="1:70" ht="15" customHeight="1" thickBot="1" x14ac:dyDescent="0.25">
      <c r="A330" s="75"/>
      <c r="B330" s="67"/>
      <c r="C330" s="17">
        <v>11639</v>
      </c>
      <c r="D330" s="37">
        <f t="shared" si="388"/>
        <v>57</v>
      </c>
      <c r="E330" s="17">
        <v>1175</v>
      </c>
      <c r="F330" s="17">
        <f t="shared" si="389"/>
        <v>1</v>
      </c>
      <c r="G330" s="17">
        <v>14</v>
      </c>
      <c r="H330" s="17">
        <f t="shared" si="390"/>
        <v>1</v>
      </c>
      <c r="I330" s="29">
        <v>0</v>
      </c>
      <c r="J330" s="114" t="str">
        <f>IF(C330="","",J326)</f>
        <v>キティヒョウ柄マスコット</v>
      </c>
      <c r="K330" s="37">
        <f t="shared" si="391"/>
        <v>996</v>
      </c>
      <c r="L330" s="17">
        <f t="shared" si="392"/>
        <v>996</v>
      </c>
      <c r="M330" s="18">
        <f t="shared" si="393"/>
        <v>0.17473684210526316</v>
      </c>
      <c r="N330" s="11" t="s">
        <v>129</v>
      </c>
      <c r="P330" s="75"/>
      <c r="Q330" s="17">
        <v>11813</v>
      </c>
      <c r="R330" s="37">
        <f t="shared" si="364"/>
        <v>44</v>
      </c>
      <c r="S330" s="17">
        <v>1044</v>
      </c>
      <c r="T330" s="17">
        <f t="shared" si="365"/>
        <v>0</v>
      </c>
      <c r="U330" s="17">
        <v>12</v>
      </c>
      <c r="V330" s="17">
        <f t="shared" si="366"/>
        <v>0</v>
      </c>
      <c r="W330" s="29">
        <v>0</v>
      </c>
      <c r="X330" s="114" t="str">
        <f>IF(Q330="","",X326)</f>
        <v>ちいかわマスコットポーチ</v>
      </c>
      <c r="Y330" s="37">
        <f t="shared" si="368"/>
        <v>286</v>
      </c>
      <c r="Z330" s="17">
        <f t="shared" si="369"/>
        <v>0</v>
      </c>
      <c r="AA330" s="18">
        <f t="shared" si="370"/>
        <v>0</v>
      </c>
      <c r="AB330" s="11" t="s">
        <v>128</v>
      </c>
      <c r="AD330" s="75"/>
      <c r="AE330" s="17">
        <v>13993</v>
      </c>
      <c r="AF330" s="37">
        <f t="shared" si="371"/>
        <v>51</v>
      </c>
      <c r="AG330" s="17">
        <v>1535</v>
      </c>
      <c r="AH330" s="17">
        <f t="shared" si="372"/>
        <v>2</v>
      </c>
      <c r="AI330" s="17">
        <v>13</v>
      </c>
      <c r="AJ330" s="17">
        <f t="shared" si="373"/>
        <v>1</v>
      </c>
      <c r="AK330" s="29">
        <v>2</v>
      </c>
      <c r="AL330" s="114" t="str">
        <f>IF(AE330="","",AL326)</f>
        <v>ラブブマスコット</v>
      </c>
      <c r="AM330" s="37">
        <f t="shared" si="375"/>
        <v>500</v>
      </c>
      <c r="AN330" s="17">
        <f t="shared" si="376"/>
        <v>500</v>
      </c>
      <c r="AO330" s="18">
        <f t="shared" si="377"/>
        <v>9.8039215686274508E-2</v>
      </c>
      <c r="AP330" s="11"/>
      <c r="AR330" s="75"/>
      <c r="AS330" s="17">
        <v>10393</v>
      </c>
      <c r="AT330" s="83">
        <f t="shared" si="378"/>
        <v>12</v>
      </c>
      <c r="AU330" s="17">
        <v>794</v>
      </c>
      <c r="AV330" s="17">
        <f t="shared" si="379"/>
        <v>1</v>
      </c>
      <c r="AW330" s="17">
        <v>6</v>
      </c>
      <c r="AX330" s="17">
        <f t="shared" si="380"/>
        <v>1</v>
      </c>
      <c r="AY330" s="29">
        <v>0</v>
      </c>
      <c r="AZ330" s="114" t="str">
        <f>IF(AS330="","",AZ326)</f>
        <v>サンリオがま口ポーチ</v>
      </c>
      <c r="BA330" s="37">
        <f t="shared" si="382"/>
        <v>660</v>
      </c>
      <c r="BB330" s="17">
        <f t="shared" si="383"/>
        <v>660</v>
      </c>
      <c r="BC330" s="18">
        <f t="shared" si="384"/>
        <v>0.55000000000000004</v>
      </c>
      <c r="BD330" s="11"/>
      <c r="BF330" s="7"/>
      <c r="BG330" s="34"/>
      <c r="BH330" s="9" t="str">
        <f t="shared" si="395"/>
        <v/>
      </c>
      <c r="BI330" s="9"/>
      <c r="BJ330" s="9"/>
      <c r="BK330" s="9"/>
      <c r="BL330" s="9" t="str">
        <f t="shared" si="396"/>
        <v/>
      </c>
      <c r="BM330" s="9"/>
      <c r="BN330" s="9"/>
      <c r="BO330" s="9"/>
      <c r="BP330" s="9" t="str">
        <f t="shared" si="386"/>
        <v/>
      </c>
      <c r="BQ330" s="10" t="str">
        <f t="shared" si="387"/>
        <v/>
      </c>
      <c r="BR330" s="11"/>
    </row>
    <row r="331" spans="1:70" ht="15" customHeight="1" thickTop="1" x14ac:dyDescent="0.2">
      <c r="A331" s="71">
        <v>45975</v>
      </c>
      <c r="B331" s="61">
        <f>SUM(D331:D334)+SUM(R331:R334)+SUM(AF331:AF334)+SUM(AT331:AT334)+BH307</f>
        <v>667</v>
      </c>
      <c r="C331" s="33">
        <v>15014</v>
      </c>
      <c r="D331" s="33">
        <f t="shared" si="388"/>
        <v>67</v>
      </c>
      <c r="E331" s="33">
        <v>1057</v>
      </c>
      <c r="F331" s="20">
        <f t="shared" si="389"/>
        <v>2</v>
      </c>
      <c r="G331" s="33">
        <v>92</v>
      </c>
      <c r="H331" s="33">
        <f t="shared" si="390"/>
        <v>2</v>
      </c>
      <c r="I331" s="43">
        <v>10</v>
      </c>
      <c r="J331" s="112" t="str">
        <f t="shared" ref="J331:J354" si="397">IF(C331="","",J327)</f>
        <v>アングリーベイビー</v>
      </c>
      <c r="K331" s="40">
        <f t="shared" si="391"/>
        <v>1075</v>
      </c>
      <c r="L331" s="20">
        <f t="shared" si="392"/>
        <v>2150</v>
      </c>
      <c r="M331" s="21">
        <f t="shared" si="393"/>
        <v>0.32089552238805968</v>
      </c>
      <c r="N331" s="11"/>
      <c r="P331" s="76">
        <f>IF($A331="","",$A331)</f>
        <v>45975</v>
      </c>
      <c r="Q331" s="33">
        <v>14073</v>
      </c>
      <c r="R331" s="33">
        <f t="shared" si="364"/>
        <v>41</v>
      </c>
      <c r="S331" s="33">
        <v>1382</v>
      </c>
      <c r="T331" s="20">
        <f t="shared" si="365"/>
        <v>0</v>
      </c>
      <c r="U331" s="33">
        <v>9</v>
      </c>
      <c r="V331" s="33">
        <f t="shared" si="366"/>
        <v>0</v>
      </c>
      <c r="W331" s="43">
        <v>0</v>
      </c>
      <c r="X331" s="112" t="str">
        <f t="shared" ref="X331:X338" si="398">IF(Q331="","",X327)</f>
        <v>キティフェイスポーチ</v>
      </c>
      <c r="Y331" s="40">
        <f t="shared" si="368"/>
        <v>957</v>
      </c>
      <c r="Z331" s="20">
        <f t="shared" si="369"/>
        <v>0</v>
      </c>
      <c r="AA331" s="21">
        <f t="shared" si="370"/>
        <v>0</v>
      </c>
      <c r="AB331" s="11"/>
      <c r="AD331" s="76">
        <f>IF($A331="","",$A331)</f>
        <v>45975</v>
      </c>
      <c r="AE331" s="33">
        <v>11983</v>
      </c>
      <c r="AF331" s="33">
        <f t="shared" si="371"/>
        <v>20</v>
      </c>
      <c r="AG331" s="33">
        <v>896</v>
      </c>
      <c r="AH331" s="20">
        <f t="shared" si="372"/>
        <v>0</v>
      </c>
      <c r="AI331" s="33">
        <v>9</v>
      </c>
      <c r="AJ331" s="33">
        <f t="shared" si="373"/>
        <v>0</v>
      </c>
      <c r="AK331" s="43">
        <v>0</v>
      </c>
      <c r="AL331" s="112" t="str">
        <f t="shared" ref="AL331:AL338" si="399">IF(AE331="","",AL327)</f>
        <v>スンスン髪留め</v>
      </c>
      <c r="AM331" s="40">
        <f t="shared" si="375"/>
        <v>748</v>
      </c>
      <c r="AN331" s="20">
        <f t="shared" si="376"/>
        <v>0</v>
      </c>
      <c r="AO331" s="21">
        <f t="shared" si="377"/>
        <v>0</v>
      </c>
      <c r="AP331" s="11"/>
      <c r="AR331" s="76">
        <f>IF($A331="","",$A331)</f>
        <v>45975</v>
      </c>
      <c r="AS331" s="33">
        <v>8654</v>
      </c>
      <c r="AT331" s="33">
        <f t="shared" si="378"/>
        <v>34</v>
      </c>
      <c r="AU331" s="33">
        <v>472</v>
      </c>
      <c r="AV331" s="20">
        <f t="shared" si="379"/>
        <v>0</v>
      </c>
      <c r="AW331" s="33">
        <v>9</v>
      </c>
      <c r="AX331" s="33">
        <f t="shared" si="380"/>
        <v>0</v>
      </c>
      <c r="AY331" s="43">
        <v>0</v>
      </c>
      <c r="AZ331" s="112" t="str">
        <f t="shared" ref="AZ331:AZ338" si="400">IF(AS331="","",AZ327)</f>
        <v>デジタルミニカメラ</v>
      </c>
      <c r="BA331" s="40">
        <f t="shared" si="382"/>
        <v>722</v>
      </c>
      <c r="BB331" s="20">
        <f t="shared" si="383"/>
        <v>0</v>
      </c>
      <c r="BC331" s="21">
        <f t="shared" si="384"/>
        <v>0</v>
      </c>
      <c r="BD331" s="11"/>
      <c r="BF331" s="7"/>
      <c r="BG331" s="34"/>
      <c r="BH331" s="9" t="str">
        <f t="shared" si="395"/>
        <v/>
      </c>
      <c r="BI331" s="9"/>
      <c r="BJ331" s="9"/>
      <c r="BK331" s="9"/>
      <c r="BL331" s="9" t="str">
        <f t="shared" si="396"/>
        <v/>
      </c>
      <c r="BM331" s="9"/>
      <c r="BN331" s="9"/>
      <c r="BO331" s="9"/>
      <c r="BP331" s="9" t="str">
        <f t="shared" si="386"/>
        <v/>
      </c>
      <c r="BQ331" s="10" t="str">
        <f t="shared" si="387"/>
        <v/>
      </c>
      <c r="BR331" s="11"/>
    </row>
    <row r="332" spans="1:70" ht="15" customHeight="1" x14ac:dyDescent="0.2">
      <c r="A332" s="72"/>
      <c r="B332" s="61"/>
      <c r="C332" s="33">
        <v>16792</v>
      </c>
      <c r="D332" s="9">
        <f t="shared" si="388"/>
        <v>44</v>
      </c>
      <c r="E332" s="9">
        <v>567</v>
      </c>
      <c r="F332" s="9">
        <f t="shared" si="389"/>
        <v>0</v>
      </c>
      <c r="G332" s="9">
        <v>52</v>
      </c>
      <c r="H332" s="9">
        <f t="shared" si="390"/>
        <v>0</v>
      </c>
      <c r="I332" s="13">
        <v>0</v>
      </c>
      <c r="J332" s="113" t="str">
        <f t="shared" si="397"/>
        <v>電ブル</v>
      </c>
      <c r="K332" s="34">
        <f t="shared" si="391"/>
        <v>275</v>
      </c>
      <c r="L332" s="9">
        <f t="shared" si="392"/>
        <v>0</v>
      </c>
      <c r="M332" s="10">
        <f t="shared" si="393"/>
        <v>0</v>
      </c>
      <c r="N332" s="11"/>
      <c r="P332" s="72"/>
      <c r="Q332" s="33">
        <v>13667</v>
      </c>
      <c r="R332" s="9">
        <f t="shared" si="364"/>
        <v>10</v>
      </c>
      <c r="S332" s="9">
        <v>486</v>
      </c>
      <c r="T332" s="9">
        <f t="shared" si="365"/>
        <v>0</v>
      </c>
      <c r="U332" s="9">
        <v>14</v>
      </c>
      <c r="V332" s="9">
        <f t="shared" si="366"/>
        <v>0</v>
      </c>
      <c r="W332" s="13">
        <v>0</v>
      </c>
      <c r="X332" s="113" t="str">
        <f t="shared" si="398"/>
        <v>サンリオミニリュックチャーム付</v>
      </c>
      <c r="Y332" s="34">
        <f t="shared" si="368"/>
        <v>600</v>
      </c>
      <c r="Z332" s="9">
        <f t="shared" si="369"/>
        <v>0</v>
      </c>
      <c r="AA332" s="10">
        <f t="shared" si="370"/>
        <v>0</v>
      </c>
      <c r="AB332" s="11"/>
      <c r="AD332" s="72"/>
      <c r="AE332" s="33">
        <v>11580</v>
      </c>
      <c r="AF332" s="9">
        <f t="shared" si="371"/>
        <v>34</v>
      </c>
      <c r="AG332" s="9">
        <v>769</v>
      </c>
      <c r="AH332" s="9">
        <f t="shared" si="372"/>
        <v>0</v>
      </c>
      <c r="AI332" s="9">
        <v>18</v>
      </c>
      <c r="AJ332" s="9">
        <f t="shared" si="373"/>
        <v>0</v>
      </c>
      <c r="AK332" s="13">
        <v>0</v>
      </c>
      <c r="AL332" s="113" t="str">
        <f t="shared" si="399"/>
        <v>ジャグラーサウンドフラッシュ</v>
      </c>
      <c r="AM332" s="34">
        <f t="shared" si="375"/>
        <v>748</v>
      </c>
      <c r="AN332" s="9">
        <f t="shared" si="376"/>
        <v>0</v>
      </c>
      <c r="AO332" s="10">
        <f t="shared" si="377"/>
        <v>0</v>
      </c>
      <c r="AP332" s="11"/>
      <c r="AR332" s="72"/>
      <c r="AS332" s="33">
        <v>10171</v>
      </c>
      <c r="AT332" s="9">
        <f t="shared" si="378"/>
        <v>13</v>
      </c>
      <c r="AU332" s="9">
        <v>520</v>
      </c>
      <c r="AV332" s="9">
        <f t="shared" si="379"/>
        <v>0</v>
      </c>
      <c r="AW332" s="9">
        <v>14</v>
      </c>
      <c r="AX332" s="9">
        <f t="shared" si="380"/>
        <v>0</v>
      </c>
      <c r="AY332" s="13">
        <v>0</v>
      </c>
      <c r="AZ332" s="113" t="s">
        <v>132</v>
      </c>
      <c r="BA332" s="34">
        <f t="shared" si="382"/>
        <v>1100</v>
      </c>
      <c r="BB332" s="9">
        <f t="shared" si="383"/>
        <v>0</v>
      </c>
      <c r="BC332" s="10">
        <f t="shared" si="384"/>
        <v>0</v>
      </c>
      <c r="BD332" s="11"/>
      <c r="BF332" s="7"/>
      <c r="BG332" s="34"/>
      <c r="BH332" s="9" t="str">
        <f t="shared" si="395"/>
        <v/>
      </c>
      <c r="BI332" s="9"/>
      <c r="BJ332" s="9"/>
      <c r="BK332" s="9"/>
      <c r="BL332" s="9" t="str">
        <f t="shared" si="396"/>
        <v/>
      </c>
      <c r="BM332" s="9"/>
      <c r="BN332" s="9"/>
      <c r="BO332" s="9"/>
      <c r="BP332" s="9" t="str">
        <f t="shared" si="386"/>
        <v/>
      </c>
      <c r="BQ332" s="10" t="str">
        <f t="shared" si="387"/>
        <v/>
      </c>
      <c r="BR332" s="11"/>
    </row>
    <row r="333" spans="1:70" ht="15" customHeight="1" x14ac:dyDescent="0.2">
      <c r="A333" s="72"/>
      <c r="B333" s="8"/>
      <c r="C333" s="38">
        <v>16482</v>
      </c>
      <c r="D333" s="9">
        <f t="shared" si="388"/>
        <v>57</v>
      </c>
      <c r="E333" s="9">
        <v>599</v>
      </c>
      <c r="F333" s="9">
        <f t="shared" si="389"/>
        <v>1</v>
      </c>
      <c r="G333" s="9">
        <v>25</v>
      </c>
      <c r="H333" s="9">
        <f t="shared" si="390"/>
        <v>1</v>
      </c>
      <c r="I333" s="13">
        <v>0</v>
      </c>
      <c r="J333" s="113" t="str">
        <f t="shared" si="397"/>
        <v>ラブブキーホルダー</v>
      </c>
      <c r="K333" s="9">
        <f t="shared" si="391"/>
        <v>500</v>
      </c>
      <c r="L333" s="9">
        <f t="shared" si="392"/>
        <v>500</v>
      </c>
      <c r="M333" s="10">
        <f t="shared" si="393"/>
        <v>8.771929824561403E-2</v>
      </c>
      <c r="N333" s="11"/>
      <c r="P333" s="72"/>
      <c r="Q333" s="38">
        <v>13759</v>
      </c>
      <c r="R333" s="9">
        <f t="shared" si="364"/>
        <v>43</v>
      </c>
      <c r="S333" s="9">
        <v>907</v>
      </c>
      <c r="T333" s="9">
        <f t="shared" si="365"/>
        <v>1</v>
      </c>
      <c r="U333" s="9">
        <v>82</v>
      </c>
      <c r="V333" s="9">
        <f t="shared" si="366"/>
        <v>1</v>
      </c>
      <c r="W333" s="13">
        <v>0</v>
      </c>
      <c r="X333" s="113" t="str">
        <f t="shared" si="398"/>
        <v>AIラバー</v>
      </c>
      <c r="Y333" s="9">
        <f t="shared" si="368"/>
        <v>198</v>
      </c>
      <c r="Z333" s="9">
        <f t="shared" si="369"/>
        <v>198</v>
      </c>
      <c r="AA333" s="10">
        <f t="shared" si="370"/>
        <v>4.6046511627906975E-2</v>
      </c>
      <c r="AB333" s="11"/>
      <c r="AD333" s="72"/>
      <c r="AE333" s="38">
        <v>14383</v>
      </c>
      <c r="AF333" s="9">
        <f t="shared" si="371"/>
        <v>16</v>
      </c>
      <c r="AG333" s="9">
        <v>2389</v>
      </c>
      <c r="AH333" s="9">
        <f t="shared" si="372"/>
        <v>0</v>
      </c>
      <c r="AI333" s="9">
        <v>11</v>
      </c>
      <c r="AJ333" s="9">
        <f t="shared" si="373"/>
        <v>0</v>
      </c>
      <c r="AK333" s="13">
        <v>0</v>
      </c>
      <c r="AL333" s="113" t="str">
        <f t="shared" si="399"/>
        <v>サンリオがま口財布</v>
      </c>
      <c r="AM333" s="9">
        <f t="shared" si="375"/>
        <v>700</v>
      </c>
      <c r="AN333" s="9">
        <f t="shared" si="376"/>
        <v>0</v>
      </c>
      <c r="AO333" s="10">
        <f t="shared" si="377"/>
        <v>0</v>
      </c>
      <c r="AP333" s="11"/>
      <c r="AR333" s="72"/>
      <c r="AS333" s="38">
        <v>12531</v>
      </c>
      <c r="AT333" s="9">
        <f t="shared" si="378"/>
        <v>9</v>
      </c>
      <c r="AU333" s="9">
        <v>734</v>
      </c>
      <c r="AV333" s="9">
        <f t="shared" si="379"/>
        <v>0</v>
      </c>
      <c r="AW333" s="9">
        <v>14</v>
      </c>
      <c r="AX333" s="9">
        <f t="shared" si="380"/>
        <v>0</v>
      </c>
      <c r="AY333" s="13">
        <v>0</v>
      </c>
      <c r="AZ333" s="113" t="s">
        <v>81</v>
      </c>
      <c r="BA333" s="9">
        <f t="shared" si="382"/>
        <v>528</v>
      </c>
      <c r="BB333" s="9">
        <f t="shared" si="383"/>
        <v>0</v>
      </c>
      <c r="BC333" s="10">
        <f t="shared" si="384"/>
        <v>0</v>
      </c>
      <c r="BD333" s="11"/>
      <c r="BF333" s="7"/>
      <c r="BG333" s="34"/>
      <c r="BH333" s="9" t="str">
        <f t="shared" si="395"/>
        <v/>
      </c>
      <c r="BI333" s="9"/>
      <c r="BJ333" s="9"/>
      <c r="BK333" s="9"/>
      <c r="BL333" s="9" t="str">
        <f t="shared" si="396"/>
        <v/>
      </c>
      <c r="BM333" s="9"/>
      <c r="BN333" s="9"/>
      <c r="BO333" s="9"/>
      <c r="BP333" s="9" t="str">
        <f t="shared" si="386"/>
        <v/>
      </c>
      <c r="BQ333" s="10" t="str">
        <f t="shared" si="387"/>
        <v/>
      </c>
      <c r="BR333" s="11"/>
    </row>
    <row r="334" spans="1:70" ht="15" customHeight="1" thickBot="1" x14ac:dyDescent="0.25">
      <c r="A334" s="75"/>
      <c r="B334" s="67"/>
      <c r="C334" s="36">
        <v>11685</v>
      </c>
      <c r="D334" s="37">
        <f t="shared" si="388"/>
        <v>46</v>
      </c>
      <c r="E334" s="17">
        <v>1175</v>
      </c>
      <c r="F334" s="17">
        <f t="shared" si="389"/>
        <v>0</v>
      </c>
      <c r="G334" s="17">
        <v>14</v>
      </c>
      <c r="H334" s="17">
        <f t="shared" si="390"/>
        <v>0</v>
      </c>
      <c r="I334" s="29">
        <v>0</v>
      </c>
      <c r="J334" s="114" t="str">
        <f t="shared" si="397"/>
        <v>キティヒョウ柄マスコット</v>
      </c>
      <c r="K334" s="37">
        <f t="shared" si="391"/>
        <v>996</v>
      </c>
      <c r="L334" s="17">
        <f t="shared" si="392"/>
        <v>0</v>
      </c>
      <c r="M334" s="18">
        <f t="shared" si="393"/>
        <v>0</v>
      </c>
      <c r="N334" s="11"/>
      <c r="P334" s="75"/>
      <c r="Q334" s="36">
        <v>11839</v>
      </c>
      <c r="R334" s="37">
        <f t="shared" si="364"/>
        <v>26</v>
      </c>
      <c r="S334" s="17">
        <v>1044</v>
      </c>
      <c r="T334" s="17">
        <f t="shared" si="365"/>
        <v>0</v>
      </c>
      <c r="U334" s="17">
        <v>12</v>
      </c>
      <c r="V334" s="17">
        <f t="shared" si="366"/>
        <v>0</v>
      </c>
      <c r="W334" s="29">
        <v>0</v>
      </c>
      <c r="X334" s="114" t="str">
        <f t="shared" si="398"/>
        <v>ちいかわマスコットポーチ</v>
      </c>
      <c r="Y334" s="37">
        <f t="shared" si="368"/>
        <v>286</v>
      </c>
      <c r="Z334" s="17">
        <f t="shared" si="369"/>
        <v>0</v>
      </c>
      <c r="AA334" s="18">
        <f t="shared" si="370"/>
        <v>0</v>
      </c>
      <c r="AB334" s="11"/>
      <c r="AD334" s="75"/>
      <c r="AE334" s="36">
        <v>14104</v>
      </c>
      <c r="AF334" s="37">
        <f t="shared" si="371"/>
        <v>111</v>
      </c>
      <c r="AG334" s="17">
        <v>1537</v>
      </c>
      <c r="AH334" s="17">
        <f t="shared" si="372"/>
        <v>2</v>
      </c>
      <c r="AI334" s="17">
        <v>13</v>
      </c>
      <c r="AJ334" s="17">
        <f t="shared" si="373"/>
        <v>2</v>
      </c>
      <c r="AK334" s="29">
        <v>5</v>
      </c>
      <c r="AL334" s="114" t="str">
        <f t="shared" si="399"/>
        <v>ラブブマスコット</v>
      </c>
      <c r="AM334" s="37">
        <f t="shared" si="375"/>
        <v>500</v>
      </c>
      <c r="AN334" s="17">
        <f t="shared" si="376"/>
        <v>1000</v>
      </c>
      <c r="AO334" s="18">
        <f t="shared" si="377"/>
        <v>9.0090090090090086E-2</v>
      </c>
      <c r="AP334" s="11"/>
      <c r="AR334" s="75"/>
      <c r="AS334" s="36">
        <v>10394</v>
      </c>
      <c r="AT334" s="37">
        <f t="shared" si="378"/>
        <v>1</v>
      </c>
      <c r="AU334" s="17">
        <v>794</v>
      </c>
      <c r="AV334" s="17">
        <f t="shared" si="379"/>
        <v>0</v>
      </c>
      <c r="AW334" s="17">
        <v>6</v>
      </c>
      <c r="AX334" s="17">
        <f t="shared" si="380"/>
        <v>0</v>
      </c>
      <c r="AY334" s="29">
        <v>0</v>
      </c>
      <c r="AZ334" s="114" t="str">
        <f t="shared" si="400"/>
        <v>サンリオがま口ポーチ</v>
      </c>
      <c r="BA334" s="37">
        <f t="shared" si="382"/>
        <v>660</v>
      </c>
      <c r="BB334" s="17">
        <f t="shared" si="383"/>
        <v>0</v>
      </c>
      <c r="BC334" s="18">
        <f t="shared" si="384"/>
        <v>0</v>
      </c>
      <c r="BD334" s="11"/>
      <c r="BF334" s="7"/>
      <c r="BG334" s="34"/>
      <c r="BH334" s="9" t="str">
        <f t="shared" si="395"/>
        <v/>
      </c>
      <c r="BI334" s="9"/>
      <c r="BJ334" s="9"/>
      <c r="BK334" s="9"/>
      <c r="BL334" s="9" t="str">
        <f t="shared" si="396"/>
        <v/>
      </c>
      <c r="BM334" s="9"/>
      <c r="BN334" s="9"/>
      <c r="BO334" s="9"/>
      <c r="BP334" s="9" t="str">
        <f t="shared" si="386"/>
        <v/>
      </c>
      <c r="BQ334" s="10" t="str">
        <f t="shared" si="387"/>
        <v/>
      </c>
      <c r="BR334" s="11"/>
    </row>
    <row r="335" spans="1:70" ht="15" customHeight="1" thickTop="1" x14ac:dyDescent="0.2">
      <c r="A335" s="107">
        <v>45980</v>
      </c>
      <c r="B335" s="61">
        <f>SUM(D335:D338)+SUM(R335:R338)+SUM(AF335:AF338)+SUM(AT335:AT338)+BH308</f>
        <v>958</v>
      </c>
      <c r="C335" s="33">
        <v>15060</v>
      </c>
      <c r="D335" s="33">
        <f t="shared" si="388"/>
        <v>46</v>
      </c>
      <c r="E335" s="33">
        <v>1058</v>
      </c>
      <c r="F335" s="20">
        <f t="shared" si="389"/>
        <v>1</v>
      </c>
      <c r="G335" s="33">
        <v>100</v>
      </c>
      <c r="H335" s="33">
        <f t="shared" si="390"/>
        <v>2</v>
      </c>
      <c r="I335" s="43"/>
      <c r="J335" s="112" t="str">
        <f t="shared" si="397"/>
        <v>アングリーベイビー</v>
      </c>
      <c r="K335" s="40">
        <f t="shared" si="391"/>
        <v>1075</v>
      </c>
      <c r="L335" s="20">
        <f t="shared" si="392"/>
        <v>2150</v>
      </c>
      <c r="M335" s="21">
        <f t="shared" si="393"/>
        <v>0.46739130434782611</v>
      </c>
      <c r="N335" s="11"/>
      <c r="P335" s="76">
        <f>IF($A335="","",$A335)</f>
        <v>45980</v>
      </c>
      <c r="Q335" s="33">
        <v>14151</v>
      </c>
      <c r="R335" s="33">
        <f t="shared" si="364"/>
        <v>78</v>
      </c>
      <c r="S335" s="33">
        <v>1384</v>
      </c>
      <c r="T335" s="20">
        <f t="shared" si="365"/>
        <v>2</v>
      </c>
      <c r="U335" s="33">
        <v>7</v>
      </c>
      <c r="V335" s="33">
        <f t="shared" si="366"/>
        <v>2</v>
      </c>
      <c r="W335" s="43">
        <v>2</v>
      </c>
      <c r="X335" s="112" t="str">
        <f t="shared" si="398"/>
        <v>キティフェイスポーチ</v>
      </c>
      <c r="Y335" s="40">
        <f t="shared" si="368"/>
        <v>957</v>
      </c>
      <c r="Z335" s="20">
        <f t="shared" si="369"/>
        <v>1914</v>
      </c>
      <c r="AA335" s="21">
        <f t="shared" si="370"/>
        <v>0.2453846153846154</v>
      </c>
      <c r="AB335" s="11"/>
      <c r="AD335" s="76">
        <f>IF($A335="","",$A335)</f>
        <v>45980</v>
      </c>
      <c r="AE335" s="33">
        <v>12015</v>
      </c>
      <c r="AF335" s="33">
        <f t="shared" si="371"/>
        <v>32</v>
      </c>
      <c r="AG335" s="33">
        <v>896</v>
      </c>
      <c r="AH335" s="20">
        <f t="shared" si="372"/>
        <v>0</v>
      </c>
      <c r="AI335" s="33">
        <v>9</v>
      </c>
      <c r="AJ335" s="33">
        <f t="shared" si="373"/>
        <v>0</v>
      </c>
      <c r="AK335" s="43">
        <v>0</v>
      </c>
      <c r="AL335" s="112" t="str">
        <f t="shared" si="399"/>
        <v>スンスン髪留め</v>
      </c>
      <c r="AM335" s="40">
        <f t="shared" si="375"/>
        <v>748</v>
      </c>
      <c r="AN335" s="20">
        <f t="shared" si="376"/>
        <v>0</v>
      </c>
      <c r="AO335" s="21">
        <f t="shared" si="377"/>
        <v>0</v>
      </c>
      <c r="AP335" s="11"/>
      <c r="AR335" s="76">
        <f>IF($A335="","",$A335)</f>
        <v>45980</v>
      </c>
      <c r="AS335" s="33">
        <v>8705</v>
      </c>
      <c r="AT335" s="33">
        <f t="shared" si="378"/>
        <v>51</v>
      </c>
      <c r="AU335" s="33">
        <v>473</v>
      </c>
      <c r="AV335" s="20">
        <f t="shared" si="379"/>
        <v>1</v>
      </c>
      <c r="AW335" s="33">
        <v>8</v>
      </c>
      <c r="AX335" s="33">
        <f t="shared" si="380"/>
        <v>1</v>
      </c>
      <c r="AY335" s="43">
        <v>0</v>
      </c>
      <c r="AZ335" s="112" t="str">
        <f t="shared" si="400"/>
        <v>デジタルミニカメラ</v>
      </c>
      <c r="BA335" s="40">
        <f t="shared" si="382"/>
        <v>722</v>
      </c>
      <c r="BB335" s="20">
        <f t="shared" si="383"/>
        <v>722</v>
      </c>
      <c r="BC335" s="21">
        <f t="shared" si="384"/>
        <v>0.14156862745098039</v>
      </c>
      <c r="BD335" s="11"/>
      <c r="BF335" s="7"/>
      <c r="BG335" s="34"/>
      <c r="BH335" s="9" t="str">
        <f t="shared" si="395"/>
        <v/>
      </c>
      <c r="BI335" s="9"/>
      <c r="BJ335" s="9"/>
      <c r="BK335" s="9"/>
      <c r="BL335" s="9" t="str">
        <f t="shared" si="396"/>
        <v/>
      </c>
      <c r="BM335" s="9"/>
      <c r="BN335" s="9"/>
      <c r="BO335" s="9"/>
      <c r="BP335" s="9" t="str">
        <f t="shared" si="386"/>
        <v/>
      </c>
      <c r="BQ335" s="10" t="str">
        <f t="shared" si="387"/>
        <v/>
      </c>
      <c r="BR335" s="11"/>
    </row>
    <row r="336" spans="1:70" ht="15" customHeight="1" x14ac:dyDescent="0.2">
      <c r="A336" s="72"/>
      <c r="B336" s="8"/>
      <c r="C336" s="9">
        <v>16863</v>
      </c>
      <c r="D336" s="9">
        <f t="shared" si="388"/>
        <v>71</v>
      </c>
      <c r="E336" s="9">
        <v>570</v>
      </c>
      <c r="F336" s="9">
        <f t="shared" si="389"/>
        <v>3</v>
      </c>
      <c r="G336" s="9">
        <v>49</v>
      </c>
      <c r="H336" s="9">
        <f t="shared" si="390"/>
        <v>3</v>
      </c>
      <c r="I336" s="13"/>
      <c r="J336" s="113" t="str">
        <f t="shared" si="397"/>
        <v>電ブル</v>
      </c>
      <c r="K336" s="34">
        <f t="shared" si="391"/>
        <v>275</v>
      </c>
      <c r="L336" s="9">
        <f t="shared" si="392"/>
        <v>825</v>
      </c>
      <c r="M336" s="10">
        <f t="shared" si="393"/>
        <v>0.11619718309859155</v>
      </c>
      <c r="N336" s="11"/>
      <c r="P336" s="72"/>
      <c r="Q336" s="9">
        <v>13758</v>
      </c>
      <c r="R336" s="9">
        <f t="shared" si="364"/>
        <v>91</v>
      </c>
      <c r="S336" s="9">
        <v>488</v>
      </c>
      <c r="T336" s="9">
        <f t="shared" si="365"/>
        <v>2</v>
      </c>
      <c r="U336" s="9">
        <v>12</v>
      </c>
      <c r="V336" s="9">
        <f t="shared" si="366"/>
        <v>2</v>
      </c>
      <c r="W336" s="13">
        <v>0</v>
      </c>
      <c r="X336" s="113" t="str">
        <f t="shared" si="398"/>
        <v>サンリオミニリュックチャーム付</v>
      </c>
      <c r="Y336" s="34">
        <f t="shared" si="368"/>
        <v>600</v>
      </c>
      <c r="Z336" s="9">
        <f t="shared" si="369"/>
        <v>1200</v>
      </c>
      <c r="AA336" s="10">
        <f t="shared" si="370"/>
        <v>0.13186813186813187</v>
      </c>
      <c r="AB336" s="11"/>
      <c r="AD336" s="72"/>
      <c r="AE336" s="9">
        <v>11605</v>
      </c>
      <c r="AF336" s="9">
        <f t="shared" si="371"/>
        <v>25</v>
      </c>
      <c r="AG336" s="9">
        <v>769</v>
      </c>
      <c r="AH336" s="9">
        <f t="shared" si="372"/>
        <v>0</v>
      </c>
      <c r="AI336" s="9">
        <v>18</v>
      </c>
      <c r="AJ336" s="9">
        <f t="shared" si="373"/>
        <v>0</v>
      </c>
      <c r="AK336" s="13">
        <v>0</v>
      </c>
      <c r="AL336" s="113" t="str">
        <f t="shared" si="399"/>
        <v>ジャグラーサウンドフラッシュ</v>
      </c>
      <c r="AM336" s="34">
        <f t="shared" si="375"/>
        <v>748</v>
      </c>
      <c r="AN336" s="9">
        <f t="shared" si="376"/>
        <v>0</v>
      </c>
      <c r="AO336" s="10">
        <f t="shared" si="377"/>
        <v>0</v>
      </c>
      <c r="AP336" s="11"/>
      <c r="AR336" s="72"/>
      <c r="AS336" s="9">
        <v>10200</v>
      </c>
      <c r="AT336" s="9">
        <f t="shared" si="378"/>
        <v>29</v>
      </c>
      <c r="AU336" s="9">
        <v>520</v>
      </c>
      <c r="AV336" s="9">
        <f t="shared" si="379"/>
        <v>0</v>
      </c>
      <c r="AW336" s="9">
        <v>14</v>
      </c>
      <c r="AX336" s="9">
        <f t="shared" si="380"/>
        <v>0</v>
      </c>
      <c r="AY336" s="13">
        <v>0</v>
      </c>
      <c r="AZ336" s="113" t="str">
        <f t="shared" si="400"/>
        <v>押忍番長ボイスボタン</v>
      </c>
      <c r="BA336" s="34">
        <f t="shared" si="382"/>
        <v>1100</v>
      </c>
      <c r="BB336" s="9">
        <f t="shared" si="383"/>
        <v>0</v>
      </c>
      <c r="BC336" s="10">
        <f t="shared" si="384"/>
        <v>0</v>
      </c>
      <c r="BD336" s="11"/>
      <c r="BF336" s="7"/>
      <c r="BG336" s="34"/>
      <c r="BH336" s="9" t="str">
        <f t="shared" si="395"/>
        <v/>
      </c>
      <c r="BI336" s="9"/>
      <c r="BJ336" s="9"/>
      <c r="BK336" s="9"/>
      <c r="BL336" s="9" t="str">
        <f t="shared" si="396"/>
        <v/>
      </c>
      <c r="BM336" s="9"/>
      <c r="BN336" s="9"/>
      <c r="BO336" s="9"/>
      <c r="BP336" s="9" t="str">
        <f t="shared" si="386"/>
        <v/>
      </c>
      <c r="BQ336" s="10" t="str">
        <f t="shared" si="387"/>
        <v/>
      </c>
      <c r="BR336" s="11"/>
    </row>
    <row r="337" spans="1:70" ht="15" customHeight="1" x14ac:dyDescent="0.2">
      <c r="A337" s="72"/>
      <c r="B337" s="8"/>
      <c r="C337" s="23">
        <v>16582</v>
      </c>
      <c r="D337" s="9">
        <f t="shared" si="388"/>
        <v>100</v>
      </c>
      <c r="E337" s="9">
        <v>600</v>
      </c>
      <c r="F337" s="9">
        <f t="shared" si="389"/>
        <v>1</v>
      </c>
      <c r="G337" s="23">
        <v>24</v>
      </c>
      <c r="H337" s="9">
        <f t="shared" si="390"/>
        <v>1</v>
      </c>
      <c r="I337" s="30"/>
      <c r="J337" s="113" t="str">
        <f t="shared" si="397"/>
        <v>ラブブキーホルダー</v>
      </c>
      <c r="K337" s="9">
        <f t="shared" si="391"/>
        <v>500</v>
      </c>
      <c r="L337" s="9">
        <f t="shared" si="392"/>
        <v>500</v>
      </c>
      <c r="M337" s="10">
        <f t="shared" si="393"/>
        <v>0.05</v>
      </c>
      <c r="N337" s="11"/>
      <c r="P337" s="72"/>
      <c r="Q337" s="23">
        <v>13838</v>
      </c>
      <c r="R337" s="9">
        <f t="shared" si="364"/>
        <v>79</v>
      </c>
      <c r="S337" s="9">
        <v>910</v>
      </c>
      <c r="T337" s="9">
        <f t="shared" si="365"/>
        <v>3</v>
      </c>
      <c r="U337" s="23">
        <v>79</v>
      </c>
      <c r="V337" s="9">
        <f t="shared" si="366"/>
        <v>3</v>
      </c>
      <c r="W337" s="30">
        <v>5</v>
      </c>
      <c r="X337" s="113" t="str">
        <f t="shared" si="398"/>
        <v>AIラバー</v>
      </c>
      <c r="Y337" s="9">
        <f t="shared" si="368"/>
        <v>198</v>
      </c>
      <c r="Z337" s="9">
        <f t="shared" si="369"/>
        <v>594</v>
      </c>
      <c r="AA337" s="10">
        <f t="shared" si="370"/>
        <v>7.5189873417721514E-2</v>
      </c>
      <c r="AB337" s="11"/>
      <c r="AD337" s="72"/>
      <c r="AE337" s="23">
        <v>14411</v>
      </c>
      <c r="AF337" s="9">
        <f t="shared" si="371"/>
        <v>28</v>
      </c>
      <c r="AG337" s="9">
        <v>2389</v>
      </c>
      <c r="AH337" s="9">
        <f t="shared" si="372"/>
        <v>0</v>
      </c>
      <c r="AI337" s="23">
        <v>11</v>
      </c>
      <c r="AJ337" s="9">
        <f t="shared" si="373"/>
        <v>0</v>
      </c>
      <c r="AK337" s="30">
        <v>0</v>
      </c>
      <c r="AL337" s="113" t="str">
        <f t="shared" si="399"/>
        <v>サンリオがま口財布</v>
      </c>
      <c r="AM337" s="9">
        <f t="shared" si="375"/>
        <v>700</v>
      </c>
      <c r="AN337" s="9">
        <f t="shared" si="376"/>
        <v>0</v>
      </c>
      <c r="AO337" s="10">
        <f t="shared" si="377"/>
        <v>0</v>
      </c>
      <c r="AP337" s="11"/>
      <c r="AR337" s="72"/>
      <c r="AS337" s="23">
        <v>12548</v>
      </c>
      <c r="AT337" s="9">
        <f t="shared" si="378"/>
        <v>17</v>
      </c>
      <c r="AU337" s="9">
        <v>734</v>
      </c>
      <c r="AV337" s="9">
        <f t="shared" si="379"/>
        <v>0</v>
      </c>
      <c r="AW337" s="23">
        <v>14</v>
      </c>
      <c r="AX337" s="9">
        <f t="shared" si="380"/>
        <v>0</v>
      </c>
      <c r="AY337" s="30">
        <v>0</v>
      </c>
      <c r="AZ337" s="113" t="str">
        <f t="shared" si="400"/>
        <v>ラブブキーホルダー</v>
      </c>
      <c r="BA337" s="9">
        <f t="shared" si="382"/>
        <v>528</v>
      </c>
      <c r="BB337" s="9">
        <f t="shared" si="383"/>
        <v>0</v>
      </c>
      <c r="BC337" s="10">
        <f t="shared" si="384"/>
        <v>0</v>
      </c>
      <c r="BD337" s="11"/>
      <c r="BF337" s="7"/>
      <c r="BG337" s="34"/>
      <c r="BH337" s="9" t="str">
        <f t="shared" si="395"/>
        <v/>
      </c>
      <c r="BI337" s="9"/>
      <c r="BJ337" s="9"/>
      <c r="BK337" s="9"/>
      <c r="BL337" s="9" t="str">
        <f t="shared" si="396"/>
        <v/>
      </c>
      <c r="BM337" s="9"/>
      <c r="BN337" s="9"/>
      <c r="BO337" s="9"/>
      <c r="BP337" s="9" t="str">
        <f t="shared" si="386"/>
        <v/>
      </c>
      <c r="BQ337" s="10" t="str">
        <f t="shared" si="387"/>
        <v/>
      </c>
      <c r="BR337" s="11"/>
    </row>
    <row r="338" spans="1:70" ht="15" customHeight="1" thickBot="1" x14ac:dyDescent="0.25">
      <c r="A338" s="75"/>
      <c r="B338" s="62"/>
      <c r="C338" s="17">
        <v>11768</v>
      </c>
      <c r="D338" s="37">
        <f t="shared" si="388"/>
        <v>83</v>
      </c>
      <c r="E338" s="17">
        <v>1176</v>
      </c>
      <c r="F338" s="17">
        <f t="shared" si="389"/>
        <v>1</v>
      </c>
      <c r="G338" s="17">
        <v>13</v>
      </c>
      <c r="H338" s="17">
        <f t="shared" si="390"/>
        <v>1</v>
      </c>
      <c r="I338" s="29"/>
      <c r="J338" s="114" t="str">
        <f t="shared" si="397"/>
        <v>キティヒョウ柄マスコット</v>
      </c>
      <c r="K338" s="37">
        <f t="shared" si="391"/>
        <v>996</v>
      </c>
      <c r="L338" s="17">
        <f t="shared" si="392"/>
        <v>996</v>
      </c>
      <c r="M338" s="18">
        <f t="shared" si="393"/>
        <v>0.12</v>
      </c>
      <c r="N338" s="11"/>
      <c r="P338" s="75"/>
      <c r="Q338" s="17">
        <v>11901</v>
      </c>
      <c r="R338" s="37">
        <f t="shared" si="364"/>
        <v>62</v>
      </c>
      <c r="S338" s="17">
        <v>1045</v>
      </c>
      <c r="T338" s="17">
        <f t="shared" si="365"/>
        <v>1</v>
      </c>
      <c r="U338" s="17">
        <v>11</v>
      </c>
      <c r="V338" s="17">
        <f t="shared" si="366"/>
        <v>1</v>
      </c>
      <c r="W338" s="29">
        <v>1</v>
      </c>
      <c r="X338" s="114" t="str">
        <f t="shared" si="398"/>
        <v>ちいかわマスコットポーチ</v>
      </c>
      <c r="Y338" s="37">
        <f t="shared" si="368"/>
        <v>286</v>
      </c>
      <c r="Z338" s="17">
        <f t="shared" si="369"/>
        <v>286</v>
      </c>
      <c r="AA338" s="18">
        <f t="shared" si="370"/>
        <v>4.6129032258064515E-2</v>
      </c>
      <c r="AB338" s="11"/>
      <c r="AD338" s="75"/>
      <c r="AE338" s="17">
        <v>14162</v>
      </c>
      <c r="AF338" s="37">
        <f t="shared" si="371"/>
        <v>58</v>
      </c>
      <c r="AG338" s="17">
        <v>1537</v>
      </c>
      <c r="AH338" s="17">
        <f t="shared" si="372"/>
        <v>0</v>
      </c>
      <c r="AI338" s="17">
        <v>18</v>
      </c>
      <c r="AJ338" s="17">
        <f t="shared" si="373"/>
        <v>0</v>
      </c>
      <c r="AK338" s="29">
        <v>0</v>
      </c>
      <c r="AL338" s="114" t="str">
        <f t="shared" si="399"/>
        <v>ラブブマスコット</v>
      </c>
      <c r="AM338" s="37">
        <f t="shared" si="375"/>
        <v>500</v>
      </c>
      <c r="AN338" s="17">
        <f t="shared" si="376"/>
        <v>0</v>
      </c>
      <c r="AO338" s="18">
        <f t="shared" si="377"/>
        <v>0</v>
      </c>
      <c r="AP338" s="11"/>
      <c r="AR338" s="75"/>
      <c r="AS338" s="17">
        <v>10408</v>
      </c>
      <c r="AT338" s="37">
        <f t="shared" si="378"/>
        <v>14</v>
      </c>
      <c r="AU338" s="17">
        <v>794</v>
      </c>
      <c r="AV338" s="17">
        <f t="shared" si="379"/>
        <v>0</v>
      </c>
      <c r="AW338" s="17">
        <v>6</v>
      </c>
      <c r="AX338" s="17">
        <f t="shared" si="380"/>
        <v>0</v>
      </c>
      <c r="AY338" s="29">
        <v>0</v>
      </c>
      <c r="AZ338" s="114" t="str">
        <f t="shared" si="400"/>
        <v>サンリオがま口ポーチ</v>
      </c>
      <c r="BA338" s="37">
        <f t="shared" si="382"/>
        <v>660</v>
      </c>
      <c r="BB338" s="17">
        <f t="shared" si="383"/>
        <v>0</v>
      </c>
      <c r="BC338" s="18">
        <f t="shared" si="384"/>
        <v>0</v>
      </c>
      <c r="BD338" s="11"/>
      <c r="BF338" s="7"/>
      <c r="BG338" s="34"/>
      <c r="BH338" s="9" t="str">
        <f t="shared" si="395"/>
        <v/>
      </c>
      <c r="BI338" s="9"/>
      <c r="BJ338" s="9"/>
      <c r="BK338" s="9"/>
      <c r="BL338" s="9" t="str">
        <f t="shared" si="396"/>
        <v/>
      </c>
      <c r="BM338" s="9"/>
      <c r="BN338" s="9"/>
      <c r="BO338" s="9"/>
      <c r="BP338" s="9" t="str">
        <f t="shared" si="386"/>
        <v/>
      </c>
      <c r="BQ338" s="10" t="str">
        <f t="shared" si="387"/>
        <v/>
      </c>
      <c r="BR338" s="11"/>
    </row>
    <row r="339" spans="1:70" ht="15" customHeight="1" thickTop="1" x14ac:dyDescent="0.2">
      <c r="A339" s="71"/>
      <c r="B339" s="61"/>
      <c r="C339" s="33"/>
      <c r="D339" s="33"/>
      <c r="E339" s="33"/>
      <c r="F339" s="20"/>
      <c r="G339" s="33"/>
      <c r="H339" s="33"/>
      <c r="I339" s="43"/>
      <c r="J339" s="112"/>
      <c r="K339" s="40"/>
      <c r="L339" s="20"/>
      <c r="M339" s="21"/>
      <c r="N339" s="11"/>
      <c r="P339" s="76"/>
      <c r="Q339" s="33"/>
      <c r="R339" s="33"/>
      <c r="S339" s="33"/>
      <c r="T339" s="20"/>
      <c r="U339" s="33"/>
      <c r="V339" s="33"/>
      <c r="W339" s="43"/>
      <c r="X339" s="112"/>
      <c r="Y339" s="40"/>
      <c r="Z339" s="20"/>
      <c r="AA339" s="21"/>
      <c r="AB339" s="11"/>
      <c r="AD339" s="76"/>
      <c r="AE339" s="33"/>
      <c r="AF339" s="33"/>
      <c r="AG339" s="33"/>
      <c r="AH339" s="20"/>
      <c r="AI339" s="33"/>
      <c r="AJ339" s="33"/>
      <c r="AK339" s="43"/>
      <c r="AL339" s="112"/>
      <c r="AM339" s="40"/>
      <c r="AN339" s="20"/>
      <c r="AO339" s="21"/>
      <c r="AP339" s="11"/>
      <c r="AR339" s="76"/>
      <c r="AS339" s="33"/>
      <c r="AT339" s="33"/>
      <c r="AU339" s="33"/>
      <c r="AV339" s="20"/>
      <c r="AW339" s="33"/>
      <c r="AX339" s="33"/>
      <c r="AY339" s="43"/>
      <c r="AZ339" s="112"/>
      <c r="BA339" s="40"/>
      <c r="BB339" s="20"/>
      <c r="BC339" s="21"/>
      <c r="BD339" s="11"/>
      <c r="BF339" s="7"/>
      <c r="BG339" s="34"/>
      <c r="BH339" s="9" t="str">
        <f t="shared" si="395"/>
        <v/>
      </c>
      <c r="BI339" s="9"/>
      <c r="BJ339" s="9"/>
      <c r="BK339" s="9"/>
      <c r="BL339" s="9" t="str">
        <f t="shared" si="396"/>
        <v/>
      </c>
      <c r="BM339" s="9"/>
      <c r="BN339" s="9"/>
      <c r="BO339" s="9"/>
      <c r="BP339" s="9" t="str">
        <f t="shared" si="386"/>
        <v/>
      </c>
      <c r="BQ339" s="10" t="str">
        <f t="shared" si="387"/>
        <v/>
      </c>
      <c r="BR339" s="11"/>
    </row>
    <row r="340" spans="1:70" ht="15" customHeight="1" x14ac:dyDescent="0.2">
      <c r="A340" s="72"/>
      <c r="B340" s="8"/>
      <c r="C340" s="33"/>
      <c r="D340" s="9"/>
      <c r="E340" s="9"/>
      <c r="F340" s="9"/>
      <c r="G340" s="9"/>
      <c r="H340" s="9"/>
      <c r="I340" s="13"/>
      <c r="J340" s="113"/>
      <c r="K340" s="34"/>
      <c r="L340" s="9"/>
      <c r="M340" s="10"/>
      <c r="N340" s="11"/>
      <c r="P340" s="72"/>
      <c r="Q340" s="33"/>
      <c r="R340" s="9"/>
      <c r="S340" s="9"/>
      <c r="T340" s="9"/>
      <c r="U340" s="9"/>
      <c r="V340" s="9"/>
      <c r="W340" s="13"/>
      <c r="X340" s="113"/>
      <c r="Y340" s="34"/>
      <c r="Z340" s="9"/>
      <c r="AA340" s="10"/>
      <c r="AB340" s="11"/>
      <c r="AD340" s="72"/>
      <c r="AE340" s="33"/>
      <c r="AF340" s="9"/>
      <c r="AG340" s="9"/>
      <c r="AH340" s="9"/>
      <c r="AI340" s="9"/>
      <c r="AJ340" s="9"/>
      <c r="AK340" s="13"/>
      <c r="AL340" s="113"/>
      <c r="AM340" s="34"/>
      <c r="AN340" s="9"/>
      <c r="AO340" s="10"/>
      <c r="AP340" s="11"/>
      <c r="AR340" s="72"/>
      <c r="AS340" s="33"/>
      <c r="AT340" s="9"/>
      <c r="AU340" s="9"/>
      <c r="AV340" s="9"/>
      <c r="AW340" s="9"/>
      <c r="AX340" s="9"/>
      <c r="AY340" s="13"/>
      <c r="AZ340" s="113"/>
      <c r="BA340" s="34"/>
      <c r="BB340" s="9"/>
      <c r="BC340" s="10"/>
      <c r="BD340" s="11"/>
      <c r="BF340" s="7"/>
      <c r="BG340" s="34"/>
      <c r="BH340" s="9" t="str">
        <f t="shared" si="395"/>
        <v/>
      </c>
      <c r="BI340" s="9"/>
      <c r="BJ340" s="9"/>
      <c r="BK340" s="9"/>
      <c r="BL340" s="9" t="str">
        <f t="shared" si="396"/>
        <v/>
      </c>
      <c r="BM340" s="9"/>
      <c r="BN340" s="9"/>
      <c r="BO340" s="9"/>
      <c r="BP340" s="9" t="str">
        <f t="shared" si="386"/>
        <v/>
      </c>
      <c r="BQ340" s="10" t="str">
        <f t="shared" si="387"/>
        <v/>
      </c>
      <c r="BR340" s="11"/>
    </row>
    <row r="341" spans="1:70" ht="15" customHeight="1" x14ac:dyDescent="0.2">
      <c r="A341" s="72"/>
      <c r="B341" s="8"/>
      <c r="C341" s="38"/>
      <c r="D341" s="9"/>
      <c r="E341" s="9"/>
      <c r="F341" s="9"/>
      <c r="G341" s="9"/>
      <c r="H341" s="9"/>
      <c r="I341" s="13"/>
      <c r="J341" s="113"/>
      <c r="K341" s="9"/>
      <c r="L341" s="9"/>
      <c r="M341" s="10"/>
      <c r="N341" s="11"/>
      <c r="P341" s="72"/>
      <c r="Q341" s="38"/>
      <c r="R341" s="9"/>
      <c r="S341" s="9"/>
      <c r="T341" s="9"/>
      <c r="U341" s="9"/>
      <c r="V341" s="9"/>
      <c r="W341" s="13"/>
      <c r="X341" s="113"/>
      <c r="Y341" s="9"/>
      <c r="Z341" s="9"/>
      <c r="AA341" s="10"/>
      <c r="AB341" s="11"/>
      <c r="AD341" s="72"/>
      <c r="AE341" s="38"/>
      <c r="AF341" s="9"/>
      <c r="AG341" s="9"/>
      <c r="AH341" s="9"/>
      <c r="AI341" s="9"/>
      <c r="AJ341" s="9"/>
      <c r="AK341" s="13"/>
      <c r="AL341" s="113"/>
      <c r="AM341" s="9"/>
      <c r="AN341" s="9"/>
      <c r="AO341" s="10"/>
      <c r="AP341" s="11"/>
      <c r="AR341" s="72"/>
      <c r="AS341" s="38"/>
      <c r="AT341" s="9"/>
      <c r="AU341" s="9"/>
      <c r="AV341" s="9"/>
      <c r="AW341" s="9"/>
      <c r="AX341" s="9"/>
      <c r="AY341" s="13"/>
      <c r="AZ341" s="113"/>
      <c r="BA341" s="9"/>
      <c r="BB341" s="9"/>
      <c r="BC341" s="10"/>
      <c r="BD341" s="11"/>
      <c r="BF341" s="7"/>
      <c r="BG341" s="34"/>
      <c r="BH341" s="9" t="str">
        <f t="shared" si="395"/>
        <v/>
      </c>
      <c r="BI341" s="9"/>
      <c r="BJ341" s="9"/>
      <c r="BK341" s="9"/>
      <c r="BL341" s="9" t="str">
        <f t="shared" si="396"/>
        <v/>
      </c>
      <c r="BM341" s="9"/>
      <c r="BN341" s="9"/>
      <c r="BO341" s="9"/>
      <c r="BP341" s="9" t="str">
        <f t="shared" si="386"/>
        <v/>
      </c>
      <c r="BQ341" s="10" t="str">
        <f t="shared" si="387"/>
        <v/>
      </c>
      <c r="BR341" s="11"/>
    </row>
    <row r="342" spans="1:70" ht="15" customHeight="1" thickBot="1" x14ac:dyDescent="0.25">
      <c r="A342" s="75"/>
      <c r="B342" s="62"/>
      <c r="C342" s="36"/>
      <c r="D342" s="37"/>
      <c r="E342" s="17"/>
      <c r="F342" s="17"/>
      <c r="G342" s="17"/>
      <c r="H342" s="17"/>
      <c r="I342" s="29"/>
      <c r="J342" s="114"/>
      <c r="K342" s="37"/>
      <c r="L342" s="17"/>
      <c r="M342" s="18"/>
      <c r="N342" s="11"/>
      <c r="P342" s="75"/>
      <c r="Q342" s="36"/>
      <c r="R342" s="37"/>
      <c r="S342" s="17"/>
      <c r="T342" s="17"/>
      <c r="U342" s="17"/>
      <c r="V342" s="17"/>
      <c r="W342" s="29"/>
      <c r="X342" s="114"/>
      <c r="Y342" s="37"/>
      <c r="Z342" s="17"/>
      <c r="AA342" s="18"/>
      <c r="AB342" s="11"/>
      <c r="AD342" s="75"/>
      <c r="AE342" s="36"/>
      <c r="AF342" s="37"/>
      <c r="AG342" s="17"/>
      <c r="AH342" s="17"/>
      <c r="AI342" s="17"/>
      <c r="AJ342" s="17"/>
      <c r="AK342" s="29"/>
      <c r="AL342" s="114"/>
      <c r="AM342" s="37"/>
      <c r="AN342" s="17"/>
      <c r="AO342" s="18"/>
      <c r="AP342" s="11"/>
      <c r="AR342" s="75"/>
      <c r="AS342" s="36"/>
      <c r="AT342" s="37"/>
      <c r="AU342" s="17"/>
      <c r="AV342" s="17"/>
      <c r="AW342" s="17"/>
      <c r="AX342" s="17"/>
      <c r="AY342" s="29"/>
      <c r="AZ342" s="114"/>
      <c r="BA342" s="37"/>
      <c r="BB342" s="17"/>
      <c r="BC342" s="18"/>
      <c r="BD342" s="11"/>
      <c r="BF342" s="7"/>
      <c r="BG342" s="34"/>
      <c r="BH342" s="9" t="str">
        <f t="shared" si="395"/>
        <v/>
      </c>
      <c r="BI342" s="9"/>
      <c r="BJ342" s="9"/>
      <c r="BK342" s="9"/>
      <c r="BL342" s="9" t="str">
        <f t="shared" si="396"/>
        <v/>
      </c>
      <c r="BM342" s="9"/>
      <c r="BN342" s="9"/>
      <c r="BO342" s="9"/>
      <c r="BP342" s="9" t="str">
        <f t="shared" si="386"/>
        <v/>
      </c>
      <c r="BQ342" s="10" t="str">
        <f t="shared" si="387"/>
        <v/>
      </c>
      <c r="BR342" s="11"/>
    </row>
    <row r="343" spans="1:70" ht="15" customHeight="1" thickTop="1" x14ac:dyDescent="0.2">
      <c r="A343" s="71"/>
      <c r="B343" s="61">
        <f>SUM(D343:D346)+SUM(R343:R346)+SUM(AF343:AF346)+SUM(AT343:AT346)</f>
        <v>0</v>
      </c>
      <c r="C343" s="33"/>
      <c r="D343" s="33" t="str">
        <f t="shared" si="388"/>
        <v/>
      </c>
      <c r="E343" s="33"/>
      <c r="F343" s="20" t="str">
        <f t="shared" si="389"/>
        <v/>
      </c>
      <c r="G343" s="33"/>
      <c r="H343" s="33" t="str">
        <f t="shared" si="390"/>
        <v/>
      </c>
      <c r="I343" s="13"/>
      <c r="J343" s="112" t="str">
        <f t="shared" si="397"/>
        <v/>
      </c>
      <c r="K343" s="40" t="str">
        <f t="shared" si="391"/>
        <v/>
      </c>
      <c r="L343" s="20" t="str">
        <f t="shared" si="392"/>
        <v/>
      </c>
      <c r="M343" s="21" t="str">
        <f t="shared" si="393"/>
        <v/>
      </c>
      <c r="N343" s="11"/>
      <c r="P343" s="76" t="str">
        <f>IF($A$417="","",$A$417)</f>
        <v/>
      </c>
      <c r="Q343" s="33"/>
      <c r="R343" s="33" t="str">
        <f t="shared" ref="R343:R354" si="401">IF(Q343="","",Q343-Q339)</f>
        <v/>
      </c>
      <c r="S343" s="33"/>
      <c r="T343" s="20" t="str">
        <f t="shared" ref="T343:T354" si="402">IF(S343="","",S343-S339)</f>
        <v/>
      </c>
      <c r="U343" s="33"/>
      <c r="V343" s="33" t="str">
        <f t="shared" ref="V343:V354" si="403">IF(U343="","",U339+W339-U343)</f>
        <v/>
      </c>
      <c r="W343" s="13"/>
      <c r="X343" s="112" t="str">
        <f t="shared" ref="X343:X354" si="404">IF(Q343="","",X339)</f>
        <v/>
      </c>
      <c r="Y343" s="40" t="str">
        <f t="shared" ref="Y343:Y354" si="405">IF(R343="","",Y339)</f>
        <v/>
      </c>
      <c r="Z343" s="20" t="str">
        <f t="shared" ref="Z343:Z354" si="406">IF(U343="","",V343*Y343)</f>
        <v/>
      </c>
      <c r="AA343" s="21" t="str">
        <f t="shared" ref="AA343:AA354" si="407">IF(V343="","",Z343/(R343*100))</f>
        <v/>
      </c>
      <c r="AB343" s="11"/>
      <c r="AD343" s="76" t="str">
        <f>IF($A$417="","",$A$417)</f>
        <v/>
      </c>
      <c r="AE343" s="33"/>
      <c r="AF343" s="33" t="str">
        <f t="shared" ref="AF343:AF354" si="408">IF(AE343="","",AE343-AE339)</f>
        <v/>
      </c>
      <c r="AG343" s="33"/>
      <c r="AH343" s="20" t="str">
        <f t="shared" ref="AH343:AH354" si="409">IF(AG343="","",AG343-AG339)</f>
        <v/>
      </c>
      <c r="AI343" s="33"/>
      <c r="AJ343" s="33" t="str">
        <f t="shared" ref="AJ343:AJ354" si="410">IF(AI343="","",AI339+AK339-AI343)</f>
        <v/>
      </c>
      <c r="AK343" s="13"/>
      <c r="AL343" s="112" t="str">
        <f t="shared" ref="AL343:AL354" si="411">IF(AE343="","",AL339)</f>
        <v/>
      </c>
      <c r="AM343" s="40" t="str">
        <f t="shared" ref="AM343:AM354" si="412">IF(AF343="","",AM339)</f>
        <v/>
      </c>
      <c r="AN343" s="20" t="str">
        <f t="shared" ref="AN343:AN354" si="413">IF(AI343="","",AJ343*AM343)</f>
        <v/>
      </c>
      <c r="AO343" s="21" t="str">
        <f t="shared" ref="AO343:AO354" si="414">IF(AJ343="","",AN343/(AF343*100))</f>
        <v/>
      </c>
      <c r="AP343" s="11"/>
      <c r="AR343" s="76" t="str">
        <f>IF($A$417="","",$A$417)</f>
        <v/>
      </c>
      <c r="AS343" s="33"/>
      <c r="AT343" s="33" t="str">
        <f t="shared" ref="AT343:AT354" si="415">IF(AS343="","",AS343-AS339)</f>
        <v/>
      </c>
      <c r="AU343" s="33"/>
      <c r="AV343" s="20" t="str">
        <f t="shared" ref="AV343:AV354" si="416">IF(AU343="","",AU343-AU339)</f>
        <v/>
      </c>
      <c r="AW343" s="33"/>
      <c r="AX343" s="33" t="str">
        <f t="shared" ref="AX343:AX354" si="417">IF(AW343="","",AW339+AY339-AW343)</f>
        <v/>
      </c>
      <c r="AY343" s="13"/>
      <c r="AZ343" s="112" t="str">
        <f t="shared" ref="AZ343:AZ354" si="418">IF(AS343="","",AZ339)</f>
        <v/>
      </c>
      <c r="BA343" s="40" t="str">
        <f t="shared" ref="BA343:BA354" si="419">IF(AT343="","",BA339)</f>
        <v/>
      </c>
      <c r="BB343" s="20" t="str">
        <f t="shared" ref="BB343:BB354" si="420">IF(AW343="","",AX343*BA343)</f>
        <v/>
      </c>
      <c r="BC343" s="21" t="str">
        <f t="shared" ref="BC343:BC354" si="421">IF(AX343="","",BB343/(AT343*100))</f>
        <v/>
      </c>
      <c r="BD343" s="11"/>
      <c r="BF343" s="7"/>
      <c r="BG343" s="34"/>
      <c r="BH343" s="9" t="str">
        <f t="shared" si="395"/>
        <v/>
      </c>
      <c r="BI343" s="9"/>
      <c r="BJ343" s="9"/>
      <c r="BK343" s="9"/>
      <c r="BL343" s="9" t="str">
        <f t="shared" si="396"/>
        <v/>
      </c>
      <c r="BM343" s="9"/>
      <c r="BN343" s="9"/>
      <c r="BO343" s="9"/>
      <c r="BP343" s="9" t="str">
        <f t="shared" si="386"/>
        <v/>
      </c>
      <c r="BQ343" s="10" t="str">
        <f t="shared" si="387"/>
        <v/>
      </c>
      <c r="BR343" s="11"/>
    </row>
    <row r="344" spans="1:70" ht="15" customHeight="1" x14ac:dyDescent="0.2">
      <c r="A344" s="72"/>
      <c r="B344" s="8"/>
      <c r="C344" s="9"/>
      <c r="D344" s="9" t="str">
        <f t="shared" si="388"/>
        <v/>
      </c>
      <c r="E344" s="9"/>
      <c r="F344" s="9" t="str">
        <f t="shared" si="389"/>
        <v/>
      </c>
      <c r="G344" s="9"/>
      <c r="H344" s="9" t="str">
        <f t="shared" si="390"/>
        <v/>
      </c>
      <c r="I344" s="13"/>
      <c r="J344" s="113" t="str">
        <f t="shared" si="397"/>
        <v/>
      </c>
      <c r="K344" s="34" t="str">
        <f t="shared" si="391"/>
        <v/>
      </c>
      <c r="L344" s="9" t="str">
        <f t="shared" si="392"/>
        <v/>
      </c>
      <c r="M344" s="10" t="str">
        <f t="shared" si="393"/>
        <v/>
      </c>
      <c r="N344" s="11"/>
      <c r="P344" s="72"/>
      <c r="Q344" s="9"/>
      <c r="R344" s="9" t="str">
        <f t="shared" si="401"/>
        <v/>
      </c>
      <c r="S344" s="9"/>
      <c r="T344" s="9" t="str">
        <f t="shared" si="402"/>
        <v/>
      </c>
      <c r="U344" s="9"/>
      <c r="V344" s="9" t="str">
        <f t="shared" si="403"/>
        <v/>
      </c>
      <c r="W344" s="13"/>
      <c r="X344" s="113" t="str">
        <f t="shared" si="404"/>
        <v/>
      </c>
      <c r="Y344" s="34" t="str">
        <f t="shared" si="405"/>
        <v/>
      </c>
      <c r="Z344" s="9" t="str">
        <f t="shared" si="406"/>
        <v/>
      </c>
      <c r="AA344" s="10" t="str">
        <f t="shared" si="407"/>
        <v/>
      </c>
      <c r="AB344" s="11"/>
      <c r="AD344" s="72"/>
      <c r="AE344" s="9"/>
      <c r="AF344" s="9" t="str">
        <f t="shared" si="408"/>
        <v/>
      </c>
      <c r="AG344" s="9"/>
      <c r="AH344" s="9" t="str">
        <f t="shared" si="409"/>
        <v/>
      </c>
      <c r="AI344" s="9"/>
      <c r="AJ344" s="9" t="str">
        <f t="shared" si="410"/>
        <v/>
      </c>
      <c r="AK344" s="13"/>
      <c r="AL344" s="113" t="str">
        <f t="shared" si="411"/>
        <v/>
      </c>
      <c r="AM344" s="34" t="str">
        <f t="shared" si="412"/>
        <v/>
      </c>
      <c r="AN344" s="9" t="str">
        <f t="shared" si="413"/>
        <v/>
      </c>
      <c r="AO344" s="10" t="str">
        <f t="shared" si="414"/>
        <v/>
      </c>
      <c r="AP344" s="11"/>
      <c r="AR344" s="72"/>
      <c r="AS344" s="9"/>
      <c r="AT344" s="9" t="str">
        <f t="shared" si="415"/>
        <v/>
      </c>
      <c r="AU344" s="9"/>
      <c r="AV344" s="9" t="str">
        <f t="shared" si="416"/>
        <v/>
      </c>
      <c r="AW344" s="9"/>
      <c r="AX344" s="9" t="str">
        <f t="shared" si="417"/>
        <v/>
      </c>
      <c r="AY344" s="13"/>
      <c r="AZ344" s="113" t="str">
        <f t="shared" si="418"/>
        <v/>
      </c>
      <c r="BA344" s="34" t="str">
        <f t="shared" si="419"/>
        <v/>
      </c>
      <c r="BB344" s="9" t="str">
        <f t="shared" si="420"/>
        <v/>
      </c>
      <c r="BC344" s="10" t="str">
        <f t="shared" si="421"/>
        <v/>
      </c>
      <c r="BD344" s="11"/>
      <c r="BF344" s="7"/>
      <c r="BG344" s="34"/>
      <c r="BH344" s="9" t="str">
        <f t="shared" si="395"/>
        <v/>
      </c>
      <c r="BI344" s="9"/>
      <c r="BJ344" s="9"/>
      <c r="BK344" s="9"/>
      <c r="BL344" s="9" t="str">
        <f t="shared" si="396"/>
        <v/>
      </c>
      <c r="BM344" s="9"/>
      <c r="BN344" s="9"/>
      <c r="BO344" s="9"/>
      <c r="BP344" s="9" t="str">
        <f t="shared" si="386"/>
        <v/>
      </c>
      <c r="BQ344" s="10" t="str">
        <f t="shared" si="387"/>
        <v/>
      </c>
      <c r="BR344" s="11"/>
    </row>
    <row r="345" spans="1:70" ht="15" customHeight="1" x14ac:dyDescent="0.2">
      <c r="A345" s="72"/>
      <c r="B345" s="8"/>
      <c r="C345" s="23"/>
      <c r="D345" s="9" t="str">
        <f t="shared" si="388"/>
        <v/>
      </c>
      <c r="E345" s="9"/>
      <c r="F345" s="9" t="str">
        <f t="shared" si="389"/>
        <v/>
      </c>
      <c r="G345" s="23"/>
      <c r="H345" s="9" t="str">
        <f t="shared" si="390"/>
        <v/>
      </c>
      <c r="I345" s="30"/>
      <c r="J345" s="113" t="str">
        <f t="shared" si="397"/>
        <v/>
      </c>
      <c r="K345" s="9" t="str">
        <f t="shared" si="391"/>
        <v/>
      </c>
      <c r="L345" s="9" t="str">
        <f t="shared" si="392"/>
        <v/>
      </c>
      <c r="M345" s="10" t="str">
        <f t="shared" si="393"/>
        <v/>
      </c>
      <c r="N345" s="11"/>
      <c r="P345" s="12"/>
      <c r="Q345" s="23"/>
      <c r="R345" s="9" t="str">
        <f t="shared" si="401"/>
        <v/>
      </c>
      <c r="S345" s="9"/>
      <c r="T345" s="9" t="str">
        <f t="shared" si="402"/>
        <v/>
      </c>
      <c r="U345" s="23"/>
      <c r="V345" s="9" t="str">
        <f t="shared" si="403"/>
        <v/>
      </c>
      <c r="W345" s="13"/>
      <c r="X345" s="113" t="str">
        <f t="shared" si="404"/>
        <v/>
      </c>
      <c r="Y345" s="9" t="str">
        <f t="shared" si="405"/>
        <v/>
      </c>
      <c r="Z345" s="9" t="str">
        <f t="shared" si="406"/>
        <v/>
      </c>
      <c r="AA345" s="10" t="str">
        <f t="shared" si="407"/>
        <v/>
      </c>
      <c r="AB345" s="11"/>
      <c r="AD345" s="12"/>
      <c r="AE345" s="23"/>
      <c r="AF345" s="9" t="str">
        <f t="shared" si="408"/>
        <v/>
      </c>
      <c r="AG345" s="9"/>
      <c r="AH345" s="9" t="str">
        <f t="shared" si="409"/>
        <v/>
      </c>
      <c r="AI345" s="23"/>
      <c r="AJ345" s="9" t="str">
        <f t="shared" si="410"/>
        <v/>
      </c>
      <c r="AK345" s="13"/>
      <c r="AL345" s="113" t="str">
        <f t="shared" si="411"/>
        <v/>
      </c>
      <c r="AM345" s="9" t="str">
        <f t="shared" si="412"/>
        <v/>
      </c>
      <c r="AN345" s="9" t="str">
        <f t="shared" si="413"/>
        <v/>
      </c>
      <c r="AO345" s="10" t="str">
        <f t="shared" si="414"/>
        <v/>
      </c>
      <c r="AP345" s="11"/>
      <c r="AR345" s="12"/>
      <c r="AS345" s="23"/>
      <c r="AT345" s="9" t="str">
        <f t="shared" si="415"/>
        <v/>
      </c>
      <c r="AU345" s="9"/>
      <c r="AV345" s="9" t="str">
        <f t="shared" si="416"/>
        <v/>
      </c>
      <c r="AW345" s="23"/>
      <c r="AX345" s="9" t="str">
        <f t="shared" si="417"/>
        <v/>
      </c>
      <c r="AY345" s="13"/>
      <c r="AZ345" s="113" t="str">
        <f t="shared" si="418"/>
        <v/>
      </c>
      <c r="BA345" s="9" t="str">
        <f t="shared" si="419"/>
        <v/>
      </c>
      <c r="BB345" s="9" t="str">
        <f t="shared" si="420"/>
        <v/>
      </c>
      <c r="BC345" s="10" t="str">
        <f t="shared" si="421"/>
        <v/>
      </c>
      <c r="BD345" s="11"/>
      <c r="BF345" s="7"/>
      <c r="BG345" s="34"/>
      <c r="BH345" s="9" t="str">
        <f t="shared" si="395"/>
        <v/>
      </c>
      <c r="BI345" s="9"/>
      <c r="BJ345" s="9"/>
      <c r="BK345" s="9"/>
      <c r="BL345" s="9" t="str">
        <f t="shared" si="396"/>
        <v/>
      </c>
      <c r="BM345" s="9"/>
      <c r="BN345" s="9"/>
      <c r="BO345" s="9"/>
      <c r="BP345" s="9" t="str">
        <f t="shared" si="386"/>
        <v/>
      </c>
      <c r="BQ345" s="10" t="str">
        <f t="shared" si="387"/>
        <v/>
      </c>
      <c r="BR345" s="11"/>
    </row>
    <row r="346" spans="1:70" ht="15" customHeight="1" thickBot="1" x14ac:dyDescent="0.25">
      <c r="A346" s="75"/>
      <c r="B346" s="67"/>
      <c r="C346" s="17"/>
      <c r="D346" s="37" t="str">
        <f t="shared" si="388"/>
        <v/>
      </c>
      <c r="E346" s="17"/>
      <c r="F346" s="17" t="str">
        <f t="shared" si="389"/>
        <v/>
      </c>
      <c r="G346" s="84"/>
      <c r="H346" s="19" t="str">
        <f t="shared" si="390"/>
        <v/>
      </c>
      <c r="I346" s="85"/>
      <c r="J346" s="115" t="str">
        <f t="shared" si="397"/>
        <v/>
      </c>
      <c r="K346" s="37" t="str">
        <f t="shared" si="391"/>
        <v/>
      </c>
      <c r="L346" s="17" t="str">
        <f t="shared" si="392"/>
        <v/>
      </c>
      <c r="M346" s="18" t="str">
        <f t="shared" si="393"/>
        <v/>
      </c>
      <c r="N346" s="11"/>
      <c r="P346" s="16"/>
      <c r="Q346" s="17"/>
      <c r="R346" s="37" t="str">
        <f t="shared" si="401"/>
        <v/>
      </c>
      <c r="S346" s="17"/>
      <c r="T346" s="17" t="str">
        <f t="shared" si="402"/>
        <v/>
      </c>
      <c r="U346" s="84"/>
      <c r="V346" s="17" t="str">
        <f t="shared" si="403"/>
        <v/>
      </c>
      <c r="W346" s="85"/>
      <c r="X346" s="114" t="str">
        <f t="shared" si="404"/>
        <v/>
      </c>
      <c r="Y346" s="37" t="str">
        <f t="shared" si="405"/>
        <v/>
      </c>
      <c r="Z346" s="17" t="str">
        <f t="shared" si="406"/>
        <v/>
      </c>
      <c r="AA346" s="18" t="str">
        <f t="shared" si="407"/>
        <v/>
      </c>
      <c r="AB346" s="11"/>
      <c r="AD346" s="16"/>
      <c r="AE346" s="17"/>
      <c r="AF346" s="37" t="str">
        <f t="shared" si="408"/>
        <v/>
      </c>
      <c r="AG346" s="17"/>
      <c r="AH346" s="17" t="str">
        <f t="shared" si="409"/>
        <v/>
      </c>
      <c r="AI346" s="84"/>
      <c r="AJ346" s="17" t="str">
        <f t="shared" si="410"/>
        <v/>
      </c>
      <c r="AK346" s="85"/>
      <c r="AL346" s="114" t="str">
        <f t="shared" si="411"/>
        <v/>
      </c>
      <c r="AM346" s="37" t="str">
        <f t="shared" si="412"/>
        <v/>
      </c>
      <c r="AN346" s="17" t="str">
        <f t="shared" si="413"/>
        <v/>
      </c>
      <c r="AO346" s="18" t="str">
        <f t="shared" si="414"/>
        <v/>
      </c>
      <c r="AP346" s="11"/>
      <c r="AR346" s="16"/>
      <c r="AS346" s="17"/>
      <c r="AT346" s="37" t="str">
        <f t="shared" si="415"/>
        <v/>
      </c>
      <c r="AU346" s="17"/>
      <c r="AV346" s="17" t="str">
        <f t="shared" si="416"/>
        <v/>
      </c>
      <c r="AW346" s="84"/>
      <c r="AX346" s="17" t="str">
        <f t="shared" si="417"/>
        <v/>
      </c>
      <c r="AY346" s="85"/>
      <c r="AZ346" s="114" t="str">
        <f t="shared" si="418"/>
        <v/>
      </c>
      <c r="BA346" s="37" t="str">
        <f t="shared" si="419"/>
        <v/>
      </c>
      <c r="BB346" s="17" t="str">
        <f t="shared" si="420"/>
        <v/>
      </c>
      <c r="BC346" s="18" t="str">
        <f t="shared" si="421"/>
        <v/>
      </c>
      <c r="BD346" s="11"/>
      <c r="BF346" s="7"/>
      <c r="BG346" s="34"/>
      <c r="BH346" s="9" t="str">
        <f t="shared" si="395"/>
        <v/>
      </c>
      <c r="BI346" s="9"/>
      <c r="BJ346" s="9"/>
      <c r="BK346" s="9"/>
      <c r="BL346" s="9" t="str">
        <f t="shared" si="396"/>
        <v/>
      </c>
      <c r="BM346" s="9"/>
      <c r="BN346" s="9"/>
      <c r="BO346" s="9"/>
      <c r="BP346" s="9" t="str">
        <f t="shared" si="386"/>
        <v/>
      </c>
      <c r="BQ346" s="10" t="str">
        <f t="shared" si="387"/>
        <v/>
      </c>
      <c r="BR346" s="11"/>
    </row>
    <row r="347" spans="1:70" ht="15" customHeight="1" thickTop="1" x14ac:dyDescent="0.2">
      <c r="A347" s="71"/>
      <c r="B347" s="61">
        <f>SUM(D347:D350)+SUM(R347:R350)+SUM(AF347:AF350)+SUM(AT347:AT350)</f>
        <v>0</v>
      </c>
      <c r="C347" s="33"/>
      <c r="D347" s="33" t="str">
        <f t="shared" si="388"/>
        <v/>
      </c>
      <c r="E347" s="33"/>
      <c r="F347" s="20" t="str">
        <f t="shared" si="389"/>
        <v/>
      </c>
      <c r="G347" s="33"/>
      <c r="H347" s="33" t="str">
        <f t="shared" si="390"/>
        <v/>
      </c>
      <c r="I347" s="33"/>
      <c r="J347" s="112" t="str">
        <f t="shared" si="397"/>
        <v/>
      </c>
      <c r="K347" s="40" t="str">
        <f t="shared" si="391"/>
        <v/>
      </c>
      <c r="L347" s="20" t="str">
        <f t="shared" si="392"/>
        <v/>
      </c>
      <c r="M347" s="21" t="str">
        <f t="shared" si="393"/>
        <v/>
      </c>
      <c r="N347" s="11"/>
      <c r="P347" s="47" t="str">
        <f>IF($A$421="","",$A$421)</f>
        <v/>
      </c>
      <c r="Q347" s="33"/>
      <c r="R347" s="33" t="str">
        <f t="shared" si="401"/>
        <v/>
      </c>
      <c r="S347" s="33"/>
      <c r="T347" s="20" t="str">
        <f t="shared" si="402"/>
        <v/>
      </c>
      <c r="U347" s="33"/>
      <c r="V347" s="33" t="str">
        <f t="shared" si="403"/>
        <v/>
      </c>
      <c r="W347" s="33"/>
      <c r="X347" s="112" t="str">
        <f t="shared" si="404"/>
        <v/>
      </c>
      <c r="Y347" s="40" t="str">
        <f t="shared" si="405"/>
        <v/>
      </c>
      <c r="Z347" s="20" t="str">
        <f t="shared" si="406"/>
        <v/>
      </c>
      <c r="AA347" s="21" t="str">
        <f t="shared" si="407"/>
        <v/>
      </c>
      <c r="AB347" s="11"/>
      <c r="AD347" s="47" t="str">
        <f>IF($A$421="","",$A$421)</f>
        <v/>
      </c>
      <c r="AE347" s="33"/>
      <c r="AF347" s="33" t="str">
        <f t="shared" si="408"/>
        <v/>
      </c>
      <c r="AG347" s="33"/>
      <c r="AH347" s="20" t="str">
        <f t="shared" si="409"/>
        <v/>
      </c>
      <c r="AI347" s="33"/>
      <c r="AJ347" s="33" t="str">
        <f t="shared" si="410"/>
        <v/>
      </c>
      <c r="AK347" s="33"/>
      <c r="AL347" s="112" t="str">
        <f t="shared" si="411"/>
        <v/>
      </c>
      <c r="AM347" s="40" t="str">
        <f t="shared" si="412"/>
        <v/>
      </c>
      <c r="AN347" s="20" t="str">
        <f t="shared" si="413"/>
        <v/>
      </c>
      <c r="AO347" s="21" t="str">
        <f t="shared" si="414"/>
        <v/>
      </c>
      <c r="AP347" s="11"/>
      <c r="AR347" s="47" t="str">
        <f>IF($A$421="","",$A$421)</f>
        <v/>
      </c>
      <c r="AS347" s="33"/>
      <c r="AT347" s="33" t="str">
        <f t="shared" si="415"/>
        <v/>
      </c>
      <c r="AU347" s="33"/>
      <c r="AV347" s="20" t="str">
        <f t="shared" si="416"/>
        <v/>
      </c>
      <c r="AW347" s="33"/>
      <c r="AX347" s="33" t="str">
        <f t="shared" si="417"/>
        <v/>
      </c>
      <c r="AY347" s="33"/>
      <c r="AZ347" s="112" t="str">
        <f t="shared" si="418"/>
        <v/>
      </c>
      <c r="BA347" s="40" t="str">
        <f t="shared" si="419"/>
        <v/>
      </c>
      <c r="BB347" s="20" t="str">
        <f t="shared" si="420"/>
        <v/>
      </c>
      <c r="BC347" s="21" t="str">
        <f t="shared" si="421"/>
        <v/>
      </c>
      <c r="BD347" s="11"/>
      <c r="BF347" s="7"/>
      <c r="BG347" s="34"/>
      <c r="BH347" s="9"/>
      <c r="BI347" s="9"/>
      <c r="BJ347" s="9"/>
      <c r="BK347" s="9"/>
      <c r="BL347" s="9"/>
      <c r="BM347" s="9"/>
      <c r="BN347" s="9"/>
      <c r="BO347" s="9"/>
      <c r="BP347" s="9"/>
      <c r="BQ347" s="10"/>
      <c r="BR347" s="11"/>
    </row>
    <row r="348" spans="1:70" ht="15" customHeight="1" x14ac:dyDescent="0.2">
      <c r="A348" s="72"/>
      <c r="B348" s="8"/>
      <c r="C348" s="9"/>
      <c r="D348" s="9" t="str">
        <f t="shared" si="388"/>
        <v/>
      </c>
      <c r="E348" s="9"/>
      <c r="F348" s="9" t="str">
        <f t="shared" si="389"/>
        <v/>
      </c>
      <c r="G348" s="9"/>
      <c r="H348" s="9" t="str">
        <f t="shared" si="390"/>
        <v/>
      </c>
      <c r="I348" s="9"/>
      <c r="J348" s="113" t="str">
        <f t="shared" si="397"/>
        <v/>
      </c>
      <c r="K348" s="34" t="str">
        <f t="shared" si="391"/>
        <v/>
      </c>
      <c r="L348" s="9" t="str">
        <f t="shared" si="392"/>
        <v/>
      </c>
      <c r="M348" s="10" t="str">
        <f t="shared" si="393"/>
        <v/>
      </c>
      <c r="N348" s="11"/>
      <c r="P348" s="12"/>
      <c r="Q348" s="9"/>
      <c r="R348" s="9" t="str">
        <f t="shared" si="401"/>
        <v/>
      </c>
      <c r="S348" s="9"/>
      <c r="T348" s="9" t="str">
        <f t="shared" si="402"/>
        <v/>
      </c>
      <c r="U348" s="9"/>
      <c r="V348" s="9" t="str">
        <f t="shared" si="403"/>
        <v/>
      </c>
      <c r="W348" s="9"/>
      <c r="X348" s="113" t="str">
        <f t="shared" si="404"/>
        <v/>
      </c>
      <c r="Y348" s="34" t="str">
        <f t="shared" si="405"/>
        <v/>
      </c>
      <c r="Z348" s="9" t="str">
        <f t="shared" si="406"/>
        <v/>
      </c>
      <c r="AA348" s="10" t="str">
        <f t="shared" si="407"/>
        <v/>
      </c>
      <c r="AB348" s="11"/>
      <c r="AD348" s="12"/>
      <c r="AE348" s="9"/>
      <c r="AF348" s="9" t="str">
        <f t="shared" si="408"/>
        <v/>
      </c>
      <c r="AG348" s="9"/>
      <c r="AH348" s="9" t="str">
        <f t="shared" si="409"/>
        <v/>
      </c>
      <c r="AI348" s="9"/>
      <c r="AJ348" s="9" t="str">
        <f t="shared" si="410"/>
        <v/>
      </c>
      <c r="AK348" s="9"/>
      <c r="AL348" s="113" t="str">
        <f t="shared" si="411"/>
        <v/>
      </c>
      <c r="AM348" s="34" t="str">
        <f t="shared" si="412"/>
        <v/>
      </c>
      <c r="AN348" s="9" t="str">
        <f t="shared" si="413"/>
        <v/>
      </c>
      <c r="AO348" s="10" t="str">
        <f t="shared" si="414"/>
        <v/>
      </c>
      <c r="AP348" s="11"/>
      <c r="AR348" s="12"/>
      <c r="AS348" s="9"/>
      <c r="AT348" s="9" t="str">
        <f t="shared" si="415"/>
        <v/>
      </c>
      <c r="AU348" s="9"/>
      <c r="AV348" s="9" t="str">
        <f t="shared" si="416"/>
        <v/>
      </c>
      <c r="AW348" s="9"/>
      <c r="AX348" s="9" t="str">
        <f t="shared" si="417"/>
        <v/>
      </c>
      <c r="AY348" s="9"/>
      <c r="AZ348" s="113" t="str">
        <f t="shared" si="418"/>
        <v/>
      </c>
      <c r="BA348" s="34" t="str">
        <f t="shared" si="419"/>
        <v/>
      </c>
      <c r="BB348" s="9" t="str">
        <f t="shared" si="420"/>
        <v/>
      </c>
      <c r="BC348" s="10" t="str">
        <f t="shared" si="421"/>
        <v/>
      </c>
      <c r="BD348" s="11"/>
      <c r="BF348" s="7"/>
      <c r="BG348" s="34"/>
      <c r="BH348" s="9" t="str">
        <f>IF(BG348="","",BG348-#REF!)</f>
        <v/>
      </c>
      <c r="BI348" s="9"/>
      <c r="BJ348" s="9"/>
      <c r="BK348" s="9"/>
      <c r="BL348" s="9" t="str">
        <f>IF(BK348="","",#REF!+#REF!-BK348)</f>
        <v/>
      </c>
      <c r="BM348" s="9"/>
      <c r="BN348" s="9"/>
      <c r="BO348" s="9"/>
      <c r="BP348" s="9" t="str">
        <f>IF(BO348="","",BL348*BO348)</f>
        <v/>
      </c>
      <c r="BQ348" s="10" t="str">
        <f>IF(BP348="","",BP348/(BH348*100))</f>
        <v/>
      </c>
      <c r="BR348" s="11"/>
    </row>
    <row r="349" spans="1:70" ht="15" customHeight="1" x14ac:dyDescent="0.2">
      <c r="A349" s="72"/>
      <c r="B349" s="8"/>
      <c r="C349" s="9"/>
      <c r="D349" s="9" t="str">
        <f t="shared" si="388"/>
        <v/>
      </c>
      <c r="E349" s="9"/>
      <c r="F349" s="9" t="str">
        <f t="shared" si="389"/>
        <v/>
      </c>
      <c r="G349" s="9"/>
      <c r="H349" s="9" t="str">
        <f t="shared" si="390"/>
        <v/>
      </c>
      <c r="I349" s="9"/>
      <c r="J349" s="113" t="str">
        <f t="shared" si="397"/>
        <v/>
      </c>
      <c r="K349" s="9" t="str">
        <f t="shared" si="391"/>
        <v/>
      </c>
      <c r="L349" s="9" t="str">
        <f t="shared" si="392"/>
        <v/>
      </c>
      <c r="M349" s="10" t="str">
        <f t="shared" si="393"/>
        <v/>
      </c>
      <c r="N349" s="11"/>
      <c r="P349" s="12"/>
      <c r="Q349" s="9"/>
      <c r="R349" s="9" t="str">
        <f t="shared" si="401"/>
        <v/>
      </c>
      <c r="S349" s="9"/>
      <c r="T349" s="9" t="str">
        <f t="shared" si="402"/>
        <v/>
      </c>
      <c r="U349" s="9"/>
      <c r="V349" s="9" t="str">
        <f t="shared" si="403"/>
        <v/>
      </c>
      <c r="W349" s="9"/>
      <c r="X349" s="113" t="str">
        <f t="shared" si="404"/>
        <v/>
      </c>
      <c r="Y349" s="9" t="str">
        <f t="shared" si="405"/>
        <v/>
      </c>
      <c r="Z349" s="9" t="str">
        <f t="shared" si="406"/>
        <v/>
      </c>
      <c r="AA349" s="10" t="str">
        <f t="shared" si="407"/>
        <v/>
      </c>
      <c r="AB349" s="11"/>
      <c r="AD349" s="12"/>
      <c r="AE349" s="9"/>
      <c r="AF349" s="9" t="str">
        <f t="shared" si="408"/>
        <v/>
      </c>
      <c r="AG349" s="9"/>
      <c r="AH349" s="9" t="str">
        <f t="shared" si="409"/>
        <v/>
      </c>
      <c r="AI349" s="9"/>
      <c r="AJ349" s="9" t="str">
        <f t="shared" si="410"/>
        <v/>
      </c>
      <c r="AK349" s="9"/>
      <c r="AL349" s="113" t="str">
        <f t="shared" si="411"/>
        <v/>
      </c>
      <c r="AM349" s="9" t="str">
        <f t="shared" si="412"/>
        <v/>
      </c>
      <c r="AN349" s="9" t="str">
        <f t="shared" si="413"/>
        <v/>
      </c>
      <c r="AO349" s="10" t="str">
        <f t="shared" si="414"/>
        <v/>
      </c>
      <c r="AP349" s="11"/>
      <c r="AR349" s="12"/>
      <c r="AS349" s="9"/>
      <c r="AT349" s="9" t="str">
        <f t="shared" si="415"/>
        <v/>
      </c>
      <c r="AU349" s="9"/>
      <c r="AV349" s="9" t="str">
        <f t="shared" si="416"/>
        <v/>
      </c>
      <c r="AW349" s="9"/>
      <c r="AX349" s="9" t="str">
        <f t="shared" si="417"/>
        <v/>
      </c>
      <c r="AY349" s="9"/>
      <c r="AZ349" s="113" t="str">
        <f t="shared" si="418"/>
        <v/>
      </c>
      <c r="BA349" s="9" t="str">
        <f t="shared" si="419"/>
        <v/>
      </c>
      <c r="BB349" s="9" t="str">
        <f t="shared" si="420"/>
        <v/>
      </c>
      <c r="BC349" s="10" t="str">
        <f t="shared" si="421"/>
        <v/>
      </c>
      <c r="BD349" s="11"/>
      <c r="BF349" s="7"/>
      <c r="BG349" s="34"/>
      <c r="BH349" s="9" t="str">
        <f>IF(BG349="","",BG349-BG348)</f>
        <v/>
      </c>
      <c r="BI349" s="9"/>
      <c r="BJ349" s="9"/>
      <c r="BK349" s="9"/>
      <c r="BL349" s="9" t="str">
        <f>IF(BK349="","",BK348+BM348-BK349)</f>
        <v/>
      </c>
      <c r="BM349" s="9"/>
      <c r="BN349" s="9"/>
      <c r="BO349" s="9"/>
      <c r="BP349" s="9" t="str">
        <f>IF(BO349="","",BL349*BO349)</f>
        <v/>
      </c>
      <c r="BQ349" s="10" t="str">
        <f>IF(BP349="","",BP349/(BH349*100))</f>
        <v/>
      </c>
      <c r="BR349" s="11"/>
    </row>
    <row r="350" spans="1:70" ht="15" customHeight="1" thickBot="1" x14ac:dyDescent="0.25">
      <c r="A350" s="75"/>
      <c r="B350" s="67"/>
      <c r="C350" s="17"/>
      <c r="D350" s="17" t="str">
        <f t="shared" si="388"/>
        <v/>
      </c>
      <c r="E350" s="17"/>
      <c r="F350" s="17" t="str">
        <f t="shared" si="389"/>
        <v/>
      </c>
      <c r="G350" s="17"/>
      <c r="H350" s="17"/>
      <c r="I350" s="17"/>
      <c r="J350" s="114" t="str">
        <f t="shared" si="397"/>
        <v/>
      </c>
      <c r="K350" s="37" t="str">
        <f t="shared" si="391"/>
        <v/>
      </c>
      <c r="L350" s="17" t="str">
        <f t="shared" si="392"/>
        <v/>
      </c>
      <c r="M350" s="18" t="str">
        <f t="shared" si="393"/>
        <v/>
      </c>
      <c r="N350" s="11"/>
      <c r="P350" s="16"/>
      <c r="Q350" s="17"/>
      <c r="R350" s="17" t="str">
        <f t="shared" si="401"/>
        <v/>
      </c>
      <c r="S350" s="17"/>
      <c r="T350" s="17" t="str">
        <f t="shared" si="402"/>
        <v/>
      </c>
      <c r="U350" s="17"/>
      <c r="V350" s="17" t="str">
        <f t="shared" si="403"/>
        <v/>
      </c>
      <c r="W350" s="17"/>
      <c r="X350" s="114" t="str">
        <f t="shared" si="404"/>
        <v/>
      </c>
      <c r="Y350" s="37" t="str">
        <f t="shared" si="405"/>
        <v/>
      </c>
      <c r="Z350" s="17" t="str">
        <f t="shared" si="406"/>
        <v/>
      </c>
      <c r="AA350" s="18" t="str">
        <f t="shared" si="407"/>
        <v/>
      </c>
      <c r="AB350" s="11"/>
      <c r="AD350" s="16"/>
      <c r="AE350" s="17"/>
      <c r="AF350" s="17" t="str">
        <f t="shared" si="408"/>
        <v/>
      </c>
      <c r="AG350" s="17"/>
      <c r="AH350" s="17" t="str">
        <f t="shared" si="409"/>
        <v/>
      </c>
      <c r="AI350" s="17"/>
      <c r="AJ350" s="17" t="str">
        <f t="shared" si="410"/>
        <v/>
      </c>
      <c r="AK350" s="17"/>
      <c r="AL350" s="114" t="str">
        <f t="shared" si="411"/>
        <v/>
      </c>
      <c r="AM350" s="37" t="str">
        <f t="shared" si="412"/>
        <v/>
      </c>
      <c r="AN350" s="17" t="str">
        <f t="shared" si="413"/>
        <v/>
      </c>
      <c r="AO350" s="18" t="str">
        <f t="shared" si="414"/>
        <v/>
      </c>
      <c r="AP350" s="11"/>
      <c r="AR350" s="16"/>
      <c r="AS350" s="17"/>
      <c r="AT350" s="17" t="str">
        <f t="shared" si="415"/>
        <v/>
      </c>
      <c r="AU350" s="17"/>
      <c r="AV350" s="17" t="str">
        <f t="shared" si="416"/>
        <v/>
      </c>
      <c r="AW350" s="17"/>
      <c r="AX350" s="17" t="str">
        <f t="shared" si="417"/>
        <v/>
      </c>
      <c r="AY350" s="17"/>
      <c r="AZ350" s="114" t="str">
        <f t="shared" si="418"/>
        <v/>
      </c>
      <c r="BA350" s="37" t="str">
        <f t="shared" si="419"/>
        <v/>
      </c>
      <c r="BB350" s="17" t="str">
        <f t="shared" si="420"/>
        <v/>
      </c>
      <c r="BC350" s="18" t="str">
        <f t="shared" si="421"/>
        <v/>
      </c>
      <c r="BD350" s="11"/>
      <c r="BF350" s="7"/>
      <c r="BG350" s="34"/>
      <c r="BH350" s="9" t="str">
        <f>IF(BG350="","",BG350-BG349)</f>
        <v/>
      </c>
      <c r="BI350" s="9"/>
      <c r="BJ350" s="9"/>
      <c r="BK350" s="9"/>
      <c r="BL350" s="9" t="str">
        <f>IF(BK350="","",BK349+BM349-BK350)</f>
        <v/>
      </c>
      <c r="BM350" s="9"/>
      <c r="BN350" s="9"/>
      <c r="BO350" s="9"/>
      <c r="BP350" s="9" t="str">
        <f>IF(BO350="","",BL350*BO350)</f>
        <v/>
      </c>
      <c r="BQ350" s="10" t="str">
        <f>IF(BP350="","",BP350/(BH350*100))</f>
        <v/>
      </c>
      <c r="BR350" s="11"/>
    </row>
    <row r="351" spans="1:70" ht="15" customHeight="1" thickTop="1" x14ac:dyDescent="0.2">
      <c r="A351" s="71"/>
      <c r="B351" s="61">
        <f>SUM(D351:D354)+SUM(R351:R354)+SUM(AF351:AF354)+SUM(AT351:AT354)</f>
        <v>0</v>
      </c>
      <c r="C351" s="33"/>
      <c r="D351" s="33" t="str">
        <f t="shared" si="388"/>
        <v/>
      </c>
      <c r="E351" s="33"/>
      <c r="F351" s="33" t="str">
        <f t="shared" si="389"/>
        <v/>
      </c>
      <c r="G351" s="33"/>
      <c r="H351" s="33" t="str">
        <f>IF(G351="","",G347+I347-G351)</f>
        <v/>
      </c>
      <c r="I351" s="33"/>
      <c r="J351" s="112" t="str">
        <f t="shared" si="397"/>
        <v/>
      </c>
      <c r="K351" s="33" t="str">
        <f t="shared" si="391"/>
        <v/>
      </c>
      <c r="L351" s="33" t="str">
        <f t="shared" si="392"/>
        <v/>
      </c>
      <c r="M351" s="33" t="str">
        <f t="shared" si="393"/>
        <v/>
      </c>
      <c r="N351" s="11"/>
      <c r="P351" s="47" t="str">
        <f>IF($A$425="","",$A$425)</f>
        <v/>
      </c>
      <c r="Q351" s="33"/>
      <c r="R351" s="33" t="str">
        <f t="shared" si="401"/>
        <v/>
      </c>
      <c r="S351" s="33"/>
      <c r="T351" s="33" t="str">
        <f t="shared" si="402"/>
        <v/>
      </c>
      <c r="U351" s="33"/>
      <c r="V351" s="33" t="str">
        <f t="shared" si="403"/>
        <v/>
      </c>
      <c r="W351" s="33"/>
      <c r="X351" s="112" t="str">
        <f t="shared" si="404"/>
        <v/>
      </c>
      <c r="Y351" s="33" t="str">
        <f t="shared" si="405"/>
        <v/>
      </c>
      <c r="Z351" s="33" t="str">
        <f t="shared" si="406"/>
        <v/>
      </c>
      <c r="AA351" s="33" t="str">
        <f t="shared" si="407"/>
        <v/>
      </c>
      <c r="AB351" s="11"/>
      <c r="AD351" s="47" t="str">
        <f>IF($A$425="","",$A$425)</f>
        <v/>
      </c>
      <c r="AE351" s="33"/>
      <c r="AF351" s="33" t="str">
        <f t="shared" si="408"/>
        <v/>
      </c>
      <c r="AG351" s="33"/>
      <c r="AH351" s="33" t="str">
        <f t="shared" si="409"/>
        <v/>
      </c>
      <c r="AI351" s="33"/>
      <c r="AJ351" s="33" t="str">
        <f t="shared" si="410"/>
        <v/>
      </c>
      <c r="AK351" s="33"/>
      <c r="AL351" s="112" t="str">
        <f t="shared" si="411"/>
        <v/>
      </c>
      <c r="AM351" s="33" t="str">
        <f t="shared" si="412"/>
        <v/>
      </c>
      <c r="AN351" s="33" t="str">
        <f t="shared" si="413"/>
        <v/>
      </c>
      <c r="AO351" s="33" t="str">
        <f t="shared" si="414"/>
        <v/>
      </c>
      <c r="AP351" s="11"/>
      <c r="AR351" s="47" t="str">
        <f>IF($A$425="","",$A$425)</f>
        <v/>
      </c>
      <c r="AS351" s="33"/>
      <c r="AT351" s="33" t="str">
        <f t="shared" si="415"/>
        <v/>
      </c>
      <c r="AU351" s="33"/>
      <c r="AV351" s="33" t="str">
        <f t="shared" si="416"/>
        <v/>
      </c>
      <c r="AW351" s="33"/>
      <c r="AX351" s="33" t="str">
        <f t="shared" si="417"/>
        <v/>
      </c>
      <c r="AY351" s="33"/>
      <c r="AZ351" s="112" t="str">
        <f t="shared" si="418"/>
        <v/>
      </c>
      <c r="BA351" s="33" t="str">
        <f t="shared" si="419"/>
        <v/>
      </c>
      <c r="BB351" s="33" t="str">
        <f t="shared" si="420"/>
        <v/>
      </c>
      <c r="BC351" s="33" t="str">
        <f t="shared" si="421"/>
        <v/>
      </c>
      <c r="BD351" s="11"/>
      <c r="BF351" s="7"/>
      <c r="BG351" s="34"/>
      <c r="BH351" s="9"/>
      <c r="BI351" s="9"/>
      <c r="BJ351" s="9"/>
      <c r="BK351" s="9"/>
      <c r="BL351" s="9" t="str">
        <f>IF(BK351="","",BK350+BM350-BK351)</f>
        <v/>
      </c>
      <c r="BM351" s="9"/>
      <c r="BN351" s="9"/>
      <c r="BO351" s="9"/>
      <c r="BP351" s="9" t="str">
        <f>IF(BO351="","",BL351*BO351)</f>
        <v/>
      </c>
      <c r="BQ351" s="10" t="str">
        <f>IF(BP351="","",BP351/(BH351*100))</f>
        <v/>
      </c>
      <c r="BR351" s="11"/>
    </row>
    <row r="352" spans="1:70" ht="15" customHeight="1" x14ac:dyDescent="0.2">
      <c r="A352" s="71"/>
      <c r="B352" s="61"/>
      <c r="C352" s="33"/>
      <c r="D352" s="33" t="str">
        <f t="shared" si="388"/>
        <v/>
      </c>
      <c r="E352" s="33"/>
      <c r="F352" s="33" t="str">
        <f t="shared" si="389"/>
        <v/>
      </c>
      <c r="G352" s="33"/>
      <c r="H352" s="33" t="str">
        <f>IF(G352="","",G348+I348-G352)</f>
        <v/>
      </c>
      <c r="I352" s="33"/>
      <c r="J352" s="112" t="str">
        <f t="shared" si="397"/>
        <v/>
      </c>
      <c r="K352" s="33" t="str">
        <f t="shared" si="391"/>
        <v/>
      </c>
      <c r="L352" s="33" t="str">
        <f t="shared" si="392"/>
        <v/>
      </c>
      <c r="M352" s="33" t="str">
        <f t="shared" si="393"/>
        <v/>
      </c>
      <c r="N352" s="11"/>
      <c r="P352" s="42"/>
      <c r="Q352" s="33"/>
      <c r="R352" s="33" t="str">
        <f t="shared" si="401"/>
        <v/>
      </c>
      <c r="S352" s="33"/>
      <c r="T352" s="33" t="str">
        <f t="shared" si="402"/>
        <v/>
      </c>
      <c r="U352" s="33"/>
      <c r="V352" s="33" t="str">
        <f t="shared" si="403"/>
        <v/>
      </c>
      <c r="W352" s="33"/>
      <c r="X352" s="112" t="str">
        <f t="shared" si="404"/>
        <v/>
      </c>
      <c r="Y352" s="33" t="str">
        <f t="shared" si="405"/>
        <v/>
      </c>
      <c r="Z352" s="33" t="str">
        <f t="shared" si="406"/>
        <v/>
      </c>
      <c r="AA352" s="33" t="str">
        <f t="shared" si="407"/>
        <v/>
      </c>
      <c r="AB352" s="11"/>
      <c r="AD352" s="42"/>
      <c r="AE352" s="33"/>
      <c r="AF352" s="33" t="str">
        <f t="shared" si="408"/>
        <v/>
      </c>
      <c r="AG352" s="33"/>
      <c r="AH352" s="33" t="str">
        <f t="shared" si="409"/>
        <v/>
      </c>
      <c r="AI352" s="33"/>
      <c r="AJ352" s="33" t="str">
        <f t="shared" si="410"/>
        <v/>
      </c>
      <c r="AK352" s="33"/>
      <c r="AL352" s="112" t="str">
        <f t="shared" si="411"/>
        <v/>
      </c>
      <c r="AM352" s="33" t="str">
        <f t="shared" si="412"/>
        <v/>
      </c>
      <c r="AN352" s="33" t="str">
        <f t="shared" si="413"/>
        <v/>
      </c>
      <c r="AO352" s="33" t="str">
        <f t="shared" si="414"/>
        <v/>
      </c>
      <c r="AP352" s="11"/>
      <c r="AR352" s="42"/>
      <c r="AS352" s="33"/>
      <c r="AT352" s="33" t="str">
        <f t="shared" si="415"/>
        <v/>
      </c>
      <c r="AU352" s="33"/>
      <c r="AV352" s="33" t="str">
        <f t="shared" si="416"/>
        <v/>
      </c>
      <c r="AW352" s="33"/>
      <c r="AX352" s="33" t="str">
        <f t="shared" si="417"/>
        <v/>
      </c>
      <c r="AY352" s="33"/>
      <c r="AZ352" s="112" t="str">
        <f t="shared" si="418"/>
        <v/>
      </c>
      <c r="BA352" s="33" t="str">
        <f t="shared" si="419"/>
        <v/>
      </c>
      <c r="BB352" s="33" t="str">
        <f t="shared" si="420"/>
        <v/>
      </c>
      <c r="BC352" s="33" t="str">
        <f t="shared" si="421"/>
        <v/>
      </c>
      <c r="BD352" s="11"/>
      <c r="BF352" s="7"/>
      <c r="BG352" s="34"/>
      <c r="BH352" s="9"/>
      <c r="BI352" s="9"/>
      <c r="BJ352" s="9"/>
      <c r="BK352" s="9"/>
      <c r="BL352" s="9"/>
      <c r="BM352" s="9"/>
      <c r="BN352" s="9"/>
      <c r="BO352" s="9"/>
      <c r="BP352" s="9"/>
      <c r="BQ352" s="10"/>
      <c r="BR352" s="11"/>
    </row>
    <row r="353" spans="1:70" ht="15" customHeight="1" x14ac:dyDescent="0.2">
      <c r="A353" s="4"/>
      <c r="B353" s="64"/>
      <c r="C353" s="38"/>
      <c r="D353" s="38" t="str">
        <f t="shared" si="388"/>
        <v/>
      </c>
      <c r="E353" s="38"/>
      <c r="F353" s="38" t="str">
        <f t="shared" si="389"/>
        <v/>
      </c>
      <c r="G353" s="38"/>
      <c r="H353" s="38" t="str">
        <f>IF(G353="","",G349+I349-G353)</f>
        <v/>
      </c>
      <c r="I353" s="38"/>
      <c r="J353" s="116" t="str">
        <f t="shared" si="397"/>
        <v/>
      </c>
      <c r="K353" s="38" t="str">
        <f t="shared" si="391"/>
        <v/>
      </c>
      <c r="L353" s="38" t="str">
        <f t="shared" si="392"/>
        <v/>
      </c>
      <c r="M353" s="38" t="str">
        <f t="shared" si="393"/>
        <v/>
      </c>
      <c r="N353" s="26"/>
      <c r="P353" s="53"/>
      <c r="Q353" s="38"/>
      <c r="R353" s="38" t="str">
        <f t="shared" si="401"/>
        <v/>
      </c>
      <c r="S353" s="38"/>
      <c r="T353" s="38" t="str">
        <f t="shared" si="402"/>
        <v/>
      </c>
      <c r="U353" s="38"/>
      <c r="V353" s="38" t="str">
        <f t="shared" si="403"/>
        <v/>
      </c>
      <c r="W353" s="38"/>
      <c r="X353" s="116" t="str">
        <f t="shared" si="404"/>
        <v/>
      </c>
      <c r="Y353" s="38" t="str">
        <f t="shared" si="405"/>
        <v/>
      </c>
      <c r="Z353" s="38" t="str">
        <f t="shared" si="406"/>
        <v/>
      </c>
      <c r="AA353" s="38" t="str">
        <f t="shared" si="407"/>
        <v/>
      </c>
      <c r="AB353" s="26"/>
      <c r="AD353" s="53"/>
      <c r="AE353" s="38"/>
      <c r="AF353" s="38" t="str">
        <f t="shared" si="408"/>
        <v/>
      </c>
      <c r="AG353" s="38"/>
      <c r="AH353" s="38" t="str">
        <f t="shared" si="409"/>
        <v/>
      </c>
      <c r="AI353" s="38"/>
      <c r="AJ353" s="38" t="str">
        <f t="shared" si="410"/>
        <v/>
      </c>
      <c r="AK353" s="38"/>
      <c r="AL353" s="116" t="str">
        <f t="shared" si="411"/>
        <v/>
      </c>
      <c r="AM353" s="38" t="str">
        <f t="shared" si="412"/>
        <v/>
      </c>
      <c r="AN353" s="38" t="str">
        <f t="shared" si="413"/>
        <v/>
      </c>
      <c r="AO353" s="38" t="str">
        <f t="shared" si="414"/>
        <v/>
      </c>
      <c r="AP353" s="26"/>
      <c r="AR353" s="53"/>
      <c r="AS353" s="38"/>
      <c r="AT353" s="38" t="str">
        <f t="shared" si="415"/>
        <v/>
      </c>
      <c r="AU353" s="38"/>
      <c r="AV353" s="38" t="str">
        <f t="shared" si="416"/>
        <v/>
      </c>
      <c r="AW353" s="38"/>
      <c r="AX353" s="38" t="str">
        <f t="shared" si="417"/>
        <v/>
      </c>
      <c r="AY353" s="38"/>
      <c r="AZ353" s="116" t="str">
        <f t="shared" si="418"/>
        <v/>
      </c>
      <c r="BA353" s="38" t="str">
        <f t="shared" si="419"/>
        <v/>
      </c>
      <c r="BB353" s="38" t="str">
        <f t="shared" si="420"/>
        <v/>
      </c>
      <c r="BC353" s="38" t="str">
        <f t="shared" si="421"/>
        <v/>
      </c>
      <c r="BD353" s="26"/>
      <c r="BF353" s="7"/>
      <c r="BG353" s="34"/>
      <c r="BH353" s="9"/>
      <c r="BI353" s="9"/>
      <c r="BJ353" s="9"/>
      <c r="BK353" s="9"/>
      <c r="BL353" s="9"/>
      <c r="BM353" s="9"/>
      <c r="BN353" s="9"/>
      <c r="BO353" s="9"/>
      <c r="BP353" s="9"/>
      <c r="BQ353" s="10"/>
      <c r="BR353" s="11"/>
    </row>
    <row r="354" spans="1:70" ht="15" customHeight="1" thickBot="1" x14ac:dyDescent="0.25">
      <c r="A354" s="58"/>
      <c r="B354" s="65"/>
      <c r="C354" s="36"/>
      <c r="D354" s="36" t="str">
        <f t="shared" si="388"/>
        <v/>
      </c>
      <c r="E354" s="36"/>
      <c r="F354" s="36" t="str">
        <f t="shared" si="389"/>
        <v/>
      </c>
      <c r="G354" s="36"/>
      <c r="H354" s="36" t="str">
        <f>IF(G354="","",G350+I350-G354)</f>
        <v/>
      </c>
      <c r="I354" s="36"/>
      <c r="J354" s="117" t="str">
        <f t="shared" si="397"/>
        <v/>
      </c>
      <c r="K354" s="36" t="str">
        <f t="shared" si="391"/>
        <v/>
      </c>
      <c r="L354" s="36" t="str">
        <f t="shared" si="392"/>
        <v/>
      </c>
      <c r="M354" s="36" t="str">
        <f t="shared" si="393"/>
        <v/>
      </c>
      <c r="N354" s="52"/>
      <c r="P354" s="51"/>
      <c r="Q354" s="36"/>
      <c r="R354" s="36" t="str">
        <f t="shared" si="401"/>
        <v/>
      </c>
      <c r="S354" s="36"/>
      <c r="T354" s="36" t="str">
        <f t="shared" si="402"/>
        <v/>
      </c>
      <c r="U354" s="36"/>
      <c r="V354" s="36" t="str">
        <f t="shared" si="403"/>
        <v/>
      </c>
      <c r="W354" s="36"/>
      <c r="X354" s="117" t="str">
        <f t="shared" si="404"/>
        <v/>
      </c>
      <c r="Y354" s="36" t="str">
        <f t="shared" si="405"/>
        <v/>
      </c>
      <c r="Z354" s="36" t="str">
        <f t="shared" si="406"/>
        <v/>
      </c>
      <c r="AA354" s="36" t="str">
        <f t="shared" si="407"/>
        <v/>
      </c>
      <c r="AB354" s="52"/>
      <c r="AD354" s="51"/>
      <c r="AE354" s="36"/>
      <c r="AF354" s="36" t="str">
        <f t="shared" si="408"/>
        <v/>
      </c>
      <c r="AG354" s="36"/>
      <c r="AH354" s="36" t="str">
        <f t="shared" si="409"/>
        <v/>
      </c>
      <c r="AI354" s="36"/>
      <c r="AJ354" s="36" t="str">
        <f t="shared" si="410"/>
        <v/>
      </c>
      <c r="AK354" s="36"/>
      <c r="AL354" s="117" t="str">
        <f t="shared" si="411"/>
        <v/>
      </c>
      <c r="AM354" s="36" t="str">
        <f t="shared" si="412"/>
        <v/>
      </c>
      <c r="AN354" s="36" t="str">
        <f t="shared" si="413"/>
        <v/>
      </c>
      <c r="AO354" s="36" t="str">
        <f t="shared" si="414"/>
        <v/>
      </c>
      <c r="AP354" s="52"/>
      <c r="AR354" s="51"/>
      <c r="AS354" s="36"/>
      <c r="AT354" s="36" t="str">
        <f t="shared" si="415"/>
        <v/>
      </c>
      <c r="AU354" s="36"/>
      <c r="AV354" s="36" t="str">
        <f t="shared" si="416"/>
        <v/>
      </c>
      <c r="AW354" s="36"/>
      <c r="AX354" s="36" t="str">
        <f t="shared" si="417"/>
        <v/>
      </c>
      <c r="AY354" s="36"/>
      <c r="AZ354" s="117" t="str">
        <f t="shared" si="418"/>
        <v/>
      </c>
      <c r="BA354" s="36" t="str">
        <f t="shared" si="419"/>
        <v/>
      </c>
      <c r="BB354" s="36" t="str">
        <f t="shared" si="420"/>
        <v/>
      </c>
      <c r="BC354" s="36" t="str">
        <f t="shared" si="421"/>
        <v/>
      </c>
      <c r="BD354" s="52"/>
      <c r="BF354" s="7"/>
      <c r="BG354" s="34"/>
      <c r="BH354" s="9"/>
      <c r="BI354" s="9"/>
      <c r="BJ354" s="9"/>
      <c r="BK354" s="9"/>
      <c r="BL354" s="9"/>
      <c r="BM354" s="9"/>
      <c r="BN354" s="9"/>
      <c r="BO354" s="9"/>
      <c r="BP354" s="9"/>
      <c r="BQ354" s="10"/>
      <c r="BR354" s="11"/>
    </row>
    <row r="355" spans="1:70" ht="15" customHeight="1" thickTop="1" x14ac:dyDescent="0.2">
      <c r="A355" s="42"/>
      <c r="B355" s="61"/>
      <c r="C355" s="50" t="s">
        <v>22</v>
      </c>
      <c r="D355" s="33">
        <f>SUM(D299:D351)*100</f>
        <v>304300</v>
      </c>
      <c r="E355" s="70" t="s">
        <v>23</v>
      </c>
      <c r="F355" s="33"/>
      <c r="G355" s="50"/>
      <c r="H355" s="33"/>
      <c r="I355" s="33"/>
      <c r="J355" s="149" t="s">
        <v>24</v>
      </c>
      <c r="K355" s="149"/>
      <c r="L355" s="33">
        <f>SUM(L299:L351)</f>
        <v>36014</v>
      </c>
      <c r="M355" s="33"/>
      <c r="N355" s="45"/>
      <c r="P355" s="42"/>
      <c r="Q355" s="50" t="s">
        <v>22</v>
      </c>
      <c r="R355" s="33">
        <f>SUM(R299:R351)*100</f>
        <v>198400</v>
      </c>
      <c r="S355" s="70" t="s">
        <v>23</v>
      </c>
      <c r="T355" s="33"/>
      <c r="U355" s="50"/>
      <c r="V355" s="33"/>
      <c r="W355" s="33"/>
      <c r="X355" s="149" t="s">
        <v>24</v>
      </c>
      <c r="Y355" s="149"/>
      <c r="Z355" s="33">
        <f>SUM(Z299:Z351)</f>
        <v>17959</v>
      </c>
      <c r="AA355" s="33"/>
      <c r="AB355" s="45"/>
      <c r="AD355" s="42"/>
      <c r="AE355" s="50" t="s">
        <v>22</v>
      </c>
      <c r="AF355" s="33">
        <f>SUM(AF299:AF351)*100</f>
        <v>169400</v>
      </c>
      <c r="AG355" s="70" t="s">
        <v>23</v>
      </c>
      <c r="AH355" s="33"/>
      <c r="AI355" s="50"/>
      <c r="AJ355" s="33"/>
      <c r="AK355" s="33"/>
      <c r="AL355" s="149" t="s">
        <v>24</v>
      </c>
      <c r="AM355" s="149"/>
      <c r="AN355" s="33">
        <f>SUM(AN299:AN351)</f>
        <v>13036</v>
      </c>
      <c r="AO355" s="33"/>
      <c r="AP355" s="45"/>
      <c r="AR355" s="42"/>
      <c r="AS355" s="50" t="s">
        <v>22</v>
      </c>
      <c r="AT355" s="33">
        <f>SUM(AT299:AT351)*100</f>
        <v>115700</v>
      </c>
      <c r="AU355" s="70" t="s">
        <v>23</v>
      </c>
      <c r="AV355" s="33"/>
      <c r="AW355" s="50"/>
      <c r="AX355" s="33"/>
      <c r="AY355" s="33"/>
      <c r="AZ355" s="149" t="s">
        <v>24</v>
      </c>
      <c r="BA355" s="149"/>
      <c r="BB355" s="33">
        <f>SUM(BB299:BB351)</f>
        <v>11046</v>
      </c>
      <c r="BC355" s="33"/>
      <c r="BD355" s="45"/>
      <c r="BF355" s="7"/>
      <c r="BG355" s="39" t="s">
        <v>22</v>
      </c>
      <c r="BH355" s="9">
        <f>SUM(BH299:BH351)*100</f>
        <v>18900</v>
      </c>
      <c r="BI355" s="9"/>
      <c r="BJ355" s="9"/>
      <c r="BK355" s="5"/>
      <c r="BL355" s="9"/>
      <c r="BM355" s="9"/>
      <c r="BN355" s="9"/>
      <c r="BO355" s="9"/>
      <c r="BP355" s="9"/>
      <c r="BQ355" s="9"/>
      <c r="BR355" s="11"/>
    </row>
    <row r="356" spans="1:70" ht="15" customHeight="1" x14ac:dyDescent="0.2">
      <c r="A356" s="22"/>
      <c r="B356" s="66"/>
      <c r="C356" s="5" t="s">
        <v>25</v>
      </c>
      <c r="D356" s="9">
        <f>D355/A360</f>
        <v>11270.37037037037</v>
      </c>
      <c r="E356" s="9">
        <f>D356*A359</f>
        <v>338111.11111111112</v>
      </c>
      <c r="F356" s="9"/>
      <c r="G356" s="5"/>
      <c r="H356" s="9"/>
      <c r="I356" s="9"/>
      <c r="J356" s="144" t="s">
        <v>26</v>
      </c>
      <c r="K356" s="144"/>
      <c r="L356" s="9"/>
      <c r="M356" s="24">
        <f>L355/D355</f>
        <v>0.11835031219191587</v>
      </c>
      <c r="N356" s="11"/>
      <c r="P356" s="31"/>
      <c r="Q356" s="5" t="s">
        <v>25</v>
      </c>
      <c r="R356" s="9">
        <f>R355/A360</f>
        <v>7348.1481481481478</v>
      </c>
      <c r="S356" s="9">
        <f>R356*A359</f>
        <v>220444.44444444444</v>
      </c>
      <c r="T356" s="9"/>
      <c r="U356" s="5"/>
      <c r="V356" s="9"/>
      <c r="W356" s="9"/>
      <c r="X356" s="144" t="s">
        <v>26</v>
      </c>
      <c r="Y356" s="144"/>
      <c r="Z356" s="9"/>
      <c r="AA356" s="24">
        <f>Z355/R355</f>
        <v>9.0519153225806448E-2</v>
      </c>
      <c r="AB356" s="11"/>
      <c r="AD356" s="31"/>
      <c r="AE356" s="5" t="s">
        <v>25</v>
      </c>
      <c r="AF356" s="9">
        <f>AF355/A360</f>
        <v>6274.0740740740739</v>
      </c>
      <c r="AG356" s="9">
        <f>AF356*A359</f>
        <v>188222.22222222222</v>
      </c>
      <c r="AH356" s="9"/>
      <c r="AI356" s="5"/>
      <c r="AJ356" s="9"/>
      <c r="AK356" s="9"/>
      <c r="AL356" s="144" t="s">
        <v>26</v>
      </c>
      <c r="AM356" s="144"/>
      <c r="AN356" s="9"/>
      <c r="AO356" s="24">
        <f>AN355/AF355</f>
        <v>7.6953955135773314E-2</v>
      </c>
      <c r="AP356" s="11"/>
      <c r="AR356" s="31"/>
      <c r="AS356" s="5" t="s">
        <v>25</v>
      </c>
      <c r="AT356" s="9">
        <f>AT355/A360</f>
        <v>4285.1851851851852</v>
      </c>
      <c r="AU356" s="9">
        <f>AT356*A359</f>
        <v>128555.55555555556</v>
      </c>
      <c r="AV356" s="9"/>
      <c r="AW356" s="5"/>
      <c r="AX356" s="9"/>
      <c r="AY356" s="9"/>
      <c r="AZ356" s="144" t="s">
        <v>26</v>
      </c>
      <c r="BA356" s="144"/>
      <c r="BB356" s="9"/>
      <c r="BC356" s="24">
        <f>BB355/AT355</f>
        <v>9.5471045808124461E-2</v>
      </c>
      <c r="BD356" s="11"/>
      <c r="BF356" s="7"/>
      <c r="BG356" s="39" t="s">
        <v>25</v>
      </c>
      <c r="BH356" s="9" t="e">
        <f>BH355/AC360</f>
        <v>#DIV/0!</v>
      </c>
      <c r="BI356" s="9" t="e">
        <f>BH356*AC359</f>
        <v>#DIV/0!</v>
      </c>
      <c r="BJ356" s="9"/>
      <c r="BK356" s="5"/>
      <c r="BL356" s="9"/>
      <c r="BM356" s="9"/>
      <c r="BN356" s="9"/>
      <c r="BO356" s="9"/>
      <c r="BP356" s="9"/>
      <c r="BQ356" s="9"/>
      <c r="BR356" s="11"/>
    </row>
    <row r="357" spans="1:70" ht="15" customHeight="1" x14ac:dyDescent="0.2">
      <c r="A357" s="12"/>
      <c r="B357" s="68"/>
      <c r="C357" s="39" t="s">
        <v>27</v>
      </c>
      <c r="D357" s="9">
        <f>D355*0.6</f>
        <v>182580</v>
      </c>
      <c r="E357" s="9"/>
      <c r="F357" s="9"/>
      <c r="G357" s="5"/>
      <c r="H357" s="9"/>
      <c r="I357" s="9"/>
      <c r="J357" s="144" t="s">
        <v>28</v>
      </c>
      <c r="K357" s="144"/>
      <c r="L357" s="9">
        <f>D357-L355</f>
        <v>146566</v>
      </c>
      <c r="M357" s="24">
        <f>L357/D355</f>
        <v>0.48164968780808415</v>
      </c>
      <c r="N357" s="11"/>
      <c r="P357" s="12"/>
      <c r="Q357" s="39" t="s">
        <v>27</v>
      </c>
      <c r="R357" s="9">
        <f>R355*0.6</f>
        <v>119040</v>
      </c>
      <c r="S357" s="9"/>
      <c r="T357" s="9"/>
      <c r="U357" s="5"/>
      <c r="V357" s="9"/>
      <c r="W357" s="9"/>
      <c r="X357" s="144" t="s">
        <v>28</v>
      </c>
      <c r="Y357" s="144"/>
      <c r="Z357" s="9">
        <f>R357-Z355</f>
        <v>101081</v>
      </c>
      <c r="AA357" s="24">
        <f>Z357/R355</f>
        <v>0.50948084677419359</v>
      </c>
      <c r="AB357" s="11"/>
      <c r="AD357" s="12"/>
      <c r="AE357" s="39" t="s">
        <v>27</v>
      </c>
      <c r="AF357" s="9">
        <f>AF355*0.6</f>
        <v>101640</v>
      </c>
      <c r="AG357" s="9"/>
      <c r="AH357" s="9"/>
      <c r="AI357" s="5"/>
      <c r="AJ357" s="9"/>
      <c r="AK357" s="9"/>
      <c r="AL357" s="144" t="s">
        <v>28</v>
      </c>
      <c r="AM357" s="144"/>
      <c r="AN357" s="9">
        <f>AF357-AN355</f>
        <v>88604</v>
      </c>
      <c r="AO357" s="24">
        <f>AN357/AF355</f>
        <v>0.52304604486422668</v>
      </c>
      <c r="AP357" s="11"/>
      <c r="AR357" s="12"/>
      <c r="AS357" s="39" t="s">
        <v>27</v>
      </c>
      <c r="AT357" s="9">
        <f>AT355*0.6</f>
        <v>69420</v>
      </c>
      <c r="AU357" s="9"/>
      <c r="AV357" s="9"/>
      <c r="AW357" s="5"/>
      <c r="AX357" s="9"/>
      <c r="AY357" s="9"/>
      <c r="AZ357" s="144" t="s">
        <v>28</v>
      </c>
      <c r="BA357" s="144"/>
      <c r="BB357" s="9">
        <f>AT357-BB355</f>
        <v>58374</v>
      </c>
      <c r="BC357" s="24">
        <f>BB357/AT355</f>
        <v>0.50452895419187549</v>
      </c>
      <c r="BD357" s="11"/>
      <c r="BF357" s="7"/>
      <c r="BG357" s="39" t="s">
        <v>27</v>
      </c>
      <c r="BH357" s="9">
        <f>BH355*0.6</f>
        <v>11340</v>
      </c>
      <c r="BI357" s="9"/>
      <c r="BJ357" s="9"/>
      <c r="BK357" s="5" t="s">
        <v>50</v>
      </c>
      <c r="BL357" s="9">
        <f>SUM(BP299:BP351)</f>
        <v>715</v>
      </c>
      <c r="BM357" s="24">
        <f>BL357/BH355</f>
        <v>3.7830687830687833E-2</v>
      </c>
      <c r="BN357" s="24"/>
      <c r="BO357" s="9"/>
      <c r="BP357" s="9"/>
      <c r="BQ357" s="9"/>
      <c r="BR357" s="11"/>
    </row>
    <row r="358" spans="1:70" ht="15" customHeight="1" x14ac:dyDescent="0.2">
      <c r="A358" s="42"/>
      <c r="B358" s="61"/>
      <c r="C358" s="5" t="s">
        <v>29</v>
      </c>
      <c r="D358" s="9"/>
      <c r="E358" s="9"/>
      <c r="F358" s="9"/>
      <c r="G358" s="5"/>
      <c r="H358" s="9"/>
      <c r="I358" s="15"/>
      <c r="J358" s="145" t="s">
        <v>30</v>
      </c>
      <c r="K358" s="145"/>
      <c r="L358" s="33">
        <f>(G323+I323)*K323+(G324+I324)*K324+(G325+I325)*K325+(G326+I326)*K326</f>
        <v>146590</v>
      </c>
      <c r="M358" s="10"/>
      <c r="N358" s="11"/>
      <c r="P358" s="42"/>
      <c r="Q358" s="5" t="s">
        <v>29</v>
      </c>
      <c r="R358" s="9"/>
      <c r="S358" s="9"/>
      <c r="T358" s="9"/>
      <c r="U358" s="5"/>
      <c r="V358" s="9"/>
      <c r="W358" s="15"/>
      <c r="X358" s="145" t="s">
        <v>30</v>
      </c>
      <c r="Y358" s="145"/>
      <c r="Z358" s="33">
        <f>(U323+W323)*Y323+(U324+W324)*Y324+(U325+W325)*Y325+(U326+W326)*Y326</f>
        <v>33879</v>
      </c>
      <c r="AA358" s="10"/>
      <c r="AB358" s="11"/>
      <c r="AD358" s="42"/>
      <c r="AE358" s="5" t="s">
        <v>29</v>
      </c>
      <c r="AF358" s="9"/>
      <c r="AG358" s="9"/>
      <c r="AH358" s="9"/>
      <c r="AI358" s="5"/>
      <c r="AJ358" s="9"/>
      <c r="AK358" s="15"/>
      <c r="AL358" s="145" t="s">
        <v>30</v>
      </c>
      <c r="AM358" s="145"/>
      <c r="AN358" s="33">
        <f>(AI323+AK323)*AM323+(AI324+AK324)*AM324+(AI325+AK325)*AM325+(AI326+AK326)*AM326</f>
        <v>35644</v>
      </c>
      <c r="AO358" s="10"/>
      <c r="AP358" s="11"/>
      <c r="AR358" s="42"/>
      <c r="AS358" s="5" t="s">
        <v>29</v>
      </c>
      <c r="AT358" s="9"/>
      <c r="AU358" s="9"/>
      <c r="AV358" s="9"/>
      <c r="AW358" s="5"/>
      <c r="AX358" s="9"/>
      <c r="AY358" s="15"/>
      <c r="AZ358" s="145" t="s">
        <v>30</v>
      </c>
      <c r="BA358" s="145"/>
      <c r="BB358" s="33">
        <f>(AW323+AY323)*BA323+(AW324+AY324)*BA324+(AW325+AY325)*BA325+(AW326+AY326)*BA326</f>
        <v>38266</v>
      </c>
      <c r="BC358" s="10"/>
      <c r="BD358" s="11"/>
      <c r="BF358" s="7"/>
      <c r="BG358" s="39" t="s">
        <v>29</v>
      </c>
      <c r="BH358" s="9">
        <f>BH429</f>
        <v>0</v>
      </c>
      <c r="BI358" s="9"/>
      <c r="BJ358" s="9"/>
      <c r="BK358" s="5" t="s">
        <v>28</v>
      </c>
      <c r="BL358" s="9">
        <f>BH357-BL357</f>
        <v>10625</v>
      </c>
      <c r="BM358" s="24">
        <f>BL358/BH355</f>
        <v>0.56216931216931221</v>
      </c>
      <c r="BN358" s="24"/>
      <c r="BO358" s="10"/>
      <c r="BP358" s="10"/>
      <c r="BQ358" s="10"/>
      <c r="BR358" s="11"/>
    </row>
    <row r="359" spans="1:70" ht="15" customHeight="1" x14ac:dyDescent="0.2">
      <c r="A359" s="4">
        <v>30</v>
      </c>
      <c r="B359" s="80">
        <f>SUM(B299:B351)*100</f>
        <v>806700</v>
      </c>
      <c r="C359" s="5"/>
      <c r="D359" s="9"/>
      <c r="E359" s="9"/>
      <c r="F359" s="9"/>
      <c r="G359" s="5"/>
      <c r="H359" s="9"/>
      <c r="I359" s="15"/>
      <c r="J359" s="118"/>
      <c r="K359" s="56"/>
      <c r="L359" s="40"/>
      <c r="M359" s="10"/>
      <c r="N359" s="11"/>
      <c r="P359" s="42"/>
      <c r="Q359" s="5"/>
      <c r="R359" s="9"/>
      <c r="S359" s="9"/>
      <c r="T359" s="9"/>
      <c r="U359" s="5"/>
      <c r="V359" s="9"/>
      <c r="W359" s="15"/>
      <c r="X359" s="118"/>
      <c r="Y359" s="56"/>
      <c r="Z359" s="40"/>
      <c r="AA359" s="10"/>
      <c r="AB359" s="11"/>
      <c r="AD359" s="42"/>
      <c r="AE359" s="5"/>
      <c r="AF359" s="9"/>
      <c r="AG359" s="9"/>
      <c r="AH359" s="9"/>
      <c r="AI359" s="5"/>
      <c r="AJ359" s="9"/>
      <c r="AK359" s="15"/>
      <c r="AL359" s="118"/>
      <c r="AM359" s="56"/>
      <c r="AN359" s="40"/>
      <c r="AO359" s="10"/>
      <c r="AP359" s="11"/>
      <c r="AR359" s="42"/>
      <c r="AS359" s="5"/>
      <c r="AT359" s="9"/>
      <c r="AU359" s="9"/>
      <c r="AV359" s="9"/>
      <c r="AW359" s="5"/>
      <c r="AX359" s="9"/>
      <c r="AY359" s="15"/>
      <c r="AZ359" s="118"/>
      <c r="BA359" s="56"/>
      <c r="BB359" s="40"/>
      <c r="BC359" s="10"/>
      <c r="BD359" s="11"/>
      <c r="BF359" s="7"/>
      <c r="BG359" s="34"/>
      <c r="BH359" s="9"/>
      <c r="BI359" s="9"/>
      <c r="BJ359" s="9"/>
      <c r="BK359" s="146" t="s">
        <v>30</v>
      </c>
      <c r="BL359" s="147"/>
      <c r="BM359" s="9">
        <f>(BK302+BM302)*BO302</f>
        <v>7865</v>
      </c>
      <c r="BN359" s="9"/>
      <c r="BO359" s="10"/>
      <c r="BP359" s="10"/>
      <c r="BQ359" s="10"/>
      <c r="BR359" s="11"/>
    </row>
    <row r="360" spans="1:70" ht="15" customHeight="1" x14ac:dyDescent="0.2">
      <c r="A360" s="55">
        <f>DATEDIF(A$405,A331,"d")</f>
        <v>27</v>
      </c>
      <c r="B360" s="61"/>
      <c r="C360" s="5"/>
      <c r="D360" s="9"/>
      <c r="E360" s="23"/>
      <c r="F360" s="9"/>
      <c r="G360" s="5"/>
      <c r="H360" s="9"/>
      <c r="I360" s="15"/>
      <c r="J360" s="118"/>
      <c r="K360" s="56"/>
      <c r="L360" s="40"/>
      <c r="M360" s="10"/>
      <c r="N360" s="11"/>
      <c r="P360" s="42"/>
      <c r="Q360" s="5"/>
      <c r="R360" s="9"/>
      <c r="S360" s="9"/>
      <c r="T360" s="9"/>
      <c r="U360" s="5"/>
      <c r="V360" s="9"/>
      <c r="W360" s="15"/>
      <c r="X360" s="118"/>
      <c r="Y360" s="56"/>
      <c r="Z360" s="40"/>
      <c r="AA360" s="10"/>
      <c r="AB360" s="11"/>
      <c r="AD360" s="42"/>
      <c r="AE360" s="5"/>
      <c r="AF360" s="9"/>
      <c r="AG360" s="9"/>
      <c r="AH360" s="9"/>
      <c r="AI360" s="5"/>
      <c r="AJ360" s="9"/>
      <c r="AK360" s="15"/>
      <c r="AL360" s="118"/>
      <c r="AM360" s="56"/>
      <c r="AN360" s="40"/>
      <c r="AO360" s="10"/>
      <c r="AP360" s="11"/>
      <c r="AR360" s="42"/>
      <c r="AS360" s="5"/>
      <c r="AT360" s="9"/>
      <c r="AU360" s="9"/>
      <c r="AV360" s="9"/>
      <c r="AW360" s="5"/>
      <c r="AX360" s="9"/>
      <c r="AY360" s="15"/>
      <c r="AZ360" s="118"/>
      <c r="BA360" s="56"/>
      <c r="BB360" s="40"/>
      <c r="BC360" s="10"/>
      <c r="BD360" s="11"/>
      <c r="BF360" s="7"/>
      <c r="BG360" s="34"/>
      <c r="BH360" s="9"/>
      <c r="BI360" s="9"/>
      <c r="BJ360" s="9"/>
      <c r="BK360" s="5"/>
      <c r="BL360" s="9"/>
      <c r="BM360" s="9"/>
      <c r="BN360" s="9"/>
      <c r="BO360" s="10"/>
      <c r="BP360" s="10"/>
      <c r="BQ360" s="10"/>
      <c r="BR360" s="11"/>
    </row>
    <row r="361" spans="1:70" x14ac:dyDescent="0.2">
      <c r="A361" s="142" t="s">
        <v>31</v>
      </c>
      <c r="B361" s="142"/>
      <c r="C361" s="142"/>
      <c r="D361" s="25">
        <f>SUM(D299,D303,D307,D311,D315,D319,D323,D327,D331,D335,D339,D343,D347)*100</f>
        <v>59700</v>
      </c>
      <c r="E361" s="34"/>
      <c r="F361" s="9"/>
      <c r="G361" s="5">
        <f>D361/H361</f>
        <v>3731.25</v>
      </c>
      <c r="H361" s="25">
        <f>SUM(H299,H303,H307,H311,H315,H319,H324,H327,H331,H335,H339,H343,H347)</f>
        <v>16</v>
      </c>
      <c r="I361" s="9"/>
      <c r="J361" s="112" t="str">
        <f t="shared" ref="J361:K361" si="422">J299</f>
        <v>液晶ミニカメラ</v>
      </c>
      <c r="K361" s="40">
        <f t="shared" si="422"/>
        <v>1075</v>
      </c>
      <c r="L361" s="25">
        <f>SUM(L299,L303,L307,L311,L315,L319,L324,L327,L331,L335,L339,L343,L347)</f>
        <v>17200</v>
      </c>
      <c r="M361" s="24">
        <f>L361/D361</f>
        <v>0.28810720268006701</v>
      </c>
      <c r="N361" s="11"/>
      <c r="O361" s="14"/>
      <c r="P361" s="142" t="s">
        <v>31</v>
      </c>
      <c r="Q361" s="142"/>
      <c r="R361" s="25">
        <f>SUM(R299,R303,R307,R311,R315,R319,R323,R327,R331,R335,R339,R343,R347)*100</f>
        <v>63600</v>
      </c>
      <c r="S361" s="34"/>
      <c r="T361" s="9"/>
      <c r="U361" s="5">
        <f>R361/V361</f>
        <v>5781.818181818182</v>
      </c>
      <c r="V361" s="25">
        <f>SUM(V299,V303,V307,V311,V315,V319,V324,V327,V331,V335,V339,V343,V347)</f>
        <v>11</v>
      </c>
      <c r="W361" s="9"/>
      <c r="X361" s="112" t="str">
        <f t="shared" ref="X361:Y361" si="423">X299</f>
        <v>キティフェイスポーチ</v>
      </c>
      <c r="Y361" s="40">
        <f t="shared" si="423"/>
        <v>957</v>
      </c>
      <c r="Z361" s="25">
        <f>SUM(Z299,Z303,Z307,Z311,Z315,Z319,Z324,Z327,Z331,Z335,Z339,Z343,Z347)</f>
        <v>8613</v>
      </c>
      <c r="AA361" s="24">
        <f>Z361/R361</f>
        <v>0.13542452830188678</v>
      </c>
      <c r="AB361" s="11"/>
      <c r="AD361" s="142" t="s">
        <v>31</v>
      </c>
      <c r="AE361" s="142"/>
      <c r="AF361" s="25">
        <f>SUM(AF299,AF303,AF307,AF311,AF315,AF319,AF323,AF327,AF331,AF335,AF339,AF343,AF347)*100</f>
        <v>30700</v>
      </c>
      <c r="AG361" s="34"/>
      <c r="AH361" s="9"/>
      <c r="AI361" s="5">
        <f>AF361/AJ361</f>
        <v>10233.333333333334</v>
      </c>
      <c r="AJ361" s="25">
        <f>SUM(AJ299,AJ303,AJ307,AJ311,AJ315,AJ319,AJ324,AJ327,AJ331,AJ335,AJ339,AJ343,AJ347)</f>
        <v>3</v>
      </c>
      <c r="AK361" s="9"/>
      <c r="AL361" s="112" t="str">
        <f t="shared" ref="AL361:AM361" si="424">AL299</f>
        <v>ピクミンマスコット</v>
      </c>
      <c r="AM361" s="40">
        <f t="shared" si="424"/>
        <v>748</v>
      </c>
      <c r="AN361" s="25">
        <f>SUM(AN299,AN303,AN307,AN311,AN315,AN319,AN324,AN327,AN331,AN335,AN339,AN343,AN347)</f>
        <v>2244</v>
      </c>
      <c r="AO361" s="24">
        <f>AN361/AF361</f>
        <v>7.3094462540716609E-2</v>
      </c>
      <c r="AP361" s="11"/>
      <c r="AR361" s="142" t="s">
        <v>31</v>
      </c>
      <c r="AS361" s="142"/>
      <c r="AT361" s="25">
        <f>SUM(AT299,AT303,AT307,AT311,AT315,AT319,AT323,AT327,AT331,AT335,AT339,AT343,AT347)*100</f>
        <v>45800</v>
      </c>
      <c r="AU361" s="34"/>
      <c r="AV361" s="9"/>
      <c r="AW361" s="5">
        <f>AT361/AX361</f>
        <v>9160</v>
      </c>
      <c r="AX361" s="25">
        <f>SUM(AX299,AX303,AX307,AX311,AX315,AX319,AX324,AX327,AX331,AX335,AX339,AX343,AX347)</f>
        <v>5</v>
      </c>
      <c r="AY361" s="9"/>
      <c r="AZ361" s="112" t="str">
        <f t="shared" ref="AZ361:BA361" si="425">AZ299</f>
        <v>デジタルミニカメラ</v>
      </c>
      <c r="BA361" s="40">
        <f t="shared" si="425"/>
        <v>722</v>
      </c>
      <c r="BB361" s="25">
        <f>SUM(BB299,BB303,BB307,BB311,BB315,BB319,BB324,BB327,BB331,BB335,BB339,BB343,BB347)</f>
        <v>3610</v>
      </c>
      <c r="BC361" s="24">
        <f>BB361/AT361</f>
        <v>7.8820960698689962E-2</v>
      </c>
      <c r="BD361" s="11"/>
      <c r="BF361" s="7"/>
      <c r="BG361" s="34"/>
      <c r="BH361" s="9"/>
      <c r="BI361" s="9"/>
      <c r="BJ361" s="9"/>
      <c r="BK361" s="5"/>
      <c r="BL361" s="9"/>
      <c r="BM361" s="24"/>
      <c r="BN361" s="24"/>
      <c r="BO361" s="9"/>
      <c r="BP361" s="9"/>
      <c r="BQ361" s="9"/>
      <c r="BR361" s="11"/>
    </row>
    <row r="362" spans="1:70" x14ac:dyDescent="0.2">
      <c r="A362" s="142" t="s">
        <v>31</v>
      </c>
      <c r="B362" s="142"/>
      <c r="C362" s="142"/>
      <c r="D362" s="25">
        <f>SUM(D300,D304,D308,D312,D316,D320,D324,D328,D332,D336,D340,D344,D348)*100</f>
        <v>58700</v>
      </c>
      <c r="E362" s="34"/>
      <c r="F362" s="9"/>
      <c r="G362" s="5">
        <f>D362/H362</f>
        <v>4192.8571428571431</v>
      </c>
      <c r="H362" s="25">
        <f>SUM(H300,H304,H308,H312,H316,H320,H323,H328,H332,H336,H340,H344,H348)</f>
        <v>14</v>
      </c>
      <c r="I362" s="9"/>
      <c r="J362" s="112" t="str">
        <f t="shared" ref="J362:K362" si="426">J300</f>
        <v>電ブル</v>
      </c>
      <c r="K362" s="40">
        <f t="shared" si="426"/>
        <v>275</v>
      </c>
      <c r="L362" s="25">
        <f>SUM(L300,L304,L308,L312,L316,L320,L323,L328,L332,L336,L340,L344,L348)</f>
        <v>3850</v>
      </c>
      <c r="M362" s="24">
        <f>L362/D362</f>
        <v>6.5587734241908002E-2</v>
      </c>
      <c r="N362" s="11"/>
      <c r="O362" s="1"/>
      <c r="P362" s="142" t="s">
        <v>31</v>
      </c>
      <c r="Q362" s="142"/>
      <c r="R362" s="25">
        <f>SUM(R300,R304,R308,R312,R316,R320,R324,R328,R332,R336,R340,R344,R348)*100</f>
        <v>32100</v>
      </c>
      <c r="S362" s="34"/>
      <c r="T362" s="9"/>
      <c r="U362" s="5">
        <f>R362/V362</f>
        <v>10700</v>
      </c>
      <c r="V362" s="25">
        <f>SUM(V300,V304,V308,V312,V316,V320,V323,V328,V332,V336,V340,V344,V348)</f>
        <v>3</v>
      </c>
      <c r="W362" s="9"/>
      <c r="X362" s="112" t="str">
        <f t="shared" ref="X362:Y362" si="427">X300</f>
        <v>サンリオミニリュックチャーム付</v>
      </c>
      <c r="Y362" s="40">
        <f t="shared" si="427"/>
        <v>600</v>
      </c>
      <c r="Z362" s="25">
        <f>SUM(Z300,Z304,Z308,Z312,Z316,Z320,Z323,Z328,Z332,Z336,Z340,Z344,Z348)</f>
        <v>1800</v>
      </c>
      <c r="AA362" s="24">
        <f>Z362/R362</f>
        <v>5.6074766355140186E-2</v>
      </c>
      <c r="AB362" s="11"/>
      <c r="AD362" s="142" t="s">
        <v>31</v>
      </c>
      <c r="AE362" s="142"/>
      <c r="AF362" s="25">
        <f>SUM(AF300,AF304,AF308,AF312,AF316,AF320,AF324,AF328,AF332,AF336,AF340,AF344,AF348)*100</f>
        <v>39500</v>
      </c>
      <c r="AG362" s="34"/>
      <c r="AH362" s="9"/>
      <c r="AI362" s="5">
        <f>AF362/AJ362</f>
        <v>9875</v>
      </c>
      <c r="AJ362" s="25">
        <f>SUM(AJ300,AJ304,AJ308,AJ312,AJ316,AJ320,AJ323,AJ328,AJ332,AJ336,AJ340,AJ344,AJ348)</f>
        <v>4</v>
      </c>
      <c r="AK362" s="9"/>
      <c r="AL362" s="112" t="str">
        <f t="shared" ref="AL362:AM362" si="428">AL300</f>
        <v>ジャグラーサウンドフラッシュ</v>
      </c>
      <c r="AM362" s="40">
        <f t="shared" si="428"/>
        <v>748</v>
      </c>
      <c r="AN362" s="25">
        <f>SUM(AN300,AN304,AN308,AN312,AN316,AN320,AN323,AN328,AN332,AN336,AN340,AN344,AN348)</f>
        <v>2992</v>
      </c>
      <c r="AO362" s="24">
        <f>AN362/AF362</f>
        <v>7.574683544303798E-2</v>
      </c>
      <c r="AP362" s="11"/>
      <c r="AR362" s="142" t="s">
        <v>31</v>
      </c>
      <c r="AS362" s="142"/>
      <c r="AT362" s="25">
        <f>SUM(AT300,AT304,AT308,AT312,AT316,AT320,AT324,AT328,AT332,AT336,AT340,AT344,AT348)*100</f>
        <v>31900</v>
      </c>
      <c r="AU362" s="34"/>
      <c r="AV362" s="9"/>
      <c r="AW362" s="5">
        <f>AT362/AX362</f>
        <v>7975</v>
      </c>
      <c r="AX362" s="25">
        <f>SUM(AX300,AX304,AX308,AX312,AX316,AX320,AX323,AX328,AX332,AX336,AX340,AX344,AX348)</f>
        <v>4</v>
      </c>
      <c r="AY362" s="9"/>
      <c r="AZ362" s="112" t="str">
        <f t="shared" ref="AZ362:BA362" si="429">AZ300</f>
        <v>クーリッシュイヤホン</v>
      </c>
      <c r="BA362" s="40">
        <f t="shared" si="429"/>
        <v>1100</v>
      </c>
      <c r="BB362" s="25">
        <f>SUM(BB300,BB304,BB308,BB312,BB316,BB320,BB323,BB328,BB332,BB336,BB340,BB344,BB348)</f>
        <v>4400</v>
      </c>
      <c r="BC362" s="24">
        <f>BB362/AT362</f>
        <v>0.13793103448275862</v>
      </c>
      <c r="BD362" s="11"/>
      <c r="BF362" s="7"/>
      <c r="BG362" s="9"/>
      <c r="BH362" s="9"/>
      <c r="BI362" s="9"/>
      <c r="BJ362" s="9"/>
      <c r="BK362" s="5"/>
      <c r="BL362" s="9"/>
      <c r="BM362" s="24"/>
      <c r="BN362" s="24"/>
      <c r="BO362" s="9"/>
      <c r="BP362" s="9"/>
      <c r="BQ362" s="9"/>
      <c r="BR362" s="11"/>
    </row>
    <row r="363" spans="1:70" x14ac:dyDescent="0.2">
      <c r="A363" s="142" t="s">
        <v>31</v>
      </c>
      <c r="B363" s="142"/>
      <c r="C363" s="142"/>
      <c r="D363" s="25">
        <f>SUM(D301,D305,D309,D313,D317,D321,D325,D329,D333,D337,D341,D345,D349)*100</f>
        <v>121400</v>
      </c>
      <c r="E363" s="34"/>
      <c r="F363" s="9"/>
      <c r="G363" s="5">
        <f>D363/H363</f>
        <v>10116.666666666666</v>
      </c>
      <c r="H363" s="25">
        <f>SUM(H301,H305,H309,H314,H317,H321,H325,H329,H333,H337,H341,H345,H349)</f>
        <v>12</v>
      </c>
      <c r="I363" s="9"/>
      <c r="J363" s="112" t="str">
        <f t="shared" ref="J363:K363" si="430">J301</f>
        <v>ラブブキーホルダー</v>
      </c>
      <c r="K363" s="40">
        <f t="shared" si="430"/>
        <v>500</v>
      </c>
      <c r="L363" s="25">
        <f>SUM(L301,L305,L309,L314,L317,L321,L325,L329,L333,L337,L341,L345,L349)</f>
        <v>6496</v>
      </c>
      <c r="M363" s="24">
        <f>L363/D363</f>
        <v>5.3509060955518946E-2</v>
      </c>
      <c r="N363" s="11"/>
      <c r="O363" s="1"/>
      <c r="P363" s="142" t="s">
        <v>31</v>
      </c>
      <c r="Q363" s="142"/>
      <c r="R363" s="25">
        <f>SUM(R301,R305,R309,R313,R317,R321,R325,R329,R333,R337,R341,R345,R349)*100</f>
        <v>50400</v>
      </c>
      <c r="S363" s="34"/>
      <c r="T363" s="9"/>
      <c r="U363" s="5">
        <f>R363/V363</f>
        <v>1866.6666666666667</v>
      </c>
      <c r="V363" s="25">
        <f>SUM(V301,V305,V309,V314,V317,V321,V325,V329,V333,V337,V341,V345,V349)</f>
        <v>27</v>
      </c>
      <c r="W363" s="9"/>
      <c r="X363" s="112" t="str">
        <f t="shared" ref="X363:Y363" si="431">X301</f>
        <v>AIラバー</v>
      </c>
      <c r="Y363" s="40">
        <f t="shared" si="431"/>
        <v>198</v>
      </c>
      <c r="Z363" s="25">
        <f>SUM(Z301,Z305,Z309,Z314,Z317,Z321,Z325,Z329,Z333,Z337,Z341,Z345,Z349)</f>
        <v>5346</v>
      </c>
      <c r="AA363" s="24">
        <f>Z363/R363</f>
        <v>0.10607142857142857</v>
      </c>
      <c r="AB363" s="11"/>
      <c r="AD363" s="142" t="s">
        <v>31</v>
      </c>
      <c r="AE363" s="142"/>
      <c r="AF363" s="25">
        <f>SUM(AF301,AF305,AF309,AF313,AF317,AF321,AF325,AF329,AF333,AF337,AF341,AF345,AF349)*100</f>
        <v>36100</v>
      </c>
      <c r="AG363" s="34"/>
      <c r="AH363" s="9"/>
      <c r="AI363" s="5">
        <f>AF363/AJ363</f>
        <v>9025</v>
      </c>
      <c r="AJ363" s="25">
        <f>SUM(AJ301,AJ305,AJ309,AJ314,AJ317,AJ321,AJ325,AJ329,AJ333,AJ337,AJ341,AJ345,AJ349)</f>
        <v>4</v>
      </c>
      <c r="AK363" s="9"/>
      <c r="AL363" s="112" t="str">
        <f t="shared" ref="AL363:AM363" si="432">AL301</f>
        <v>サンリオギャルキーケース</v>
      </c>
      <c r="AM363" s="40">
        <f t="shared" si="432"/>
        <v>700</v>
      </c>
      <c r="AN363" s="25">
        <f>SUM(AN301,AN305,AN309,AN314,AN317,AN321,AN325,AN329,AN333,AN337,AN341,AN345,AN349)</f>
        <v>2800</v>
      </c>
      <c r="AO363" s="24">
        <f>AN363/AF363</f>
        <v>7.7562326869806089E-2</v>
      </c>
      <c r="AP363" s="11"/>
      <c r="AR363" s="142" t="s">
        <v>31</v>
      </c>
      <c r="AS363" s="142"/>
      <c r="AT363" s="25">
        <f>SUM(AT301,AT305,AT309,AT313,AT317,AT321,AT325,AT329,AT333,AT337,AT341,AT345,AT349)*100</f>
        <v>22000</v>
      </c>
      <c r="AU363" s="34"/>
      <c r="AV363" s="9"/>
      <c r="AW363" s="5">
        <f>AT363/AX363</f>
        <v>11000</v>
      </c>
      <c r="AX363" s="25">
        <f>SUM(AX301,AX305,AX309,AX314,AX317,AX321,AX325,AX329,AX333,AX337,AX341,AX345,AX349)</f>
        <v>2</v>
      </c>
      <c r="AY363" s="9"/>
      <c r="AZ363" s="112" t="str">
        <f t="shared" ref="AZ363:BA363" si="433">AZ301</f>
        <v>モンチッチマスコット</v>
      </c>
      <c r="BA363" s="40">
        <f t="shared" si="433"/>
        <v>528</v>
      </c>
      <c r="BB363" s="25">
        <f>SUM(BB301,BB305,BB309,BB314,BB317,BB321,BB325,BB329,BB333,BB337,BB341,BB345,BB349)</f>
        <v>1056</v>
      </c>
      <c r="BC363" s="24">
        <f>BB363/AT363</f>
        <v>4.8000000000000001E-2</v>
      </c>
      <c r="BD363" s="11"/>
      <c r="BF363" s="7"/>
      <c r="BG363" s="141"/>
      <c r="BH363" s="141"/>
      <c r="BI363" s="92"/>
      <c r="BJ363" s="9"/>
      <c r="BK363" s="5"/>
      <c r="BL363" s="9"/>
      <c r="BM363" s="24"/>
      <c r="BN363" s="24"/>
      <c r="BO363" s="9"/>
      <c r="BP363" s="9"/>
      <c r="BQ363" s="9"/>
      <c r="BR363" s="11"/>
    </row>
    <row r="364" spans="1:70" x14ac:dyDescent="0.2">
      <c r="A364" s="142" t="s">
        <v>31</v>
      </c>
      <c r="B364" s="142"/>
      <c r="C364" s="142"/>
      <c r="D364" s="25">
        <f>SUM(D302,D306,D310,D314,D318,D322,D326,D330,D334,D338,D342,D346,D350)*100</f>
        <v>64500</v>
      </c>
      <c r="E364" s="34"/>
      <c r="F364" s="9"/>
      <c r="G364" s="5">
        <f>D364/H364</f>
        <v>7166.666666666667</v>
      </c>
      <c r="H364" s="25">
        <f>SUM(H302,H306,H310,H313,H318,H322,H326,H330,H334,H338,H342,H346,H350)</f>
        <v>9</v>
      </c>
      <c r="I364" s="9"/>
      <c r="J364" s="112" t="str">
        <f t="shared" ref="J364:K364" si="434">J302</f>
        <v>キティヒョウ柄マスコット</v>
      </c>
      <c r="K364" s="40">
        <f t="shared" si="434"/>
        <v>996</v>
      </c>
      <c r="L364" s="25">
        <f>SUM(L302,L306,L310,L313,L318,L322,L326,L330,L334,L338,L342,L346,L350)</f>
        <v>8468</v>
      </c>
      <c r="M364" s="24">
        <f>L364/D364</f>
        <v>0.13128682170542635</v>
      </c>
      <c r="N364" s="11"/>
      <c r="O364" s="1"/>
      <c r="P364" s="142" t="s">
        <v>31</v>
      </c>
      <c r="Q364" s="142"/>
      <c r="R364" s="25">
        <f>SUM(R302,R306,R310,R314,R318,R322,R326,R330,R334,R338,R342,R346,R350)*100</f>
        <v>52300</v>
      </c>
      <c r="S364" s="34"/>
      <c r="T364" s="9"/>
      <c r="U364" s="5">
        <f>R364/V364</f>
        <v>6537.5</v>
      </c>
      <c r="V364" s="25">
        <f>SUM(V302,V306,V310,V313,V318,V322,V326,V330,V334,V338,V342,V346,V350)</f>
        <v>8</v>
      </c>
      <c r="W364" s="9"/>
      <c r="X364" s="112" t="str">
        <f t="shared" ref="X364:Y364" si="435">X302</f>
        <v>AIマスコット</v>
      </c>
      <c r="Y364" s="40">
        <f t="shared" si="435"/>
        <v>286</v>
      </c>
      <c r="Z364" s="25">
        <f>SUM(Z302,Z306,Z310,Z313,Z318,Z322,Z326,Z330,Z334,Z338,Z342,Z346,Z350)</f>
        <v>2200</v>
      </c>
      <c r="AA364" s="24">
        <f>Z364/R364</f>
        <v>4.2065009560229447E-2</v>
      </c>
      <c r="AB364" s="11"/>
      <c r="AD364" s="142" t="s">
        <v>31</v>
      </c>
      <c r="AE364" s="142"/>
      <c r="AF364" s="25">
        <f>SUM(AF302,AF306,AF310,AF314,AF318,AF322,AF326,AF330,AF334,AF338,AF342,AF346,AF350)*100</f>
        <v>63100</v>
      </c>
      <c r="AG364" s="34"/>
      <c r="AH364" s="9"/>
      <c r="AI364" s="5">
        <f>AF364/AJ364</f>
        <v>6310</v>
      </c>
      <c r="AJ364" s="25">
        <f>SUM(AJ302,AJ306,AJ310,AJ313,AJ318,AJ322,AJ326,AJ330,AJ334,AJ338,AJ342,AJ346,AJ350)</f>
        <v>10</v>
      </c>
      <c r="AK364" s="9"/>
      <c r="AL364" s="112" t="str">
        <f t="shared" ref="AL364:AM364" si="436">AL302</f>
        <v>ラブブマスコット</v>
      </c>
      <c r="AM364" s="40">
        <f t="shared" si="436"/>
        <v>500</v>
      </c>
      <c r="AN364" s="25">
        <f>SUM(AN302,AN306,AN310,AN313,AN318,AN322,AN326,AN330,AN334,AN338,AN342,AN346,AN350)</f>
        <v>5000</v>
      </c>
      <c r="AO364" s="24">
        <f>AN364/AF364</f>
        <v>7.9239302694136288E-2</v>
      </c>
      <c r="AP364" s="11"/>
      <c r="AR364" s="142" t="s">
        <v>31</v>
      </c>
      <c r="AS364" s="142"/>
      <c r="AT364" s="25">
        <f>SUM(AT302,AT306,AT310,AT314,AT318,AT322,AT326,AT330,AT334,AT338,AT342,AT346,AT350)*100</f>
        <v>16000</v>
      </c>
      <c r="AU364" s="34"/>
      <c r="AV364" s="9"/>
      <c r="AW364" s="5">
        <f>AT364/AX364</f>
        <v>5333.333333333333</v>
      </c>
      <c r="AX364" s="25">
        <f>SUM(AX302,AX306,AX310,AX313,AX318,AX322,AX326,AX330,AX334,AX338,AX342,AX346,AX350)</f>
        <v>3</v>
      </c>
      <c r="AY364" s="9"/>
      <c r="AZ364" s="112" t="str">
        <f t="shared" ref="AZ364:BA364" si="437">AZ302</f>
        <v>サンリオでかぱっちん</v>
      </c>
      <c r="BA364" s="40">
        <f t="shared" si="437"/>
        <v>660</v>
      </c>
      <c r="BB364" s="25">
        <f>SUM(BB302,BB306,BB310,BB313,BB318,BB322,BB326,BB330,BB334,BB338,BB342,BB346,BB350)</f>
        <v>1980</v>
      </c>
      <c r="BC364" s="24">
        <f>BB364/AT364</f>
        <v>0.12375</v>
      </c>
      <c r="BD364" s="11"/>
      <c r="BF364" s="7"/>
      <c r="BG364" s="141"/>
      <c r="BH364" s="141"/>
      <c r="BI364" s="9"/>
      <c r="BJ364" s="9"/>
      <c r="BK364" s="5"/>
      <c r="BL364" s="9"/>
      <c r="BM364" s="24"/>
      <c r="BN364" s="24"/>
      <c r="BO364" s="10"/>
      <c r="BP364" s="10"/>
      <c r="BQ364" s="10"/>
      <c r="BR364" s="11"/>
    </row>
    <row r="365" spans="1:70" x14ac:dyDescent="0.2">
      <c r="A365" s="12"/>
      <c r="B365" s="8"/>
      <c r="C365" s="5" t="s">
        <v>22</v>
      </c>
      <c r="D365" s="9">
        <f>SUM(D361:D364)</f>
        <v>304300</v>
      </c>
      <c r="E365" s="34"/>
      <c r="F365" s="9"/>
      <c r="G365" s="9"/>
      <c r="H365" s="9">
        <f>SUM(H361:H364)</f>
        <v>51</v>
      </c>
      <c r="I365" s="9"/>
      <c r="J365" s="143" t="s">
        <v>32</v>
      </c>
      <c r="K365" s="143"/>
      <c r="L365" s="33">
        <f>SUM(L361:L364)</f>
        <v>36014</v>
      </c>
      <c r="M365" s="44">
        <f>L365/D365</f>
        <v>0.11835031219191587</v>
      </c>
      <c r="N365" s="45"/>
      <c r="O365" s="1"/>
      <c r="P365" s="12"/>
      <c r="Q365" s="5" t="s">
        <v>22</v>
      </c>
      <c r="R365" s="9">
        <f>SUM(R361:R364)</f>
        <v>198400</v>
      </c>
      <c r="S365" s="34"/>
      <c r="T365" s="9"/>
      <c r="U365" s="9"/>
      <c r="V365" s="9">
        <f>SUM(V361:V364)</f>
        <v>49</v>
      </c>
      <c r="W365" s="9"/>
      <c r="X365" s="143" t="s">
        <v>32</v>
      </c>
      <c r="Y365" s="143"/>
      <c r="Z365" s="33">
        <f>SUM(Z361:Z364)</f>
        <v>17959</v>
      </c>
      <c r="AA365" s="44">
        <f>Z365/R365</f>
        <v>9.0519153225806448E-2</v>
      </c>
      <c r="AB365" s="11"/>
      <c r="AD365" s="12"/>
      <c r="AE365" s="5" t="s">
        <v>22</v>
      </c>
      <c r="AF365" s="9">
        <f>SUM(AF361:AF364)</f>
        <v>169400</v>
      </c>
      <c r="AG365" s="34"/>
      <c r="AH365" s="9"/>
      <c r="AI365" s="9"/>
      <c r="AJ365" s="9">
        <f>SUM(AJ361:AJ364)</f>
        <v>21</v>
      </c>
      <c r="AK365" s="9"/>
      <c r="AL365" s="143" t="s">
        <v>32</v>
      </c>
      <c r="AM365" s="143"/>
      <c r="AN365" s="33">
        <f>SUM(AN361:AN364)</f>
        <v>13036</v>
      </c>
      <c r="AO365" s="44">
        <f>AN365/AF365</f>
        <v>7.6953955135773314E-2</v>
      </c>
      <c r="AP365" s="11"/>
      <c r="AR365" s="12"/>
      <c r="AS365" s="5" t="s">
        <v>22</v>
      </c>
      <c r="AT365" s="9">
        <f>SUM(AT361:AT364)</f>
        <v>115700</v>
      </c>
      <c r="AU365" s="34"/>
      <c r="AV365" s="9"/>
      <c r="AW365" s="9"/>
      <c r="AX365" s="9">
        <f>SUM(AX361:AX364)</f>
        <v>14</v>
      </c>
      <c r="AY365" s="9"/>
      <c r="AZ365" s="143" t="s">
        <v>32</v>
      </c>
      <c r="BA365" s="143"/>
      <c r="BB365" s="33">
        <f>SUM(BB361:BB364)</f>
        <v>11046</v>
      </c>
      <c r="BC365" s="44">
        <f>BB365/AT365</f>
        <v>9.5471045808124461E-2</v>
      </c>
      <c r="BD365" s="11"/>
      <c r="BF365" s="7"/>
      <c r="BG365" s="141"/>
      <c r="BH365" s="141"/>
      <c r="BI365" s="24"/>
      <c r="BJ365" s="9"/>
      <c r="BK365" s="5"/>
      <c r="BL365" s="9"/>
      <c r="BM365" s="24"/>
      <c r="BN365" s="24"/>
      <c r="BO365" s="10"/>
      <c r="BP365" s="10"/>
      <c r="BQ365" s="10"/>
      <c r="BR365" s="11"/>
    </row>
    <row r="366" spans="1:70" x14ac:dyDescent="0.2">
      <c r="A366" s="28"/>
      <c r="B366" s="27"/>
      <c r="C366" s="2"/>
      <c r="D366" s="2"/>
      <c r="E366" s="2"/>
      <c r="F366" s="2"/>
      <c r="G366" s="2"/>
      <c r="H366" s="2"/>
      <c r="I366" s="2"/>
      <c r="J366" s="119"/>
      <c r="K366" s="2"/>
      <c r="L366" s="2"/>
      <c r="M366" s="2"/>
      <c r="N366" s="32"/>
      <c r="O366" s="1"/>
      <c r="P366" s="28"/>
      <c r="Q366" s="2"/>
      <c r="R366" s="2"/>
      <c r="S366" s="2"/>
      <c r="T366" s="2"/>
      <c r="U366" s="2"/>
      <c r="V366" s="2"/>
      <c r="W366" s="2"/>
      <c r="X366" s="119"/>
      <c r="Y366" s="2"/>
      <c r="Z366" s="2"/>
      <c r="AA366" s="2"/>
      <c r="AB366" s="32"/>
      <c r="AD366" s="28"/>
      <c r="AE366" s="2"/>
      <c r="AF366" s="2"/>
      <c r="AG366" s="2"/>
      <c r="AH366" s="2"/>
      <c r="AI366" s="2"/>
      <c r="AJ366" s="2"/>
      <c r="AK366" s="2"/>
      <c r="AL366" s="119"/>
      <c r="AM366" s="2"/>
      <c r="AN366" s="2"/>
      <c r="AO366" s="2"/>
      <c r="AP366" s="32"/>
      <c r="AR366" s="28"/>
      <c r="AS366" s="2"/>
      <c r="AT366" s="2"/>
      <c r="AU366" s="2"/>
      <c r="AV366" s="2"/>
      <c r="AW366" s="2"/>
      <c r="AX366" s="2"/>
      <c r="AY366" s="2"/>
      <c r="AZ366" s="119"/>
      <c r="BA366" s="2"/>
      <c r="BB366" s="2"/>
      <c r="BC366" s="2"/>
      <c r="BD366" s="32"/>
      <c r="BF366" s="98"/>
    </row>
    <row r="367" spans="1:70" ht="15" customHeight="1" x14ac:dyDescent="0.2">
      <c r="C367" s="152" t="s">
        <v>33</v>
      </c>
      <c r="D367" s="152"/>
      <c r="E367" s="153" t="s">
        <v>34</v>
      </c>
      <c r="F367" s="153"/>
      <c r="G367" s="153" t="s">
        <v>35</v>
      </c>
      <c r="H367" s="153"/>
      <c r="K367"/>
      <c r="BF367" s="98"/>
    </row>
    <row r="368" spans="1:70" x14ac:dyDescent="0.2">
      <c r="C368" s="154">
        <f>E356+S356+AG356+AU356</f>
        <v>875333.33333333326</v>
      </c>
      <c r="D368" s="154"/>
      <c r="E368" s="155">
        <f>L355+Z355</f>
        <v>53973</v>
      </c>
      <c r="F368" s="155"/>
      <c r="G368" s="155">
        <f>L358+Z358</f>
        <v>180469</v>
      </c>
      <c r="H368" s="155"/>
      <c r="K368"/>
      <c r="BF368" s="98"/>
    </row>
    <row r="369" spans="1:58" x14ac:dyDescent="0.2">
      <c r="C369" s="54"/>
      <c r="D369" s="54"/>
      <c r="E369" s="69" t="s">
        <v>36</v>
      </c>
      <c r="F369" s="57">
        <f>E368/B359</f>
        <v>6.6905912978802523E-2</v>
      </c>
      <c r="G369" s="9"/>
      <c r="H369" s="9"/>
      <c r="K369"/>
      <c r="BF369" s="98"/>
    </row>
    <row r="370" spans="1:58" x14ac:dyDescent="0.2">
      <c r="E370" s="81"/>
      <c r="F370" s="82"/>
      <c r="G370" s="1"/>
      <c r="H370" s="1"/>
      <c r="K370"/>
      <c r="BF370" s="98"/>
    </row>
    <row r="371" spans="1:58" ht="18.75" x14ac:dyDescent="0.2">
      <c r="A371" s="150" t="s">
        <v>53</v>
      </c>
      <c r="B371" s="150"/>
      <c r="C371" s="150"/>
      <c r="D371" s="150"/>
      <c r="E371" s="151" t="s">
        <v>0</v>
      </c>
      <c r="F371" s="151"/>
      <c r="G371" s="86"/>
      <c r="H371" s="86"/>
      <c r="I371" s="86"/>
      <c r="J371" s="108"/>
      <c r="K371" s="86"/>
      <c r="L371" s="86"/>
      <c r="M371" s="86"/>
      <c r="N371" s="87"/>
      <c r="O371" s="88"/>
      <c r="P371" s="150" t="s">
        <v>53</v>
      </c>
      <c r="Q371" s="150"/>
      <c r="R371" s="150"/>
      <c r="S371" s="151" t="s">
        <v>1</v>
      </c>
      <c r="T371" s="151"/>
      <c r="U371" s="86"/>
      <c r="V371" s="86"/>
      <c r="W371" s="86"/>
      <c r="X371" s="108"/>
      <c r="Y371" s="86"/>
      <c r="Z371" s="86"/>
      <c r="AA371" s="86"/>
      <c r="AB371" s="87"/>
      <c r="AD371" s="150" t="s">
        <v>53</v>
      </c>
      <c r="AE371" s="150"/>
      <c r="AF371" s="150"/>
      <c r="AG371" s="151" t="s">
        <v>54</v>
      </c>
      <c r="AH371" s="151"/>
      <c r="AI371" s="86"/>
      <c r="AJ371" s="86"/>
      <c r="AK371" s="86"/>
      <c r="AL371" s="108"/>
      <c r="AM371" s="86"/>
      <c r="AN371" s="86"/>
      <c r="AO371" s="86"/>
      <c r="AP371" s="87"/>
      <c r="AR371" s="150" t="s">
        <v>53</v>
      </c>
      <c r="AS371" s="150"/>
      <c r="AT371" s="150"/>
      <c r="AU371" s="151" t="s">
        <v>55</v>
      </c>
      <c r="AV371" s="151"/>
      <c r="AW371" s="86"/>
      <c r="AX371" s="86"/>
      <c r="AY371" s="86"/>
      <c r="AZ371" s="108"/>
      <c r="BA371" s="86"/>
      <c r="BB371" s="86"/>
      <c r="BC371" s="86"/>
      <c r="BD371" s="87"/>
    </row>
    <row r="372" spans="1:58" x14ac:dyDescent="0.2">
      <c r="A372" s="7" t="s">
        <v>2</v>
      </c>
      <c r="B372" s="60" t="s">
        <v>3</v>
      </c>
      <c r="C372" s="5" t="s">
        <v>4</v>
      </c>
      <c r="D372" s="5" t="s">
        <v>5</v>
      </c>
      <c r="E372" s="6" t="s">
        <v>6</v>
      </c>
      <c r="F372" s="5" t="s">
        <v>5</v>
      </c>
      <c r="G372" s="5" t="s">
        <v>7</v>
      </c>
      <c r="H372" s="5" t="s">
        <v>8</v>
      </c>
      <c r="I372" s="5" t="s">
        <v>9</v>
      </c>
      <c r="J372" s="92" t="s">
        <v>10</v>
      </c>
      <c r="K372" s="5" t="s">
        <v>11</v>
      </c>
      <c r="L372" s="5" t="s">
        <v>8</v>
      </c>
      <c r="M372" s="5" t="s">
        <v>12</v>
      </c>
      <c r="N372" s="5" t="s">
        <v>13</v>
      </c>
      <c r="O372" s="3"/>
      <c r="P372" s="7" t="s">
        <v>2</v>
      </c>
      <c r="Q372" s="5" t="s">
        <v>4</v>
      </c>
      <c r="R372" s="5" t="s">
        <v>5</v>
      </c>
      <c r="S372" s="6" t="s">
        <v>6</v>
      </c>
      <c r="T372" s="5" t="s">
        <v>5</v>
      </c>
      <c r="U372" s="5" t="s">
        <v>7</v>
      </c>
      <c r="V372" s="5" t="s">
        <v>8</v>
      </c>
      <c r="W372" s="5" t="s">
        <v>9</v>
      </c>
      <c r="X372" s="92" t="s">
        <v>10</v>
      </c>
      <c r="Y372" s="5" t="s">
        <v>11</v>
      </c>
      <c r="Z372" s="5" t="s">
        <v>8</v>
      </c>
      <c r="AA372" s="5" t="s">
        <v>12</v>
      </c>
      <c r="AB372" s="5" t="s">
        <v>13</v>
      </c>
      <c r="AD372" s="7" t="s">
        <v>2</v>
      </c>
      <c r="AE372" s="5" t="s">
        <v>4</v>
      </c>
      <c r="AF372" s="5" t="s">
        <v>5</v>
      </c>
      <c r="AG372" s="6" t="s">
        <v>6</v>
      </c>
      <c r="AH372" s="5" t="s">
        <v>5</v>
      </c>
      <c r="AI372" s="5" t="s">
        <v>7</v>
      </c>
      <c r="AJ372" s="5" t="s">
        <v>8</v>
      </c>
      <c r="AK372" s="5" t="s">
        <v>9</v>
      </c>
      <c r="AL372" s="92" t="s">
        <v>10</v>
      </c>
      <c r="AM372" s="5" t="s">
        <v>11</v>
      </c>
      <c r="AN372" s="5" t="s">
        <v>8</v>
      </c>
      <c r="AO372" s="5" t="s">
        <v>12</v>
      </c>
      <c r="AP372" s="5" t="s">
        <v>13</v>
      </c>
      <c r="AR372" s="7" t="s">
        <v>2</v>
      </c>
      <c r="AS372" s="5" t="s">
        <v>4</v>
      </c>
      <c r="AT372" s="5" t="s">
        <v>5</v>
      </c>
      <c r="AU372" s="6" t="s">
        <v>6</v>
      </c>
      <c r="AV372" s="5" t="s">
        <v>5</v>
      </c>
      <c r="AW372" s="5" t="s">
        <v>7</v>
      </c>
      <c r="AX372" s="5" t="s">
        <v>8</v>
      </c>
      <c r="AY372" s="5" t="s">
        <v>9</v>
      </c>
      <c r="AZ372" s="92" t="s">
        <v>10</v>
      </c>
      <c r="BA372" s="5" t="s">
        <v>11</v>
      </c>
      <c r="BB372" s="5" t="s">
        <v>8</v>
      </c>
      <c r="BC372" s="5" t="s">
        <v>12</v>
      </c>
      <c r="BD372" s="5" t="s">
        <v>13</v>
      </c>
    </row>
    <row r="373" spans="1:58" x14ac:dyDescent="0.2">
      <c r="A373" s="12">
        <v>45916</v>
      </c>
      <c r="B373" s="61">
        <v>994</v>
      </c>
      <c r="C373" s="33">
        <v>14138</v>
      </c>
      <c r="D373" s="33">
        <v>26</v>
      </c>
      <c r="E373" s="33">
        <v>1023</v>
      </c>
      <c r="F373" s="33">
        <v>3</v>
      </c>
      <c r="G373" s="33">
        <v>3</v>
      </c>
      <c r="H373" s="33">
        <v>3</v>
      </c>
      <c r="I373" s="33">
        <v>3</v>
      </c>
      <c r="J373" s="109" t="s">
        <v>49</v>
      </c>
      <c r="K373" s="40">
        <v>1015</v>
      </c>
      <c r="L373" s="33">
        <v>3045</v>
      </c>
      <c r="M373" s="41">
        <v>1.1711538461538462</v>
      </c>
      <c r="N373" s="11"/>
      <c r="O373" s="1"/>
      <c r="P373" s="12">
        <v>45916</v>
      </c>
      <c r="Q373" s="33">
        <v>13235</v>
      </c>
      <c r="R373" s="33">
        <v>32</v>
      </c>
      <c r="S373" s="33">
        <v>1366</v>
      </c>
      <c r="T373" s="33">
        <v>0</v>
      </c>
      <c r="U373" s="33">
        <v>16</v>
      </c>
      <c r="V373" s="33">
        <v>0</v>
      </c>
      <c r="W373" s="33">
        <v>0</v>
      </c>
      <c r="X373" s="109" t="s">
        <v>56</v>
      </c>
      <c r="Y373" s="40">
        <v>1100</v>
      </c>
      <c r="Z373" s="33">
        <v>0</v>
      </c>
      <c r="AA373" s="41">
        <v>0</v>
      </c>
      <c r="AB373" s="11"/>
      <c r="AD373" s="12">
        <v>45916</v>
      </c>
      <c r="AE373" s="33">
        <v>11520</v>
      </c>
      <c r="AF373" s="33">
        <v>30</v>
      </c>
      <c r="AG373" s="33">
        <v>886</v>
      </c>
      <c r="AH373" s="33">
        <v>2</v>
      </c>
      <c r="AI373" s="33">
        <v>8</v>
      </c>
      <c r="AJ373" s="33">
        <v>2</v>
      </c>
      <c r="AK373" s="33">
        <v>0</v>
      </c>
      <c r="AL373" s="109" t="s">
        <v>57</v>
      </c>
      <c r="AM373" s="40">
        <v>550</v>
      </c>
      <c r="AN373" s="33">
        <v>0</v>
      </c>
      <c r="AO373" s="41">
        <v>0</v>
      </c>
      <c r="AP373" s="11"/>
      <c r="AR373" s="12">
        <v>45916</v>
      </c>
      <c r="AS373" s="33">
        <v>7731</v>
      </c>
      <c r="AT373" s="33">
        <v>46</v>
      </c>
      <c r="AU373" s="33">
        <v>454</v>
      </c>
      <c r="AV373" s="33">
        <v>0</v>
      </c>
      <c r="AW373" s="33">
        <v>8</v>
      </c>
      <c r="AX373" s="33">
        <v>0</v>
      </c>
      <c r="AY373" s="33">
        <v>0</v>
      </c>
      <c r="AZ373" s="109" t="s">
        <v>40</v>
      </c>
      <c r="BA373" s="40">
        <v>722</v>
      </c>
      <c r="BB373" s="33">
        <v>0</v>
      </c>
      <c r="BC373" s="41">
        <v>0</v>
      </c>
      <c r="BD373" s="11"/>
    </row>
    <row r="374" spans="1:58" x14ac:dyDescent="0.2">
      <c r="A374" s="59"/>
      <c r="B374" s="8"/>
      <c r="C374" s="33">
        <v>15850</v>
      </c>
      <c r="D374" s="9">
        <v>32</v>
      </c>
      <c r="E374" s="33">
        <v>510</v>
      </c>
      <c r="F374" s="9">
        <v>3</v>
      </c>
      <c r="G374" s="9">
        <v>13</v>
      </c>
      <c r="H374" s="9">
        <v>3</v>
      </c>
      <c r="I374" s="9">
        <v>15</v>
      </c>
      <c r="J374" s="109" t="s">
        <v>15</v>
      </c>
      <c r="K374" s="33">
        <v>275</v>
      </c>
      <c r="L374" s="9">
        <v>825</v>
      </c>
      <c r="M374" s="10">
        <v>0.2578125</v>
      </c>
      <c r="N374" s="11"/>
      <c r="O374" s="1"/>
      <c r="P374" s="12"/>
      <c r="Q374" s="33">
        <v>13046</v>
      </c>
      <c r="R374" s="9">
        <v>89</v>
      </c>
      <c r="S374" s="33">
        <v>475</v>
      </c>
      <c r="T374" s="9">
        <v>2</v>
      </c>
      <c r="U374" s="9">
        <v>7</v>
      </c>
      <c r="V374" s="9">
        <v>2</v>
      </c>
      <c r="W374" s="9">
        <v>2</v>
      </c>
      <c r="X374" s="121" t="s">
        <v>58</v>
      </c>
      <c r="Y374" s="34">
        <v>600</v>
      </c>
      <c r="Z374" s="9">
        <v>1200</v>
      </c>
      <c r="AA374" s="10">
        <v>0.1348314606741573</v>
      </c>
      <c r="AB374" s="11"/>
      <c r="AD374" s="12"/>
      <c r="AE374" s="33">
        <v>10651</v>
      </c>
      <c r="AF374" s="9">
        <v>98</v>
      </c>
      <c r="AG374" s="33">
        <v>759</v>
      </c>
      <c r="AH374" s="9">
        <v>3</v>
      </c>
      <c r="AI374" s="9">
        <v>11</v>
      </c>
      <c r="AJ374" s="9">
        <v>3</v>
      </c>
      <c r="AK374" s="9">
        <v>0</v>
      </c>
      <c r="AL374" s="121" t="s">
        <v>59</v>
      </c>
      <c r="AM374" s="34">
        <v>748</v>
      </c>
      <c r="AN374" s="9">
        <v>0</v>
      </c>
      <c r="AO374" s="10">
        <v>0</v>
      </c>
      <c r="AP374" s="11"/>
      <c r="AR374" s="12"/>
      <c r="AS374" s="33">
        <v>9529</v>
      </c>
      <c r="AT374" s="9">
        <v>111</v>
      </c>
      <c r="AU374" s="33">
        <v>506</v>
      </c>
      <c r="AV374" s="9">
        <v>4</v>
      </c>
      <c r="AW374" s="9">
        <v>11</v>
      </c>
      <c r="AX374" s="9">
        <v>0</v>
      </c>
      <c r="AY374" s="9">
        <v>0</v>
      </c>
      <c r="AZ374" s="121" t="s">
        <v>60</v>
      </c>
      <c r="BA374" s="34">
        <v>1100</v>
      </c>
      <c r="BB374" s="9">
        <v>0</v>
      </c>
      <c r="BC374" s="10">
        <v>0</v>
      </c>
      <c r="BD374" s="11"/>
    </row>
    <row r="375" spans="1:58" x14ac:dyDescent="0.2">
      <c r="A375" s="12"/>
      <c r="B375" s="8"/>
      <c r="C375" s="33">
        <v>14264</v>
      </c>
      <c r="D375" s="9">
        <v>78</v>
      </c>
      <c r="E375" s="33">
        <v>563</v>
      </c>
      <c r="F375" s="9">
        <v>1</v>
      </c>
      <c r="G375" s="9">
        <v>4</v>
      </c>
      <c r="H375" s="9">
        <v>1</v>
      </c>
      <c r="I375" s="9">
        <v>0</v>
      </c>
      <c r="J375" s="110" t="s">
        <v>16</v>
      </c>
      <c r="K375" s="34">
        <v>1100</v>
      </c>
      <c r="L375" s="9">
        <v>1100</v>
      </c>
      <c r="M375" s="10">
        <v>0.14102564102564102</v>
      </c>
      <c r="N375" s="11"/>
      <c r="O375" s="1"/>
      <c r="P375" s="12"/>
      <c r="Q375" s="33">
        <v>12511</v>
      </c>
      <c r="R375" s="9">
        <v>139</v>
      </c>
      <c r="S375" s="33">
        <v>841</v>
      </c>
      <c r="T375" s="9">
        <v>3</v>
      </c>
      <c r="U375" s="9">
        <v>82</v>
      </c>
      <c r="V375" s="9">
        <v>3</v>
      </c>
      <c r="W375" s="9">
        <v>25</v>
      </c>
      <c r="X375" s="121" t="s">
        <v>48</v>
      </c>
      <c r="Y375" s="34">
        <v>198</v>
      </c>
      <c r="Z375" s="9">
        <v>594</v>
      </c>
      <c r="AA375" s="10">
        <v>4.2733812949640286E-2</v>
      </c>
      <c r="AB375" s="11"/>
      <c r="AD375" s="12"/>
      <c r="AE375" s="33">
        <v>13855</v>
      </c>
      <c r="AF375" s="9">
        <v>60</v>
      </c>
      <c r="AG375" s="33">
        <v>2381</v>
      </c>
      <c r="AH375" s="9">
        <v>0</v>
      </c>
      <c r="AI375" s="9">
        <v>10</v>
      </c>
      <c r="AJ375" s="9">
        <v>0</v>
      </c>
      <c r="AK375" s="9">
        <v>0</v>
      </c>
      <c r="AL375" s="121" t="s">
        <v>61</v>
      </c>
      <c r="AM375" s="34">
        <v>700</v>
      </c>
      <c r="AN375" s="9">
        <v>0</v>
      </c>
      <c r="AO375" s="10">
        <v>0</v>
      </c>
      <c r="AP375" s="11"/>
      <c r="AR375" s="12"/>
      <c r="AS375" s="33">
        <v>12016</v>
      </c>
      <c r="AT375" s="9">
        <v>41</v>
      </c>
      <c r="AU375" s="33">
        <v>726</v>
      </c>
      <c r="AV375" s="9">
        <v>0</v>
      </c>
      <c r="AW375" s="9">
        <v>10</v>
      </c>
      <c r="AX375" s="9">
        <v>0</v>
      </c>
      <c r="AY375" s="9">
        <v>0</v>
      </c>
      <c r="AZ375" s="121" t="s">
        <v>20</v>
      </c>
      <c r="BA375" s="34">
        <v>528</v>
      </c>
      <c r="BB375" s="9">
        <v>0</v>
      </c>
      <c r="BC375" s="10">
        <v>0</v>
      </c>
      <c r="BD375" s="11"/>
    </row>
    <row r="376" spans="1:58" ht="15" customHeight="1" thickBot="1" x14ac:dyDescent="0.25">
      <c r="A376" s="16"/>
      <c r="B376" s="62"/>
      <c r="C376" s="36">
        <v>10932</v>
      </c>
      <c r="D376" s="36">
        <v>52</v>
      </c>
      <c r="E376" s="36">
        <v>1147</v>
      </c>
      <c r="F376" s="17">
        <v>2</v>
      </c>
      <c r="G376" s="17">
        <v>10</v>
      </c>
      <c r="H376" s="17">
        <v>2</v>
      </c>
      <c r="I376" s="17">
        <v>0</v>
      </c>
      <c r="J376" s="111" t="s">
        <v>62</v>
      </c>
      <c r="K376" s="17">
        <v>660</v>
      </c>
      <c r="L376" s="17">
        <v>1320</v>
      </c>
      <c r="M376" s="18">
        <v>0.25384615384615383</v>
      </c>
      <c r="N376" s="11"/>
      <c r="O376" s="1"/>
      <c r="P376" s="16"/>
      <c r="Q376" s="36">
        <v>10694</v>
      </c>
      <c r="R376" s="36">
        <v>119</v>
      </c>
      <c r="S376" s="36">
        <v>1029</v>
      </c>
      <c r="T376" s="17">
        <v>5</v>
      </c>
      <c r="U376" s="17">
        <v>3</v>
      </c>
      <c r="V376" s="17">
        <v>4</v>
      </c>
      <c r="W376" s="17">
        <v>5</v>
      </c>
      <c r="X376" s="122" t="s">
        <v>18</v>
      </c>
      <c r="Y376" s="17">
        <v>286</v>
      </c>
      <c r="Z376" s="17">
        <v>1144</v>
      </c>
      <c r="AA376" s="18">
        <v>9.6134453781512599E-2</v>
      </c>
      <c r="AB376" s="11" t="s">
        <v>63</v>
      </c>
      <c r="AD376" s="16"/>
      <c r="AE376" s="36">
        <v>13080</v>
      </c>
      <c r="AF376" s="36">
        <v>17</v>
      </c>
      <c r="AG376" s="36">
        <v>1504</v>
      </c>
      <c r="AH376" s="17">
        <v>0</v>
      </c>
      <c r="AI376" s="17">
        <v>8</v>
      </c>
      <c r="AJ376" s="17">
        <v>0</v>
      </c>
      <c r="AK376" s="17">
        <v>0</v>
      </c>
      <c r="AL376" s="122" t="s">
        <v>64</v>
      </c>
      <c r="AM376" s="17">
        <v>748</v>
      </c>
      <c r="AN376" s="17">
        <v>0</v>
      </c>
      <c r="AO376" s="18">
        <v>0</v>
      </c>
      <c r="AP376" s="11"/>
      <c r="AR376" s="16"/>
      <c r="AS376" s="36">
        <v>10044</v>
      </c>
      <c r="AT376" s="36">
        <v>24</v>
      </c>
      <c r="AU376" s="36">
        <v>784</v>
      </c>
      <c r="AV376" s="17">
        <v>0</v>
      </c>
      <c r="AW376" s="17">
        <v>7</v>
      </c>
      <c r="AX376" s="17">
        <v>0</v>
      </c>
      <c r="AY376" s="17">
        <v>0</v>
      </c>
      <c r="AZ376" s="122" t="s">
        <v>42</v>
      </c>
      <c r="BA376" s="17">
        <v>900</v>
      </c>
      <c r="BB376" s="17">
        <v>0</v>
      </c>
      <c r="BC376" s="18">
        <v>0</v>
      </c>
      <c r="BD376" s="11"/>
    </row>
    <row r="377" spans="1:58" ht="15" customHeight="1" thickTop="1" x14ac:dyDescent="0.2">
      <c r="A377" s="47">
        <v>45919</v>
      </c>
      <c r="B377" s="61">
        <f>SUM(D377:D380)+SUM(R377:R380)+SUM(AF377:AF380)+SUM(AT377:AT380)</f>
        <v>519</v>
      </c>
      <c r="C377" s="33">
        <v>14154</v>
      </c>
      <c r="D377" s="33">
        <f t="shared" ref="D377:D380" si="438">IF(C377="","",C377-C373)</f>
        <v>16</v>
      </c>
      <c r="E377" s="33">
        <v>1023</v>
      </c>
      <c r="F377" s="20">
        <f t="shared" ref="F377:F380" si="439">IF(E377="","",E377-E373)</f>
        <v>0</v>
      </c>
      <c r="G377" s="33">
        <v>6</v>
      </c>
      <c r="H377" s="33">
        <f t="shared" ref="H377:H380" si="440">IF(G377="","",G373+I373-G377)</f>
        <v>0</v>
      </c>
      <c r="I377" s="43">
        <v>0</v>
      </c>
      <c r="J377" s="113" t="str">
        <f t="shared" ref="J377:J380" si="441">IF(C377="","",J373)</f>
        <v>サンリオトイカメラ</v>
      </c>
      <c r="K377" s="34">
        <f t="shared" ref="K377:K380" si="442">IF(D377="","",K373)</f>
        <v>1015</v>
      </c>
      <c r="L377" s="20">
        <f t="shared" ref="L377:L380" si="443">IF(G377="","",H377*K377)</f>
        <v>0</v>
      </c>
      <c r="M377" s="21">
        <f t="shared" ref="M377:M380" si="444">IF(H377="","",L377/(D377*100))</f>
        <v>0</v>
      </c>
      <c r="N377" s="11"/>
      <c r="O377" s="1"/>
      <c r="P377" s="47">
        <f>IF($A$377="","",$A$377)</f>
        <v>45919</v>
      </c>
      <c r="Q377" s="33">
        <v>13250</v>
      </c>
      <c r="R377" s="33">
        <f t="shared" ref="R377:R396" si="445">IF(Q377="","",Q377-Q373)</f>
        <v>15</v>
      </c>
      <c r="S377" s="33">
        <v>1366</v>
      </c>
      <c r="T377" s="20">
        <f t="shared" ref="T377:T396" si="446">IF(S377="","",S377-S373)</f>
        <v>0</v>
      </c>
      <c r="U377" s="33">
        <v>16</v>
      </c>
      <c r="V377" s="33">
        <f t="shared" ref="V377:V396" si="447">IF(U377="","",U373+W373-U377)</f>
        <v>0</v>
      </c>
      <c r="W377" s="43">
        <v>0</v>
      </c>
      <c r="X377" s="113" t="str">
        <f t="shared" ref="X377:X396" si="448">IF(Q377="","",X373)</f>
        <v>香水coach</v>
      </c>
      <c r="Y377" s="34">
        <f t="shared" ref="Y377:Y396" si="449">IF(R377="","",Y373)</f>
        <v>1100</v>
      </c>
      <c r="Z377" s="20">
        <f t="shared" ref="Z377:Z396" si="450">IF(U377="","",V377*Y377)</f>
        <v>0</v>
      </c>
      <c r="AA377" s="21">
        <f t="shared" ref="AA377:AA396" si="451">IF(V377="","",Z377/(R377*100))</f>
        <v>0</v>
      </c>
      <c r="AB377" s="11"/>
      <c r="AD377" s="47">
        <f>IF($A$377="","",$A$377)</f>
        <v>45919</v>
      </c>
      <c r="AE377" s="33">
        <v>11531</v>
      </c>
      <c r="AF377" s="33">
        <f t="shared" ref="AF377:AF396" si="452">IF(AE377="","",AE377-AE373)</f>
        <v>11</v>
      </c>
      <c r="AG377" s="33">
        <v>886</v>
      </c>
      <c r="AH377" s="20">
        <f t="shared" ref="AH377:AH396" si="453">IF(AG377="","",AG377-AG373)</f>
        <v>0</v>
      </c>
      <c r="AI377" s="33">
        <v>8</v>
      </c>
      <c r="AJ377" s="33">
        <f t="shared" ref="AJ377:AJ396" si="454">IF(AI377="","",AI373+AK373-AI377)</f>
        <v>0</v>
      </c>
      <c r="AK377" s="43">
        <v>0</v>
      </c>
      <c r="AL377" s="113" t="str">
        <f t="shared" ref="AL377:AL396" si="455">IF(AE377="","",AL373)</f>
        <v>スティッチキーケース</v>
      </c>
      <c r="AM377" s="34">
        <f t="shared" ref="AM377:AM396" si="456">IF(AF377="","",AM373)</f>
        <v>550</v>
      </c>
      <c r="AN377" s="20">
        <f t="shared" ref="AN377:AN396" si="457">IF(AI377="","",AJ377*AM377)</f>
        <v>0</v>
      </c>
      <c r="AO377" s="21">
        <f t="shared" ref="AO377:AO396" si="458">IF(AJ377="","",AN377/(AF377*100))</f>
        <v>0</v>
      </c>
      <c r="AP377" s="11"/>
      <c r="AR377" s="47">
        <f>IF($A$377="","",$A$377)</f>
        <v>45919</v>
      </c>
      <c r="AS377" s="33">
        <v>7801</v>
      </c>
      <c r="AT377" s="33">
        <f t="shared" ref="AT377:AT396" si="459">IF(AS377="","",AS377-AS373)</f>
        <v>70</v>
      </c>
      <c r="AU377" s="33"/>
      <c r="AV377" s="20" t="str">
        <f t="shared" ref="AV377:AV396" si="460">IF(AU377="","",AU377-AU373)</f>
        <v/>
      </c>
      <c r="AW377" s="33"/>
      <c r="AX377" s="33" t="str">
        <f t="shared" ref="AX377:AX396" si="461">IF(AW377="","",AW373+AY373-AW377)</f>
        <v/>
      </c>
      <c r="AY377" s="43"/>
      <c r="AZ377" s="113" t="str">
        <f t="shared" ref="AZ377:AZ428" si="462">IF(AS377="","",AZ373)</f>
        <v>デジタルミニカメラ</v>
      </c>
      <c r="BA377" s="34">
        <f t="shared" ref="BA377:BA395" si="463">IF(AT377="","",BA373)</f>
        <v>722</v>
      </c>
      <c r="BB377" s="20" t="str">
        <f t="shared" ref="BB377:BB396" si="464">IF(AW377="","",AX377*BA377)</f>
        <v/>
      </c>
      <c r="BC377" s="21" t="str">
        <f t="shared" ref="BC377:BC396" si="465">IF(AX377="","",BB377/(AT377*100))</f>
        <v/>
      </c>
      <c r="BD377" s="11"/>
    </row>
    <row r="378" spans="1:58" x14ac:dyDescent="0.2">
      <c r="A378" s="48"/>
      <c r="B378" s="63"/>
      <c r="C378" s="9">
        <v>15865</v>
      </c>
      <c r="D378" s="9">
        <f t="shared" si="438"/>
        <v>15</v>
      </c>
      <c r="E378" s="9">
        <v>510</v>
      </c>
      <c r="F378" s="9">
        <f t="shared" si="439"/>
        <v>0</v>
      </c>
      <c r="G378" s="9">
        <v>28</v>
      </c>
      <c r="H378" s="9">
        <f t="shared" si="440"/>
        <v>0</v>
      </c>
      <c r="I378" s="13">
        <v>0</v>
      </c>
      <c r="J378" s="113" t="str">
        <f t="shared" si="441"/>
        <v>電ブル</v>
      </c>
      <c r="K378" s="34">
        <f t="shared" si="442"/>
        <v>275</v>
      </c>
      <c r="L378" s="9">
        <f t="shared" si="443"/>
        <v>0</v>
      </c>
      <c r="M378" s="10">
        <f t="shared" si="444"/>
        <v>0</v>
      </c>
      <c r="N378" s="11"/>
      <c r="O378" s="1"/>
      <c r="P378" s="48"/>
      <c r="Q378" s="9">
        <v>13087</v>
      </c>
      <c r="R378" s="9">
        <f t="shared" si="445"/>
        <v>41</v>
      </c>
      <c r="S378" s="9">
        <v>476</v>
      </c>
      <c r="T378" s="9">
        <f t="shared" si="446"/>
        <v>1</v>
      </c>
      <c r="U378" s="9">
        <v>8</v>
      </c>
      <c r="V378" s="9">
        <f t="shared" si="447"/>
        <v>1</v>
      </c>
      <c r="W378" s="13">
        <v>0</v>
      </c>
      <c r="X378" s="113" t="str">
        <f t="shared" si="448"/>
        <v>サンリオミニリュックチャーム付</v>
      </c>
      <c r="Y378" s="34">
        <f t="shared" si="449"/>
        <v>600</v>
      </c>
      <c r="Z378" s="9">
        <f t="shared" si="450"/>
        <v>600</v>
      </c>
      <c r="AA378" s="10">
        <f t="shared" si="451"/>
        <v>0.14634146341463414</v>
      </c>
      <c r="AB378" s="11"/>
      <c r="AD378" s="48"/>
      <c r="AE378" s="9">
        <v>10682</v>
      </c>
      <c r="AF378" s="9">
        <f t="shared" si="452"/>
        <v>31</v>
      </c>
      <c r="AG378" s="9">
        <v>760</v>
      </c>
      <c r="AH378" s="9">
        <f t="shared" si="453"/>
        <v>1</v>
      </c>
      <c r="AI378" s="9">
        <v>10</v>
      </c>
      <c r="AJ378" s="9">
        <f t="shared" si="454"/>
        <v>1</v>
      </c>
      <c r="AK378" s="13">
        <v>0</v>
      </c>
      <c r="AL378" s="113" t="str">
        <f t="shared" si="455"/>
        <v>ジャグラーサウンドフラッシュ</v>
      </c>
      <c r="AM378" s="34">
        <f t="shared" si="456"/>
        <v>748</v>
      </c>
      <c r="AN378" s="9">
        <f t="shared" si="457"/>
        <v>748</v>
      </c>
      <c r="AO378" s="10">
        <f t="shared" si="458"/>
        <v>0.24129032258064517</v>
      </c>
      <c r="AP378" s="11"/>
      <c r="AR378" s="48"/>
      <c r="AS378" s="9">
        <v>9551</v>
      </c>
      <c r="AT378" s="9">
        <f t="shared" si="459"/>
        <v>22</v>
      </c>
      <c r="AU378" s="9"/>
      <c r="AV378" s="9" t="str">
        <f>IF(AU378="","",AU378-AU374)</f>
        <v/>
      </c>
      <c r="AW378" s="9"/>
      <c r="AX378" s="9" t="str">
        <f t="shared" si="461"/>
        <v/>
      </c>
      <c r="AY378" s="13"/>
      <c r="AZ378" s="113" t="str">
        <f t="shared" si="462"/>
        <v>クーリッシュイヤホン</v>
      </c>
      <c r="BA378" s="34">
        <f t="shared" si="463"/>
        <v>1100</v>
      </c>
      <c r="BB378" s="9" t="str">
        <f t="shared" si="464"/>
        <v/>
      </c>
      <c r="BC378" s="10" t="str">
        <f t="shared" si="465"/>
        <v/>
      </c>
      <c r="BD378" s="11"/>
    </row>
    <row r="379" spans="1:58" x14ac:dyDescent="0.2">
      <c r="A379" s="48"/>
      <c r="B379" s="63"/>
      <c r="C379" s="23">
        <v>14302</v>
      </c>
      <c r="D379" s="9">
        <f t="shared" si="438"/>
        <v>38</v>
      </c>
      <c r="E379" s="9">
        <v>563</v>
      </c>
      <c r="F379" s="9">
        <f t="shared" si="439"/>
        <v>0</v>
      </c>
      <c r="G379" s="23">
        <v>4</v>
      </c>
      <c r="H379" s="9">
        <f t="shared" si="440"/>
        <v>0</v>
      </c>
      <c r="I379" s="30">
        <v>0</v>
      </c>
      <c r="J379" s="113" t="str">
        <f t="shared" si="441"/>
        <v>サンリオファン</v>
      </c>
      <c r="K379" s="34">
        <f t="shared" si="442"/>
        <v>1100</v>
      </c>
      <c r="L379" s="9">
        <f t="shared" si="443"/>
        <v>0</v>
      </c>
      <c r="M379" s="10">
        <f t="shared" si="444"/>
        <v>0</v>
      </c>
      <c r="N379" s="11"/>
      <c r="O379" s="1"/>
      <c r="P379" s="48"/>
      <c r="Q379" s="23">
        <v>12599</v>
      </c>
      <c r="R379" s="9">
        <f t="shared" si="445"/>
        <v>88</v>
      </c>
      <c r="S379" s="9">
        <v>846</v>
      </c>
      <c r="T379" s="9">
        <f t="shared" si="446"/>
        <v>5</v>
      </c>
      <c r="U379" s="23">
        <v>102</v>
      </c>
      <c r="V379" s="9">
        <f t="shared" si="447"/>
        <v>5</v>
      </c>
      <c r="W379" s="30">
        <v>0</v>
      </c>
      <c r="X379" s="113" t="str">
        <f t="shared" si="448"/>
        <v>AIラバー</v>
      </c>
      <c r="Y379" s="34">
        <f t="shared" si="449"/>
        <v>198</v>
      </c>
      <c r="Z379" s="9">
        <f t="shared" si="450"/>
        <v>990</v>
      </c>
      <c r="AA379" s="10">
        <f t="shared" si="451"/>
        <v>0.1125</v>
      </c>
      <c r="AB379" s="11"/>
      <c r="AD379" s="48"/>
      <c r="AE379" s="23">
        <v>13872</v>
      </c>
      <c r="AF379" s="9">
        <f t="shared" si="452"/>
        <v>17</v>
      </c>
      <c r="AG379" s="9">
        <v>2382</v>
      </c>
      <c r="AH379" s="9">
        <f t="shared" si="453"/>
        <v>1</v>
      </c>
      <c r="AI379" s="23">
        <v>9</v>
      </c>
      <c r="AJ379" s="9">
        <f t="shared" si="454"/>
        <v>1</v>
      </c>
      <c r="AK379" s="30">
        <v>0</v>
      </c>
      <c r="AL379" s="113" t="str">
        <f t="shared" si="455"/>
        <v>サンリオギャルキーケース</v>
      </c>
      <c r="AM379" s="34">
        <f t="shared" si="456"/>
        <v>700</v>
      </c>
      <c r="AN379" s="9">
        <f t="shared" si="457"/>
        <v>700</v>
      </c>
      <c r="AO379" s="10">
        <f t="shared" si="458"/>
        <v>0.41176470588235292</v>
      </c>
      <c r="AP379" s="11"/>
      <c r="AR379" s="48"/>
      <c r="AS379" s="23">
        <v>12047</v>
      </c>
      <c r="AT379" s="9">
        <f t="shared" si="459"/>
        <v>31</v>
      </c>
      <c r="AU379" s="9"/>
      <c r="AV379" s="9" t="str">
        <f>IF(AU379="","",AU379-AU375)</f>
        <v/>
      </c>
      <c r="AW379" s="23"/>
      <c r="AX379" s="9" t="str">
        <f t="shared" si="461"/>
        <v/>
      </c>
      <c r="AY379" s="30"/>
      <c r="AZ379" s="113" t="str">
        <f t="shared" si="462"/>
        <v>モンチッチマスコット</v>
      </c>
      <c r="BA379" s="34">
        <f t="shared" si="463"/>
        <v>528</v>
      </c>
      <c r="BB379" s="9" t="str">
        <f t="shared" si="464"/>
        <v/>
      </c>
      <c r="BC379" s="10" t="str">
        <f t="shared" si="465"/>
        <v/>
      </c>
      <c r="BD379" s="11"/>
    </row>
    <row r="380" spans="1:58" ht="15" customHeight="1" thickBot="1" x14ac:dyDescent="0.25">
      <c r="A380" s="49"/>
      <c r="B380" s="62"/>
      <c r="C380" s="17">
        <v>10958</v>
      </c>
      <c r="D380" s="37">
        <f t="shared" si="438"/>
        <v>26</v>
      </c>
      <c r="E380" s="17">
        <v>1148</v>
      </c>
      <c r="F380" s="17">
        <f t="shared" si="439"/>
        <v>1</v>
      </c>
      <c r="G380" s="17">
        <v>9</v>
      </c>
      <c r="H380" s="17">
        <f t="shared" si="440"/>
        <v>1</v>
      </c>
      <c r="I380" s="29">
        <v>1</v>
      </c>
      <c r="J380" s="114" t="str">
        <f t="shared" si="441"/>
        <v>サンリオヘアパッチンピン</v>
      </c>
      <c r="K380" s="37">
        <f t="shared" si="442"/>
        <v>660</v>
      </c>
      <c r="L380" s="17">
        <f t="shared" si="443"/>
        <v>660</v>
      </c>
      <c r="M380" s="18">
        <f t="shared" si="444"/>
        <v>0.25384615384615383</v>
      </c>
      <c r="N380" s="11"/>
      <c r="O380" s="1"/>
      <c r="P380" s="49"/>
      <c r="Q380" s="17">
        <v>10775</v>
      </c>
      <c r="R380" s="37">
        <f t="shared" si="445"/>
        <v>81</v>
      </c>
      <c r="S380" s="17">
        <v>1030</v>
      </c>
      <c r="T380" s="17">
        <f t="shared" si="446"/>
        <v>1</v>
      </c>
      <c r="U380" s="17">
        <v>7</v>
      </c>
      <c r="V380" s="17">
        <f t="shared" si="447"/>
        <v>1</v>
      </c>
      <c r="W380" s="29">
        <v>0</v>
      </c>
      <c r="X380" s="114" t="str">
        <f t="shared" si="448"/>
        <v>AIマスコット</v>
      </c>
      <c r="Y380" s="37">
        <f t="shared" si="449"/>
        <v>286</v>
      </c>
      <c r="Z380" s="17">
        <f t="shared" si="450"/>
        <v>286</v>
      </c>
      <c r="AA380" s="18">
        <f t="shared" si="451"/>
        <v>3.5308641975308641E-2</v>
      </c>
      <c r="AB380" s="11"/>
      <c r="AD380" s="49"/>
      <c r="AE380" s="17">
        <v>13092</v>
      </c>
      <c r="AF380" s="37">
        <f t="shared" si="452"/>
        <v>12</v>
      </c>
      <c r="AG380" s="17">
        <v>1504</v>
      </c>
      <c r="AH380" s="17">
        <f t="shared" si="453"/>
        <v>0</v>
      </c>
      <c r="AI380" s="17">
        <v>8</v>
      </c>
      <c r="AJ380" s="17">
        <f t="shared" si="454"/>
        <v>0</v>
      </c>
      <c r="AK380" s="29">
        <v>0</v>
      </c>
      <c r="AL380" s="114" t="str">
        <f t="shared" si="455"/>
        <v>ピクミンマスコット</v>
      </c>
      <c r="AM380" s="37">
        <f t="shared" si="456"/>
        <v>748</v>
      </c>
      <c r="AN380" s="17">
        <f t="shared" si="457"/>
        <v>0</v>
      </c>
      <c r="AO380" s="18">
        <f t="shared" si="458"/>
        <v>0</v>
      </c>
      <c r="AP380" s="11"/>
      <c r="AR380" s="49"/>
      <c r="AS380" s="17">
        <v>10049</v>
      </c>
      <c r="AT380" s="37">
        <f t="shared" si="459"/>
        <v>5</v>
      </c>
      <c r="AU380" s="17"/>
      <c r="AV380" s="17" t="str">
        <f t="shared" si="460"/>
        <v/>
      </c>
      <c r="AW380" s="17"/>
      <c r="AX380" s="17" t="str">
        <f t="shared" si="461"/>
        <v/>
      </c>
      <c r="AY380" s="29"/>
      <c r="AZ380" s="114" t="str">
        <f t="shared" si="462"/>
        <v>ジョージファン</v>
      </c>
      <c r="BA380" s="37">
        <f t="shared" si="463"/>
        <v>900</v>
      </c>
      <c r="BB380" s="17" t="str">
        <f t="shared" si="464"/>
        <v/>
      </c>
      <c r="BC380" s="18" t="str">
        <f t="shared" si="465"/>
        <v/>
      </c>
      <c r="BD380" s="11"/>
    </row>
    <row r="381" spans="1:58" ht="15" customHeight="1" thickTop="1" x14ac:dyDescent="0.2">
      <c r="A381" s="71">
        <v>45922</v>
      </c>
      <c r="B381" s="61">
        <f>SUM(D381:D384)+SUM(R381:R384)+SUM(AF381:AF384)+SUM(AT381:AT384)</f>
        <v>1086</v>
      </c>
      <c r="C381" s="33">
        <v>14173</v>
      </c>
      <c r="D381" s="94">
        <v>19</v>
      </c>
      <c r="E381" s="33">
        <v>1026</v>
      </c>
      <c r="F381" s="20">
        <v>3</v>
      </c>
      <c r="G381" s="33">
        <v>3</v>
      </c>
      <c r="H381" s="33">
        <v>3</v>
      </c>
      <c r="I381" s="43"/>
      <c r="J381" s="112" t="s">
        <v>49</v>
      </c>
      <c r="K381" s="40">
        <v>1015</v>
      </c>
      <c r="L381" s="20">
        <v>3045</v>
      </c>
      <c r="M381" s="21">
        <v>1.6</v>
      </c>
      <c r="N381" s="11"/>
      <c r="O381" s="1"/>
      <c r="P381" s="96">
        <f>IF($A$381="","",$A$381)</f>
        <v>45922</v>
      </c>
      <c r="Q381" s="33">
        <v>13279</v>
      </c>
      <c r="R381" s="94">
        <v>29</v>
      </c>
      <c r="S381" s="33">
        <v>1366</v>
      </c>
      <c r="T381" s="20">
        <v>0</v>
      </c>
      <c r="U381" s="33">
        <v>11</v>
      </c>
      <c r="V381" s="33">
        <v>0</v>
      </c>
      <c r="W381" s="43">
        <v>0</v>
      </c>
      <c r="X381" s="112" t="s">
        <v>56</v>
      </c>
      <c r="Y381" s="40">
        <v>1100</v>
      </c>
      <c r="Z381" s="20">
        <v>0</v>
      </c>
      <c r="AA381" s="21">
        <v>0</v>
      </c>
      <c r="AB381" s="11"/>
      <c r="AD381" s="96">
        <f>IF($A$381="","",$A$381)</f>
        <v>45922</v>
      </c>
      <c r="AE381" s="33">
        <v>11536</v>
      </c>
      <c r="AF381" s="94">
        <v>5</v>
      </c>
      <c r="AG381" s="33">
        <v>887</v>
      </c>
      <c r="AH381" s="20">
        <v>1</v>
      </c>
      <c r="AI381" s="33">
        <v>7</v>
      </c>
      <c r="AJ381" s="33">
        <v>1</v>
      </c>
      <c r="AK381" s="43">
        <v>0</v>
      </c>
      <c r="AL381" s="112" t="s">
        <v>57</v>
      </c>
      <c r="AM381" s="34">
        <f>IF(AF381="","",AM377)</f>
        <v>550</v>
      </c>
      <c r="AN381" s="20">
        <v>0</v>
      </c>
      <c r="AO381" s="21">
        <v>0</v>
      </c>
      <c r="AP381" s="11"/>
      <c r="AR381" s="47" t="s">
        <v>78</v>
      </c>
      <c r="AS381" s="33">
        <v>7858</v>
      </c>
      <c r="AT381" s="33">
        <v>76</v>
      </c>
      <c r="AU381" s="33">
        <v>459</v>
      </c>
      <c r="AV381" s="20">
        <v>5</v>
      </c>
      <c r="AW381" s="33">
        <v>5</v>
      </c>
      <c r="AX381" s="33">
        <v>3</v>
      </c>
      <c r="AY381" s="43">
        <v>3</v>
      </c>
      <c r="AZ381" s="112" t="s">
        <v>40</v>
      </c>
      <c r="BA381" s="34">
        <f>IF(AT381="","",BA377)</f>
        <v>722</v>
      </c>
      <c r="BB381" s="20">
        <v>0</v>
      </c>
      <c r="BC381" s="21">
        <v>0</v>
      </c>
      <c r="BD381" s="11"/>
    </row>
    <row r="382" spans="1:58" x14ac:dyDescent="0.2">
      <c r="A382" s="72"/>
      <c r="B382" s="61"/>
      <c r="C382" s="33">
        <v>16005</v>
      </c>
      <c r="D382" s="9">
        <v>140</v>
      </c>
      <c r="E382" s="9">
        <v>524</v>
      </c>
      <c r="F382" s="9">
        <v>14</v>
      </c>
      <c r="G382" s="9">
        <v>14</v>
      </c>
      <c r="H382" s="9">
        <v>14</v>
      </c>
      <c r="I382" s="13">
        <v>20</v>
      </c>
      <c r="J382" s="113" t="s">
        <v>15</v>
      </c>
      <c r="K382" s="34">
        <v>275</v>
      </c>
      <c r="L382" s="9">
        <v>3850</v>
      </c>
      <c r="M382" s="10">
        <v>0.28000000000000003</v>
      </c>
      <c r="N382" s="11"/>
      <c r="O382" s="1"/>
      <c r="P382" s="12"/>
      <c r="Q382" s="33">
        <v>13174</v>
      </c>
      <c r="R382" s="9">
        <v>87</v>
      </c>
      <c r="S382" s="9">
        <v>478</v>
      </c>
      <c r="T382" s="9">
        <v>2</v>
      </c>
      <c r="U382" s="9">
        <v>6</v>
      </c>
      <c r="V382" s="9">
        <v>2</v>
      </c>
      <c r="W382" s="13">
        <v>3</v>
      </c>
      <c r="X382" s="113" t="s">
        <v>58</v>
      </c>
      <c r="Y382" s="34">
        <v>600</v>
      </c>
      <c r="Z382" s="9">
        <v>1200</v>
      </c>
      <c r="AA382" s="10">
        <v>0.14000000000000001</v>
      </c>
      <c r="AB382" s="11"/>
      <c r="AD382" s="12"/>
      <c r="AE382" s="33">
        <v>10891</v>
      </c>
      <c r="AF382" s="9">
        <v>209</v>
      </c>
      <c r="AG382" s="9">
        <v>761</v>
      </c>
      <c r="AH382" s="9">
        <v>1</v>
      </c>
      <c r="AI382" s="9">
        <v>13</v>
      </c>
      <c r="AJ382" s="9">
        <v>0</v>
      </c>
      <c r="AK382" s="13">
        <v>0</v>
      </c>
      <c r="AL382" s="113" t="s">
        <v>59</v>
      </c>
      <c r="AM382" s="34">
        <f>IF(AF382="","",AM378)</f>
        <v>748</v>
      </c>
      <c r="AN382" s="9">
        <v>0</v>
      </c>
      <c r="AO382" s="10">
        <v>0</v>
      </c>
      <c r="AP382" s="11"/>
      <c r="AR382" s="12"/>
      <c r="AS382" s="33">
        <v>9652</v>
      </c>
      <c r="AT382" s="9">
        <v>101</v>
      </c>
      <c r="AU382" s="9">
        <v>510</v>
      </c>
      <c r="AV382" s="9">
        <v>4</v>
      </c>
      <c r="AW382" s="9">
        <v>10</v>
      </c>
      <c r="AX382" s="9">
        <v>1</v>
      </c>
      <c r="AY382" s="13">
        <v>0</v>
      </c>
      <c r="AZ382" s="113" t="s">
        <v>60</v>
      </c>
      <c r="BA382" s="34">
        <f>IF(AT382="","",BA378)</f>
        <v>1100</v>
      </c>
      <c r="BB382" s="9">
        <v>0</v>
      </c>
      <c r="BC382" s="10">
        <v>0</v>
      </c>
      <c r="BD382" s="11"/>
    </row>
    <row r="383" spans="1:58" x14ac:dyDescent="0.2">
      <c r="A383" s="72"/>
      <c r="B383" s="64"/>
      <c r="C383" s="38">
        <v>14370</v>
      </c>
      <c r="D383" s="9">
        <v>68</v>
      </c>
      <c r="E383" s="9">
        <v>563</v>
      </c>
      <c r="F383" s="9">
        <v>0</v>
      </c>
      <c r="G383" s="9">
        <v>4</v>
      </c>
      <c r="H383" s="9">
        <v>0</v>
      </c>
      <c r="I383" s="13">
        <v>0</v>
      </c>
      <c r="J383" s="113" t="s">
        <v>16</v>
      </c>
      <c r="K383" s="9">
        <v>1100</v>
      </c>
      <c r="L383" s="9">
        <v>0</v>
      </c>
      <c r="M383" s="10">
        <v>0</v>
      </c>
      <c r="N383" s="11"/>
      <c r="O383" s="1"/>
      <c r="P383" s="12"/>
      <c r="Q383" s="38">
        <v>12704</v>
      </c>
      <c r="R383" s="9">
        <v>105</v>
      </c>
      <c r="S383" s="9">
        <v>853</v>
      </c>
      <c r="T383" s="9">
        <v>7</v>
      </c>
      <c r="U383" s="9">
        <v>95</v>
      </c>
      <c r="V383" s="9">
        <v>7</v>
      </c>
      <c r="W383" s="13">
        <v>0</v>
      </c>
      <c r="X383" s="113" t="s">
        <v>48</v>
      </c>
      <c r="Y383" s="9">
        <v>198</v>
      </c>
      <c r="Z383" s="9">
        <v>1386</v>
      </c>
      <c r="AA383" s="10">
        <v>0.13</v>
      </c>
      <c r="AB383" s="11"/>
      <c r="AD383" s="12"/>
      <c r="AE383" s="38">
        <v>13895</v>
      </c>
      <c r="AF383" s="77">
        <v>23</v>
      </c>
      <c r="AG383" s="9">
        <v>2382</v>
      </c>
      <c r="AH383" s="9">
        <v>0</v>
      </c>
      <c r="AI383" s="9">
        <v>9</v>
      </c>
      <c r="AJ383" s="9">
        <v>0</v>
      </c>
      <c r="AK383" s="13">
        <v>0</v>
      </c>
      <c r="AL383" s="113" t="s">
        <v>61</v>
      </c>
      <c r="AM383" s="34">
        <f>IF(AF383="","",AM379)</f>
        <v>700</v>
      </c>
      <c r="AN383" s="9">
        <v>0</v>
      </c>
      <c r="AO383" s="10">
        <v>0</v>
      </c>
      <c r="AP383" s="11"/>
      <c r="AR383" s="12"/>
      <c r="AS383" s="38">
        <v>12116</v>
      </c>
      <c r="AT383" s="9">
        <v>69</v>
      </c>
      <c r="AU383" s="9">
        <v>728</v>
      </c>
      <c r="AV383" s="9">
        <v>2</v>
      </c>
      <c r="AW383" s="9">
        <v>9</v>
      </c>
      <c r="AX383" s="9">
        <v>1</v>
      </c>
      <c r="AY383" s="13">
        <v>0</v>
      </c>
      <c r="AZ383" s="113" t="s">
        <v>20</v>
      </c>
      <c r="BA383" s="34">
        <f>IF(AT383="","",BA379)</f>
        <v>528</v>
      </c>
      <c r="BB383" s="9">
        <v>0</v>
      </c>
      <c r="BC383" s="10">
        <v>0</v>
      </c>
      <c r="BD383" s="11"/>
    </row>
    <row r="384" spans="1:58" ht="15" customHeight="1" thickBot="1" x14ac:dyDescent="0.25">
      <c r="A384" s="73"/>
      <c r="B384" s="65"/>
      <c r="C384" s="36">
        <v>10960</v>
      </c>
      <c r="D384" s="37">
        <v>2</v>
      </c>
      <c r="E384" s="17">
        <v>1149</v>
      </c>
      <c r="F384" s="17">
        <v>1</v>
      </c>
      <c r="G384" s="17">
        <v>9</v>
      </c>
      <c r="H384" s="17">
        <v>1</v>
      </c>
      <c r="I384" s="29"/>
      <c r="J384" s="114" t="s">
        <v>62</v>
      </c>
      <c r="K384" s="37">
        <v>660</v>
      </c>
      <c r="L384" s="17">
        <v>660</v>
      </c>
      <c r="M384" s="18">
        <v>3.3</v>
      </c>
      <c r="N384" s="11" t="s">
        <v>79</v>
      </c>
      <c r="O384" s="1"/>
      <c r="P384" s="49"/>
      <c r="Q384" s="36">
        <v>10918</v>
      </c>
      <c r="R384" s="37">
        <v>143</v>
      </c>
      <c r="S384" s="17">
        <v>1032</v>
      </c>
      <c r="T384" s="17">
        <v>2</v>
      </c>
      <c r="U384" s="17">
        <v>5</v>
      </c>
      <c r="V384" s="17">
        <v>2</v>
      </c>
      <c r="W384" s="29">
        <v>0</v>
      </c>
      <c r="X384" s="114" t="s">
        <v>18</v>
      </c>
      <c r="Y384" s="37">
        <v>286</v>
      </c>
      <c r="Z384" s="17">
        <v>572</v>
      </c>
      <c r="AA384" s="18">
        <v>0.04</v>
      </c>
      <c r="AB384" s="11"/>
      <c r="AD384" s="49"/>
      <c r="AE384" s="36">
        <v>13097</v>
      </c>
      <c r="AF384" s="83">
        <v>5</v>
      </c>
      <c r="AG384" s="17">
        <v>1505</v>
      </c>
      <c r="AH384" s="17">
        <v>1</v>
      </c>
      <c r="AI384" s="17">
        <v>7</v>
      </c>
      <c r="AJ384" s="17">
        <v>1</v>
      </c>
      <c r="AK384" s="29">
        <v>0</v>
      </c>
      <c r="AL384" s="114" t="s">
        <v>64</v>
      </c>
      <c r="AM384" s="37">
        <f>IF(AF384="","",AM380)</f>
        <v>748</v>
      </c>
      <c r="AN384" s="17">
        <v>0</v>
      </c>
      <c r="AO384" s="18">
        <v>0</v>
      </c>
      <c r="AP384" s="11"/>
      <c r="AR384" s="49"/>
      <c r="AS384" s="36">
        <v>10069</v>
      </c>
      <c r="AT384" s="83">
        <v>5</v>
      </c>
      <c r="AU384" s="17">
        <v>784</v>
      </c>
      <c r="AV384" s="17">
        <v>0</v>
      </c>
      <c r="AW384" s="17">
        <v>6</v>
      </c>
      <c r="AX384" s="17">
        <v>0</v>
      </c>
      <c r="AY384" s="29">
        <v>0</v>
      </c>
      <c r="AZ384" s="114" t="s">
        <v>42</v>
      </c>
      <c r="BA384" s="37">
        <f>IF(AT384="","",BA380)</f>
        <v>900</v>
      </c>
      <c r="BB384" s="17">
        <v>0</v>
      </c>
      <c r="BC384" s="18">
        <v>0</v>
      </c>
      <c r="BD384" s="11"/>
    </row>
    <row r="385" spans="1:56" ht="15" customHeight="1" thickTop="1" x14ac:dyDescent="0.2">
      <c r="A385" s="71">
        <v>45929</v>
      </c>
      <c r="B385" s="61">
        <f>SUM(D385:D388)+SUM(R385:R388)+SUM(AF385:AF388)+SUM(AT385:AT388)</f>
        <v>1334</v>
      </c>
      <c r="C385" s="33">
        <v>14334</v>
      </c>
      <c r="D385" s="33">
        <f t="shared" ref="D385:D428" si="466">IF(C385="","",C385-C381)</f>
        <v>161</v>
      </c>
      <c r="E385" s="33">
        <v>1033</v>
      </c>
      <c r="F385" s="20">
        <f t="shared" ref="F385:F388" si="467">IF(E385="","",E385-E381)</f>
        <v>7</v>
      </c>
      <c r="G385" s="33">
        <v>3</v>
      </c>
      <c r="H385" s="33">
        <f t="shared" ref="H385:H423" si="468">IF(G385="","",G381+I381-G385)</f>
        <v>0</v>
      </c>
      <c r="I385" s="43">
        <v>12</v>
      </c>
      <c r="J385" s="112" t="s">
        <v>82</v>
      </c>
      <c r="K385" s="40">
        <v>1075</v>
      </c>
      <c r="L385" s="20">
        <f t="shared" ref="L385:L428" si="469">IF(G385="","",H385*K385)</f>
        <v>0</v>
      </c>
      <c r="M385" s="21">
        <f t="shared" ref="M385:M428" si="470">IF(H385="","",L385/(D385*100))</f>
        <v>0</v>
      </c>
      <c r="N385" s="11" t="s">
        <v>88</v>
      </c>
      <c r="O385" s="1"/>
      <c r="P385" s="76">
        <f>IF($A$385="","",$A$385)</f>
        <v>45929</v>
      </c>
      <c r="Q385" s="33">
        <v>13330</v>
      </c>
      <c r="R385" s="33">
        <f t="shared" si="445"/>
        <v>51</v>
      </c>
      <c r="S385" s="33">
        <v>1368</v>
      </c>
      <c r="T385" s="20">
        <f t="shared" si="446"/>
        <v>2</v>
      </c>
      <c r="U385" s="33">
        <v>9</v>
      </c>
      <c r="V385" s="33">
        <f t="shared" si="447"/>
        <v>2</v>
      </c>
      <c r="W385" s="43">
        <v>17</v>
      </c>
      <c r="X385" s="112" t="str">
        <f t="shared" si="448"/>
        <v>香水coach</v>
      </c>
      <c r="Y385" s="40">
        <f t="shared" si="449"/>
        <v>1100</v>
      </c>
      <c r="Z385" s="20">
        <f t="shared" si="450"/>
        <v>2200</v>
      </c>
      <c r="AA385" s="21">
        <f t="shared" si="451"/>
        <v>0.43137254901960786</v>
      </c>
      <c r="AB385" s="11" t="s">
        <v>86</v>
      </c>
      <c r="AD385" s="76">
        <f>IF($A$385="","",$A$385)</f>
        <v>45929</v>
      </c>
      <c r="AE385" s="33">
        <v>11569</v>
      </c>
      <c r="AF385" s="94">
        <f t="shared" si="452"/>
        <v>33</v>
      </c>
      <c r="AG385" s="33">
        <v>889</v>
      </c>
      <c r="AH385" s="20">
        <f t="shared" si="453"/>
        <v>2</v>
      </c>
      <c r="AI385" s="33">
        <v>6</v>
      </c>
      <c r="AJ385" s="33">
        <f t="shared" si="454"/>
        <v>1</v>
      </c>
      <c r="AK385" s="43">
        <v>1</v>
      </c>
      <c r="AL385" s="112" t="s">
        <v>80</v>
      </c>
      <c r="AM385" s="40">
        <v>500</v>
      </c>
      <c r="AN385" s="20">
        <f t="shared" si="457"/>
        <v>500</v>
      </c>
      <c r="AO385" s="21">
        <f t="shared" si="458"/>
        <v>0.15151515151515152</v>
      </c>
      <c r="AP385" s="11" t="s">
        <v>90</v>
      </c>
      <c r="AR385" s="76">
        <f>IF($A$385="","",$A$385)</f>
        <v>45929</v>
      </c>
      <c r="AS385" s="33">
        <v>7969</v>
      </c>
      <c r="AT385" s="33">
        <f t="shared" si="459"/>
        <v>111</v>
      </c>
      <c r="AU385" s="33">
        <v>469</v>
      </c>
      <c r="AV385" s="20">
        <f t="shared" si="460"/>
        <v>10</v>
      </c>
      <c r="AW385" s="33">
        <v>4</v>
      </c>
      <c r="AX385" s="33">
        <f t="shared" si="461"/>
        <v>4</v>
      </c>
      <c r="AY385" s="43">
        <v>4</v>
      </c>
      <c r="AZ385" s="112" t="str">
        <f t="shared" si="462"/>
        <v>デジタルミニカメラ</v>
      </c>
      <c r="BA385" s="40">
        <f t="shared" si="463"/>
        <v>722</v>
      </c>
      <c r="BB385" s="20">
        <f t="shared" si="464"/>
        <v>2888</v>
      </c>
      <c r="BC385" s="21">
        <f t="shared" si="465"/>
        <v>0.26018018018018019</v>
      </c>
      <c r="BD385" s="11"/>
    </row>
    <row r="386" spans="1:56" x14ac:dyDescent="0.2">
      <c r="A386" s="72"/>
      <c r="B386" s="8"/>
      <c r="C386" s="9">
        <v>16103</v>
      </c>
      <c r="D386" s="9">
        <f t="shared" si="466"/>
        <v>98</v>
      </c>
      <c r="E386" s="9">
        <v>548</v>
      </c>
      <c r="F386" s="9">
        <f t="shared" si="467"/>
        <v>24</v>
      </c>
      <c r="G386" s="9">
        <v>16</v>
      </c>
      <c r="H386" s="9">
        <f t="shared" si="468"/>
        <v>18</v>
      </c>
      <c r="I386" s="13">
        <v>0</v>
      </c>
      <c r="J386" s="113" t="str">
        <f t="shared" ref="J386:J428" si="471">IF(C386="","",J382)</f>
        <v>電ブル</v>
      </c>
      <c r="K386" s="34">
        <f t="shared" ref="K386:K428" si="472">IF(D386="","",K382)</f>
        <v>275</v>
      </c>
      <c r="L386" s="9">
        <f t="shared" si="469"/>
        <v>4950</v>
      </c>
      <c r="M386" s="10">
        <f t="shared" si="470"/>
        <v>0.50510204081632648</v>
      </c>
      <c r="N386" s="11" t="s">
        <v>87</v>
      </c>
      <c r="O386" s="1"/>
      <c r="P386" s="72"/>
      <c r="Q386" s="9">
        <v>13253</v>
      </c>
      <c r="R386" s="9">
        <f t="shared" si="445"/>
        <v>79</v>
      </c>
      <c r="S386" s="9">
        <v>479</v>
      </c>
      <c r="T386" s="9">
        <f t="shared" si="446"/>
        <v>1</v>
      </c>
      <c r="U386" s="9">
        <v>7</v>
      </c>
      <c r="V386" s="9">
        <f t="shared" si="447"/>
        <v>2</v>
      </c>
      <c r="W386" s="13">
        <v>4</v>
      </c>
      <c r="X386" s="113" t="str">
        <f t="shared" si="448"/>
        <v>サンリオミニリュックチャーム付</v>
      </c>
      <c r="Y386" s="34">
        <f t="shared" si="449"/>
        <v>600</v>
      </c>
      <c r="Z386" s="9">
        <f t="shared" si="450"/>
        <v>1200</v>
      </c>
      <c r="AA386" s="10">
        <f t="shared" si="451"/>
        <v>0.15189873417721519</v>
      </c>
      <c r="AB386" s="11" t="s">
        <v>85</v>
      </c>
      <c r="AD386" s="72"/>
      <c r="AE386" s="9">
        <v>11022</v>
      </c>
      <c r="AF386" s="9">
        <f t="shared" si="452"/>
        <v>131</v>
      </c>
      <c r="AG386" s="9">
        <v>764</v>
      </c>
      <c r="AH386" s="9">
        <f t="shared" si="453"/>
        <v>3</v>
      </c>
      <c r="AI386" s="9">
        <v>12</v>
      </c>
      <c r="AJ386" s="9">
        <f t="shared" si="454"/>
        <v>1</v>
      </c>
      <c r="AK386" s="13">
        <v>0</v>
      </c>
      <c r="AL386" s="113" t="str">
        <f t="shared" si="455"/>
        <v>ジャグラーサウンドフラッシュ</v>
      </c>
      <c r="AM386" s="34">
        <f t="shared" si="456"/>
        <v>748</v>
      </c>
      <c r="AN386" s="9">
        <f t="shared" si="457"/>
        <v>748</v>
      </c>
      <c r="AO386" s="10">
        <f t="shared" si="458"/>
        <v>5.7099236641221372E-2</v>
      </c>
      <c r="AP386" s="11"/>
      <c r="AR386" s="72"/>
      <c r="AS386" s="9">
        <v>9724</v>
      </c>
      <c r="AT386" s="9">
        <f t="shared" si="459"/>
        <v>72</v>
      </c>
      <c r="AU386" s="9">
        <v>513</v>
      </c>
      <c r="AV386" s="9">
        <f t="shared" si="460"/>
        <v>3</v>
      </c>
      <c r="AW386" s="9">
        <v>9</v>
      </c>
      <c r="AX386" s="9">
        <f t="shared" si="461"/>
        <v>1</v>
      </c>
      <c r="AY386" s="13">
        <v>13</v>
      </c>
      <c r="AZ386" s="113" t="str">
        <f t="shared" si="462"/>
        <v>クーリッシュイヤホン</v>
      </c>
      <c r="BA386" s="34">
        <f t="shared" si="463"/>
        <v>1100</v>
      </c>
      <c r="BB386" s="9">
        <f t="shared" si="464"/>
        <v>1100</v>
      </c>
      <c r="BC386" s="10">
        <f t="shared" si="465"/>
        <v>0.15277777777777779</v>
      </c>
      <c r="BD386" s="11"/>
    </row>
    <row r="387" spans="1:56" x14ac:dyDescent="0.2">
      <c r="A387" s="74"/>
      <c r="B387" s="66"/>
      <c r="C387" s="23">
        <v>14421</v>
      </c>
      <c r="D387" s="9">
        <f t="shared" si="466"/>
        <v>51</v>
      </c>
      <c r="E387" s="9">
        <v>563</v>
      </c>
      <c r="F387" s="9">
        <f t="shared" si="467"/>
        <v>0</v>
      </c>
      <c r="G387" s="23">
        <v>8</v>
      </c>
      <c r="H387" s="9">
        <f t="shared" si="468"/>
        <v>-4</v>
      </c>
      <c r="I387" s="30">
        <v>6</v>
      </c>
      <c r="J387" s="113" t="str">
        <f t="shared" si="471"/>
        <v>サンリオファン</v>
      </c>
      <c r="K387" s="9">
        <f t="shared" si="472"/>
        <v>1100</v>
      </c>
      <c r="L387" s="9">
        <f t="shared" si="469"/>
        <v>-4400</v>
      </c>
      <c r="M387" s="10">
        <f t="shared" si="470"/>
        <v>-0.86274509803921573</v>
      </c>
      <c r="N387" s="11" t="s">
        <v>92</v>
      </c>
      <c r="P387" s="74"/>
      <c r="Q387" s="23">
        <v>12940</v>
      </c>
      <c r="R387" s="9">
        <f t="shared" si="445"/>
        <v>236</v>
      </c>
      <c r="S387" s="9">
        <v>859</v>
      </c>
      <c r="T387" s="9">
        <f t="shared" si="446"/>
        <v>6</v>
      </c>
      <c r="U387" s="23">
        <v>88</v>
      </c>
      <c r="V387" s="9">
        <f t="shared" si="447"/>
        <v>7</v>
      </c>
      <c r="W387" s="30">
        <v>0</v>
      </c>
      <c r="X387" s="113" t="str">
        <f t="shared" si="448"/>
        <v>AIラバー</v>
      </c>
      <c r="Y387" s="9">
        <f t="shared" si="449"/>
        <v>198</v>
      </c>
      <c r="Z387" s="9">
        <f t="shared" si="450"/>
        <v>1386</v>
      </c>
      <c r="AA387" s="10">
        <f t="shared" si="451"/>
        <v>5.8728813559322031E-2</v>
      </c>
      <c r="AB387" s="11"/>
      <c r="AD387" s="74"/>
      <c r="AE387" s="23">
        <v>13944</v>
      </c>
      <c r="AF387" s="9">
        <f t="shared" si="452"/>
        <v>49</v>
      </c>
      <c r="AG387" s="9">
        <v>2383</v>
      </c>
      <c r="AH387" s="9">
        <f t="shared" si="453"/>
        <v>1</v>
      </c>
      <c r="AI387" s="23">
        <v>8</v>
      </c>
      <c r="AJ387" s="9">
        <f t="shared" si="454"/>
        <v>1</v>
      </c>
      <c r="AK387" s="30">
        <v>3</v>
      </c>
      <c r="AL387" s="113" t="str">
        <f t="shared" si="455"/>
        <v>サンリオギャルキーケース</v>
      </c>
      <c r="AM387" s="9">
        <f t="shared" si="456"/>
        <v>700</v>
      </c>
      <c r="AN387" s="9">
        <f t="shared" si="457"/>
        <v>700</v>
      </c>
      <c r="AO387" s="10">
        <f t="shared" si="458"/>
        <v>0.14285714285714285</v>
      </c>
      <c r="AP387" s="11"/>
      <c r="AR387" s="74"/>
      <c r="AS387" s="23">
        <v>12193</v>
      </c>
      <c r="AT387" s="9">
        <f t="shared" si="459"/>
        <v>77</v>
      </c>
      <c r="AU387" s="9">
        <v>729</v>
      </c>
      <c r="AV387" s="9">
        <f t="shared" si="460"/>
        <v>1</v>
      </c>
      <c r="AW387" s="23">
        <v>8</v>
      </c>
      <c r="AX387" s="9">
        <f t="shared" si="461"/>
        <v>1</v>
      </c>
      <c r="AY387" s="30">
        <v>8</v>
      </c>
      <c r="AZ387" s="113" t="str">
        <f t="shared" si="462"/>
        <v>モンチッチマスコット</v>
      </c>
      <c r="BA387" s="9">
        <f t="shared" si="463"/>
        <v>528</v>
      </c>
      <c r="BB387" s="9">
        <f t="shared" si="464"/>
        <v>528</v>
      </c>
      <c r="BC387" s="10">
        <f t="shared" si="465"/>
        <v>6.8571428571428575E-2</v>
      </c>
      <c r="BD387" s="11"/>
    </row>
    <row r="388" spans="1:56" ht="15" customHeight="1" thickBot="1" x14ac:dyDescent="0.25">
      <c r="A388" s="75"/>
      <c r="B388" s="67"/>
      <c r="C388" s="17">
        <v>10997</v>
      </c>
      <c r="D388" s="83">
        <f t="shared" si="466"/>
        <v>37</v>
      </c>
      <c r="E388" s="17">
        <v>1152</v>
      </c>
      <c r="F388" s="17">
        <f t="shared" si="467"/>
        <v>3</v>
      </c>
      <c r="G388" s="17">
        <v>8</v>
      </c>
      <c r="H388" s="17">
        <f t="shared" si="468"/>
        <v>1</v>
      </c>
      <c r="I388" s="29">
        <v>5</v>
      </c>
      <c r="J388" s="114" t="s">
        <v>83</v>
      </c>
      <c r="K388" s="37">
        <v>996</v>
      </c>
      <c r="L388" s="17">
        <f t="shared" si="469"/>
        <v>996</v>
      </c>
      <c r="M388" s="18">
        <f t="shared" si="470"/>
        <v>0.26918918918918922</v>
      </c>
      <c r="N388" s="11" t="s">
        <v>91</v>
      </c>
      <c r="P388" s="75"/>
      <c r="Q388" s="17">
        <v>11014</v>
      </c>
      <c r="R388" s="37">
        <f t="shared" si="445"/>
        <v>96</v>
      </c>
      <c r="S388" s="17">
        <v>1034</v>
      </c>
      <c r="T388" s="17">
        <f t="shared" si="446"/>
        <v>2</v>
      </c>
      <c r="U388" s="17">
        <v>6</v>
      </c>
      <c r="V388" s="17">
        <f t="shared" si="447"/>
        <v>-1</v>
      </c>
      <c r="W388" s="29">
        <v>3</v>
      </c>
      <c r="X388" s="114" t="str">
        <f t="shared" si="448"/>
        <v>AIマスコット</v>
      </c>
      <c r="Y388" s="37">
        <f t="shared" si="449"/>
        <v>286</v>
      </c>
      <c r="Z388" s="17">
        <f t="shared" si="450"/>
        <v>-286</v>
      </c>
      <c r="AA388" s="18">
        <f t="shared" si="451"/>
        <v>-2.9791666666666668E-2</v>
      </c>
      <c r="AB388" s="11"/>
      <c r="AD388" s="75"/>
      <c r="AE388" s="17">
        <v>13128</v>
      </c>
      <c r="AF388" s="83">
        <f t="shared" si="452"/>
        <v>31</v>
      </c>
      <c r="AG388" s="17">
        <v>1505</v>
      </c>
      <c r="AH388" s="17">
        <f t="shared" si="453"/>
        <v>0</v>
      </c>
      <c r="AI388" s="17">
        <v>7</v>
      </c>
      <c r="AJ388" s="17">
        <f t="shared" si="454"/>
        <v>0</v>
      </c>
      <c r="AK388" s="29">
        <v>8</v>
      </c>
      <c r="AL388" s="114" t="str">
        <f t="shared" si="455"/>
        <v>ピクミンマスコット</v>
      </c>
      <c r="AM388" s="37">
        <f t="shared" si="456"/>
        <v>748</v>
      </c>
      <c r="AN388" s="17">
        <f t="shared" si="457"/>
        <v>0</v>
      </c>
      <c r="AO388" s="18">
        <f t="shared" si="458"/>
        <v>0</v>
      </c>
      <c r="AP388" s="11" t="s">
        <v>84</v>
      </c>
      <c r="AR388" s="75"/>
      <c r="AS388" s="17">
        <v>10090</v>
      </c>
      <c r="AT388" s="83">
        <f t="shared" si="459"/>
        <v>21</v>
      </c>
      <c r="AU388" s="17">
        <v>786</v>
      </c>
      <c r="AV388" s="17">
        <f t="shared" si="460"/>
        <v>2</v>
      </c>
      <c r="AW388" s="17">
        <v>3</v>
      </c>
      <c r="AX388" s="17">
        <f t="shared" si="461"/>
        <v>3</v>
      </c>
      <c r="AY388" s="29">
        <v>22</v>
      </c>
      <c r="AZ388" s="114" t="str">
        <f t="shared" si="462"/>
        <v>ジョージファン</v>
      </c>
      <c r="BA388" s="37">
        <f t="shared" si="463"/>
        <v>900</v>
      </c>
      <c r="BB388" s="17">
        <f t="shared" si="464"/>
        <v>2700</v>
      </c>
      <c r="BC388" s="18">
        <f t="shared" si="465"/>
        <v>1.2857142857142858</v>
      </c>
      <c r="BD388" s="11" t="s">
        <v>89</v>
      </c>
    </row>
    <row r="389" spans="1:56" ht="15" customHeight="1" thickTop="1" x14ac:dyDescent="0.2">
      <c r="A389" s="71">
        <v>45933</v>
      </c>
      <c r="B389" s="61">
        <f>SUM(D389:D392)+SUM(R389:R392)+SUM(AF389:AF392)+SUM(AT389:AT392)</f>
        <v>670</v>
      </c>
      <c r="C389" s="33">
        <v>14368</v>
      </c>
      <c r="D389" s="33">
        <v>34</v>
      </c>
      <c r="E389" s="33">
        <v>1033</v>
      </c>
      <c r="F389" s="20">
        <v>0</v>
      </c>
      <c r="G389" s="33">
        <v>15</v>
      </c>
      <c r="H389" s="33">
        <v>0</v>
      </c>
      <c r="I389" s="43">
        <v>0</v>
      </c>
      <c r="J389" s="112" t="str">
        <f t="shared" si="471"/>
        <v>液晶ミニカメラ</v>
      </c>
      <c r="K389" s="40">
        <f t="shared" si="472"/>
        <v>1075</v>
      </c>
      <c r="L389" s="20">
        <f t="shared" si="469"/>
        <v>0</v>
      </c>
      <c r="M389" s="21">
        <f t="shared" si="470"/>
        <v>0</v>
      </c>
      <c r="N389" s="100" t="s">
        <v>95</v>
      </c>
      <c r="P389" s="76">
        <f>IF($A$389="","",$A$389)</f>
        <v>45933</v>
      </c>
      <c r="Q389" s="33">
        <v>13348</v>
      </c>
      <c r="R389" s="94">
        <v>18</v>
      </c>
      <c r="S389" s="33">
        <v>1368</v>
      </c>
      <c r="T389" s="20">
        <v>0</v>
      </c>
      <c r="U389" s="33">
        <v>26</v>
      </c>
      <c r="V389" s="33">
        <v>0</v>
      </c>
      <c r="W389" s="43">
        <v>0</v>
      </c>
      <c r="X389" s="112" t="s">
        <v>93</v>
      </c>
      <c r="Y389" s="40">
        <v>1100</v>
      </c>
      <c r="Z389" s="20">
        <v>0</v>
      </c>
      <c r="AA389" s="21">
        <v>0</v>
      </c>
      <c r="AB389" s="100" t="s">
        <v>96</v>
      </c>
      <c r="AD389" s="76">
        <f>IF($A$389="","",$A$389)</f>
        <v>45933</v>
      </c>
      <c r="AE389" s="33">
        <v>11586</v>
      </c>
      <c r="AF389" s="33">
        <v>17</v>
      </c>
      <c r="AG389" s="33">
        <v>889</v>
      </c>
      <c r="AH389" s="20">
        <v>0</v>
      </c>
      <c r="AI389" s="33">
        <v>7</v>
      </c>
      <c r="AJ389" s="33">
        <v>0</v>
      </c>
      <c r="AK389" s="43">
        <v>0</v>
      </c>
      <c r="AL389" s="112" t="s">
        <v>64</v>
      </c>
      <c r="AM389" s="40">
        <v>748</v>
      </c>
      <c r="AN389" s="20">
        <f t="shared" si="457"/>
        <v>0</v>
      </c>
      <c r="AO389" s="21">
        <f t="shared" si="458"/>
        <v>0</v>
      </c>
      <c r="AP389" s="100" t="s">
        <v>95</v>
      </c>
      <c r="AR389" s="76">
        <f>IF($A$389="","",$A$389)</f>
        <v>45933</v>
      </c>
      <c r="AS389" s="33">
        <v>8004</v>
      </c>
      <c r="AT389" s="33">
        <v>35</v>
      </c>
      <c r="AU389" s="33">
        <v>469</v>
      </c>
      <c r="AV389" s="20">
        <v>0</v>
      </c>
      <c r="AW389" s="33">
        <v>8</v>
      </c>
      <c r="AX389" s="33">
        <v>0</v>
      </c>
      <c r="AY389" s="43"/>
      <c r="AZ389" s="112" t="s">
        <v>40</v>
      </c>
      <c r="BA389" s="34">
        <f>IF(AT389="","",BA385)</f>
        <v>722</v>
      </c>
      <c r="BB389" s="20">
        <v>0</v>
      </c>
      <c r="BC389" s="21">
        <v>0</v>
      </c>
      <c r="BD389" s="11"/>
    </row>
    <row r="390" spans="1:56" x14ac:dyDescent="0.2">
      <c r="A390" s="71"/>
      <c r="B390" s="61"/>
      <c r="C390" s="33">
        <v>16126</v>
      </c>
      <c r="D390" s="9">
        <v>23</v>
      </c>
      <c r="E390" s="9">
        <v>549</v>
      </c>
      <c r="F390" s="9">
        <v>1</v>
      </c>
      <c r="G390" s="9">
        <v>15</v>
      </c>
      <c r="H390" s="9">
        <v>1</v>
      </c>
      <c r="I390" s="13">
        <v>20</v>
      </c>
      <c r="J390" s="113" t="str">
        <f t="shared" si="471"/>
        <v>電ブル</v>
      </c>
      <c r="K390" s="34">
        <f t="shared" si="472"/>
        <v>275</v>
      </c>
      <c r="L390" s="9">
        <f t="shared" si="469"/>
        <v>275</v>
      </c>
      <c r="M390" s="10">
        <f t="shared" si="470"/>
        <v>0.11956521739130435</v>
      </c>
      <c r="N390" s="11"/>
      <c r="P390" s="71"/>
      <c r="Q390" s="33">
        <v>13302</v>
      </c>
      <c r="R390" s="9">
        <v>49</v>
      </c>
      <c r="S390" s="9">
        <v>479</v>
      </c>
      <c r="T390" s="9">
        <v>0</v>
      </c>
      <c r="U390" s="9">
        <v>11</v>
      </c>
      <c r="V390" s="9">
        <v>0</v>
      </c>
      <c r="W390" s="13">
        <v>0</v>
      </c>
      <c r="X390" s="113" t="s">
        <v>58</v>
      </c>
      <c r="Y390" s="34">
        <v>600</v>
      </c>
      <c r="Z390" s="9">
        <v>0</v>
      </c>
      <c r="AA390" s="10">
        <v>0</v>
      </c>
      <c r="AB390" s="11"/>
      <c r="AD390" s="71"/>
      <c r="AE390" s="33">
        <v>11081</v>
      </c>
      <c r="AF390" s="9">
        <v>59</v>
      </c>
      <c r="AG390" s="9">
        <v>765</v>
      </c>
      <c r="AH390" s="9">
        <v>1</v>
      </c>
      <c r="AI390" s="9">
        <v>11</v>
      </c>
      <c r="AJ390" s="9">
        <v>1</v>
      </c>
      <c r="AK390" s="13">
        <v>0</v>
      </c>
      <c r="AL390" s="113" t="s">
        <v>59</v>
      </c>
      <c r="AM390" s="34">
        <f t="shared" si="456"/>
        <v>748</v>
      </c>
      <c r="AN390" s="9">
        <f t="shared" si="457"/>
        <v>748</v>
      </c>
      <c r="AO390" s="10">
        <f t="shared" si="458"/>
        <v>0.12677966101694915</v>
      </c>
      <c r="AP390" s="11"/>
      <c r="AR390" s="71"/>
      <c r="AS390" s="33">
        <v>9752</v>
      </c>
      <c r="AT390" s="9">
        <v>28</v>
      </c>
      <c r="AU390" s="9">
        <v>513</v>
      </c>
      <c r="AV390" s="9">
        <v>0</v>
      </c>
      <c r="AW390" s="9">
        <v>22</v>
      </c>
      <c r="AX390" s="9">
        <v>0</v>
      </c>
      <c r="AY390" s="13"/>
      <c r="AZ390" s="113" t="s">
        <v>60</v>
      </c>
      <c r="BA390" s="34">
        <f>IF(AT390="","",BA386)</f>
        <v>1100</v>
      </c>
      <c r="BB390" s="9">
        <v>0</v>
      </c>
      <c r="BC390" s="10">
        <v>0</v>
      </c>
      <c r="BD390" s="11"/>
    </row>
    <row r="391" spans="1:56" ht="15" customHeight="1" x14ac:dyDescent="0.2">
      <c r="A391" s="71"/>
      <c r="B391" s="64"/>
      <c r="C391" s="38">
        <v>14478</v>
      </c>
      <c r="D391" s="9">
        <v>57</v>
      </c>
      <c r="E391" s="9">
        <v>565</v>
      </c>
      <c r="F391" s="9">
        <v>2</v>
      </c>
      <c r="G391" s="9">
        <v>13</v>
      </c>
      <c r="H391" s="9">
        <v>1</v>
      </c>
      <c r="I391" s="13">
        <v>0</v>
      </c>
      <c r="J391" s="113" t="s">
        <v>81</v>
      </c>
      <c r="K391" s="9">
        <v>500</v>
      </c>
      <c r="L391" s="9">
        <f t="shared" si="469"/>
        <v>500</v>
      </c>
      <c r="M391" s="10">
        <f t="shared" si="470"/>
        <v>8.771929824561403E-2</v>
      </c>
      <c r="N391" s="11"/>
      <c r="P391" s="71"/>
      <c r="Q391" s="38">
        <v>13028</v>
      </c>
      <c r="R391" s="9">
        <v>85</v>
      </c>
      <c r="S391" s="9">
        <v>863</v>
      </c>
      <c r="T391" s="9">
        <v>4</v>
      </c>
      <c r="U391" s="9">
        <v>84</v>
      </c>
      <c r="V391" s="9">
        <v>4</v>
      </c>
      <c r="W391" s="13">
        <v>0</v>
      </c>
      <c r="X391" s="113" t="s">
        <v>48</v>
      </c>
      <c r="Y391" s="9">
        <v>198</v>
      </c>
      <c r="Z391" s="9">
        <v>792</v>
      </c>
      <c r="AA391" s="10">
        <v>0.09</v>
      </c>
      <c r="AB391" s="11"/>
      <c r="AD391" s="71"/>
      <c r="AE391" s="38">
        <v>13983</v>
      </c>
      <c r="AF391" s="9">
        <v>39</v>
      </c>
      <c r="AG391" s="9">
        <v>2383</v>
      </c>
      <c r="AH391" s="9">
        <v>0</v>
      </c>
      <c r="AI391" s="9">
        <v>11</v>
      </c>
      <c r="AJ391" s="9">
        <v>0</v>
      </c>
      <c r="AK391" s="13">
        <v>0</v>
      </c>
      <c r="AL391" s="113" t="s">
        <v>61</v>
      </c>
      <c r="AM391" s="9">
        <f t="shared" si="456"/>
        <v>700</v>
      </c>
      <c r="AN391" s="9">
        <f t="shared" si="457"/>
        <v>0</v>
      </c>
      <c r="AO391" s="10">
        <f t="shared" si="458"/>
        <v>0</v>
      </c>
      <c r="AP391" s="11"/>
      <c r="AR391" s="71"/>
      <c r="AS391" s="38">
        <v>12242</v>
      </c>
      <c r="AT391" s="9">
        <v>49</v>
      </c>
      <c r="AU391" s="9">
        <v>729</v>
      </c>
      <c r="AV391" s="9">
        <v>0</v>
      </c>
      <c r="AW391" s="9">
        <v>16</v>
      </c>
      <c r="AX391" s="9">
        <v>0</v>
      </c>
      <c r="AY391" s="13"/>
      <c r="AZ391" s="113" t="s">
        <v>20</v>
      </c>
      <c r="BA391" s="34">
        <f>IF(AT391="","",BA387)</f>
        <v>528</v>
      </c>
      <c r="BB391" s="9">
        <v>0</v>
      </c>
      <c r="BC391" s="10">
        <v>0</v>
      </c>
      <c r="BD391" s="11"/>
    </row>
    <row r="392" spans="1:56" ht="15" customHeight="1" thickBot="1" x14ac:dyDescent="0.25">
      <c r="A392" s="75"/>
      <c r="B392" s="67"/>
      <c r="C392" s="36">
        <v>11028</v>
      </c>
      <c r="D392" s="37">
        <v>31</v>
      </c>
      <c r="E392" s="17">
        <v>1152</v>
      </c>
      <c r="F392" s="17">
        <v>0</v>
      </c>
      <c r="G392" s="17">
        <v>13</v>
      </c>
      <c r="H392" s="17">
        <v>0</v>
      </c>
      <c r="I392" s="29">
        <v>0</v>
      </c>
      <c r="J392" s="114" t="str">
        <f t="shared" si="471"/>
        <v>キティヒョウ柄マスコット</v>
      </c>
      <c r="K392" s="37">
        <f t="shared" si="472"/>
        <v>996</v>
      </c>
      <c r="L392" s="17">
        <f t="shared" si="469"/>
        <v>0</v>
      </c>
      <c r="M392" s="18">
        <f t="shared" si="470"/>
        <v>0</v>
      </c>
      <c r="N392" s="100" t="s">
        <v>95</v>
      </c>
      <c r="P392" s="75"/>
      <c r="Q392" s="36">
        <v>11073</v>
      </c>
      <c r="R392" s="37">
        <v>59</v>
      </c>
      <c r="S392" s="17">
        <v>1035</v>
      </c>
      <c r="T392" s="17">
        <v>1</v>
      </c>
      <c r="U392" s="17">
        <v>8</v>
      </c>
      <c r="V392" s="17">
        <v>1</v>
      </c>
      <c r="W392" s="29">
        <v>0</v>
      </c>
      <c r="X392" s="114" t="s">
        <v>18</v>
      </c>
      <c r="Y392" s="37">
        <v>286</v>
      </c>
      <c r="Z392" s="17">
        <v>286</v>
      </c>
      <c r="AA392" s="18">
        <v>0.05</v>
      </c>
      <c r="AB392" s="100" t="s">
        <v>97</v>
      </c>
      <c r="AD392" s="75"/>
      <c r="AE392" s="36">
        <v>13197</v>
      </c>
      <c r="AF392" s="37">
        <v>69</v>
      </c>
      <c r="AG392" s="17">
        <v>1505</v>
      </c>
      <c r="AH392" s="17">
        <v>0</v>
      </c>
      <c r="AI392" s="17">
        <v>15</v>
      </c>
      <c r="AJ392" s="17">
        <v>0</v>
      </c>
      <c r="AK392" s="29">
        <v>0</v>
      </c>
      <c r="AL392" s="114" t="s">
        <v>80</v>
      </c>
      <c r="AM392" s="37">
        <v>500</v>
      </c>
      <c r="AN392" s="17">
        <f t="shared" si="457"/>
        <v>0</v>
      </c>
      <c r="AO392" s="18">
        <f t="shared" si="458"/>
        <v>0</v>
      </c>
      <c r="AP392" s="11"/>
      <c r="AR392" s="75"/>
      <c r="AS392" s="36">
        <v>10108</v>
      </c>
      <c r="AT392" s="37">
        <v>18</v>
      </c>
      <c r="AU392" s="17">
        <v>786</v>
      </c>
      <c r="AV392" s="17">
        <v>0</v>
      </c>
      <c r="AW392" s="17">
        <v>25</v>
      </c>
      <c r="AX392" s="17">
        <v>0</v>
      </c>
      <c r="AY392" s="29"/>
      <c r="AZ392" s="114" t="s">
        <v>94</v>
      </c>
      <c r="BA392" s="37"/>
      <c r="BB392" s="17">
        <v>0</v>
      </c>
      <c r="BC392" s="18">
        <v>0</v>
      </c>
      <c r="BD392" s="100" t="s">
        <v>96</v>
      </c>
    </row>
    <row r="393" spans="1:56" ht="15" customHeight="1" thickTop="1" x14ac:dyDescent="0.2">
      <c r="A393" s="71">
        <v>45936</v>
      </c>
      <c r="B393" s="61">
        <f>SUM(D393:D396)+SUM(R393:R396)+SUM(AF393:AF396)+SUM(AT393:AT396)</f>
        <v>1398</v>
      </c>
      <c r="C393" s="33">
        <v>14385</v>
      </c>
      <c r="D393" s="94">
        <f t="shared" si="466"/>
        <v>17</v>
      </c>
      <c r="E393" s="33">
        <v>1037</v>
      </c>
      <c r="F393" s="20">
        <f t="shared" ref="F393:F428" si="473">IF(E393="","",E393-E389)</f>
        <v>4</v>
      </c>
      <c r="G393" s="33">
        <v>11</v>
      </c>
      <c r="H393" s="33">
        <f t="shared" si="468"/>
        <v>4</v>
      </c>
      <c r="I393" s="43">
        <v>3</v>
      </c>
      <c r="J393" s="113" t="str">
        <f t="shared" si="471"/>
        <v>液晶ミニカメラ</v>
      </c>
      <c r="K393" s="34">
        <f t="shared" si="472"/>
        <v>1075</v>
      </c>
      <c r="L393" s="20">
        <f t="shared" si="469"/>
        <v>4300</v>
      </c>
      <c r="M393" s="21">
        <f t="shared" si="470"/>
        <v>2.5294117647058822</v>
      </c>
      <c r="N393" s="11" t="s">
        <v>71</v>
      </c>
      <c r="P393" s="76">
        <f>IF($A$393="","",$A$393)</f>
        <v>45936</v>
      </c>
      <c r="Q393" s="33">
        <v>13384</v>
      </c>
      <c r="R393" s="94">
        <f t="shared" si="445"/>
        <v>36</v>
      </c>
      <c r="S393" s="33">
        <v>1370</v>
      </c>
      <c r="T393" s="20">
        <f t="shared" si="446"/>
        <v>2</v>
      </c>
      <c r="U393" s="33">
        <v>24</v>
      </c>
      <c r="V393" s="33">
        <f t="shared" si="447"/>
        <v>2</v>
      </c>
      <c r="W393" s="43">
        <v>-16</v>
      </c>
      <c r="X393" s="113" t="str">
        <f t="shared" si="448"/>
        <v>北斗イヤホン</v>
      </c>
      <c r="Y393" s="34">
        <f t="shared" si="449"/>
        <v>1100</v>
      </c>
      <c r="Z393" s="20">
        <f t="shared" si="450"/>
        <v>2200</v>
      </c>
      <c r="AA393" s="21">
        <f t="shared" si="451"/>
        <v>0.61111111111111116</v>
      </c>
      <c r="AB393" s="11" t="s">
        <v>101</v>
      </c>
      <c r="AD393" s="76">
        <f>IF($A$393="","",$A$393)</f>
        <v>45936</v>
      </c>
      <c r="AE393" s="33">
        <v>11615</v>
      </c>
      <c r="AF393" s="94">
        <f t="shared" si="452"/>
        <v>29</v>
      </c>
      <c r="AG393" s="33">
        <v>891</v>
      </c>
      <c r="AH393" s="20">
        <f t="shared" si="453"/>
        <v>2</v>
      </c>
      <c r="AI393" s="33">
        <v>5</v>
      </c>
      <c r="AJ393" s="33">
        <f t="shared" si="454"/>
        <v>2</v>
      </c>
      <c r="AK393" s="43">
        <v>4</v>
      </c>
      <c r="AL393" s="113" t="str">
        <f t="shared" si="455"/>
        <v>ピクミンマスコット</v>
      </c>
      <c r="AM393" s="34">
        <f t="shared" si="456"/>
        <v>748</v>
      </c>
      <c r="AN393" s="20">
        <f t="shared" si="457"/>
        <v>1496</v>
      </c>
      <c r="AO393" s="21">
        <f t="shared" si="458"/>
        <v>0.51586206896551723</v>
      </c>
      <c r="AP393" s="11" t="s">
        <v>99</v>
      </c>
      <c r="AR393" s="76">
        <f>IF($A$393="","",$A$393)</f>
        <v>45936</v>
      </c>
      <c r="AS393" s="33">
        <v>8117</v>
      </c>
      <c r="AT393" s="33">
        <f t="shared" si="459"/>
        <v>113</v>
      </c>
      <c r="AU393" s="33">
        <v>465</v>
      </c>
      <c r="AV393" s="20">
        <f t="shared" si="460"/>
        <v>-4</v>
      </c>
      <c r="AW393" s="33">
        <v>4</v>
      </c>
      <c r="AX393" s="33">
        <f t="shared" si="461"/>
        <v>4</v>
      </c>
      <c r="AY393" s="43">
        <v>4</v>
      </c>
      <c r="AZ393" s="113" t="str">
        <f t="shared" si="462"/>
        <v>デジタルミニカメラ</v>
      </c>
      <c r="BA393" s="34">
        <f t="shared" si="463"/>
        <v>722</v>
      </c>
      <c r="BB393" s="20">
        <f t="shared" si="464"/>
        <v>2888</v>
      </c>
      <c r="BC393" s="21">
        <f t="shared" si="465"/>
        <v>0.25557522123893806</v>
      </c>
      <c r="BD393" s="11" t="s">
        <v>98</v>
      </c>
    </row>
    <row r="394" spans="1:56" ht="15" customHeight="1" x14ac:dyDescent="0.2">
      <c r="A394" s="72"/>
      <c r="B394" s="8"/>
      <c r="C394" s="9">
        <v>16234</v>
      </c>
      <c r="D394" s="9">
        <f t="shared" si="466"/>
        <v>108</v>
      </c>
      <c r="E394" s="9">
        <v>554</v>
      </c>
      <c r="F394" s="9">
        <f t="shared" si="473"/>
        <v>5</v>
      </c>
      <c r="G394" s="9">
        <v>30</v>
      </c>
      <c r="H394" s="9">
        <f t="shared" si="468"/>
        <v>5</v>
      </c>
      <c r="I394" s="13">
        <v>10</v>
      </c>
      <c r="J394" s="113" t="str">
        <f t="shared" si="471"/>
        <v>電ブル</v>
      </c>
      <c r="K394" s="34">
        <f t="shared" si="472"/>
        <v>275</v>
      </c>
      <c r="L394" s="9">
        <f t="shared" si="469"/>
        <v>1375</v>
      </c>
      <c r="M394" s="10">
        <f t="shared" si="470"/>
        <v>0.12731481481481483</v>
      </c>
      <c r="N394" s="11"/>
      <c r="P394" s="72"/>
      <c r="Q394" s="9">
        <v>13314</v>
      </c>
      <c r="R394" s="77">
        <f t="shared" si="445"/>
        <v>12</v>
      </c>
      <c r="S394" s="9">
        <v>481</v>
      </c>
      <c r="T394" s="9">
        <f t="shared" si="446"/>
        <v>2</v>
      </c>
      <c r="U394" s="9">
        <v>8</v>
      </c>
      <c r="V394" s="9">
        <f t="shared" si="447"/>
        <v>3</v>
      </c>
      <c r="W394" s="13">
        <v>4</v>
      </c>
      <c r="X394" s="113" t="str">
        <f t="shared" si="448"/>
        <v>サンリオミニリュックチャーム付</v>
      </c>
      <c r="Y394" s="34">
        <f t="shared" si="449"/>
        <v>600</v>
      </c>
      <c r="Z394" s="9">
        <f t="shared" si="450"/>
        <v>1800</v>
      </c>
      <c r="AA394" s="10">
        <f t="shared" si="451"/>
        <v>1.5</v>
      </c>
      <c r="AB394" s="11" t="s">
        <v>102</v>
      </c>
      <c r="AD394" s="72"/>
      <c r="AE394" s="9">
        <v>11136</v>
      </c>
      <c r="AF394" s="9">
        <f t="shared" si="452"/>
        <v>55</v>
      </c>
      <c r="AG394" s="9">
        <v>765</v>
      </c>
      <c r="AH394" s="9">
        <f t="shared" si="453"/>
        <v>0</v>
      </c>
      <c r="AI394" s="9">
        <v>11</v>
      </c>
      <c r="AJ394" s="9">
        <f t="shared" si="454"/>
        <v>0</v>
      </c>
      <c r="AK394" s="13">
        <v>10</v>
      </c>
      <c r="AL394" s="113" t="str">
        <f t="shared" si="455"/>
        <v>ジャグラーサウンドフラッシュ</v>
      </c>
      <c r="AM394" s="34">
        <f t="shared" si="456"/>
        <v>748</v>
      </c>
      <c r="AN394" s="9">
        <f t="shared" si="457"/>
        <v>0</v>
      </c>
      <c r="AO394" s="10">
        <f t="shared" si="458"/>
        <v>0</v>
      </c>
      <c r="AP394" s="11"/>
      <c r="AR394" s="72"/>
      <c r="AS394" s="9">
        <v>9784</v>
      </c>
      <c r="AT394" s="77">
        <f t="shared" si="459"/>
        <v>32</v>
      </c>
      <c r="AU394" s="9">
        <v>514</v>
      </c>
      <c r="AV394" s="9">
        <f t="shared" si="460"/>
        <v>1</v>
      </c>
      <c r="AW394" s="9">
        <v>22</v>
      </c>
      <c r="AX394" s="9">
        <f t="shared" si="461"/>
        <v>0</v>
      </c>
      <c r="AY394" s="13">
        <v>0</v>
      </c>
      <c r="AZ394" s="113" t="str">
        <f t="shared" si="462"/>
        <v>クーリッシュイヤホン</v>
      </c>
      <c r="BA394" s="34">
        <f t="shared" si="463"/>
        <v>1100</v>
      </c>
      <c r="BB394" s="9">
        <f t="shared" si="464"/>
        <v>0</v>
      </c>
      <c r="BC394" s="10">
        <f t="shared" si="465"/>
        <v>0</v>
      </c>
      <c r="BD394" s="11"/>
    </row>
    <row r="395" spans="1:56" ht="15" customHeight="1" x14ac:dyDescent="0.2">
      <c r="A395" s="72"/>
      <c r="B395" s="66"/>
      <c r="C395" s="23">
        <v>14801</v>
      </c>
      <c r="D395" s="9">
        <f t="shared" si="466"/>
        <v>323</v>
      </c>
      <c r="E395" s="9">
        <v>573</v>
      </c>
      <c r="F395" s="9">
        <f t="shared" si="473"/>
        <v>8</v>
      </c>
      <c r="G395" s="23">
        <v>4</v>
      </c>
      <c r="H395" s="9">
        <f t="shared" si="468"/>
        <v>9</v>
      </c>
      <c r="I395" s="30">
        <v>10</v>
      </c>
      <c r="J395" s="113" t="str">
        <f t="shared" si="471"/>
        <v>ラブブキーホルダー</v>
      </c>
      <c r="K395" s="34">
        <f t="shared" si="472"/>
        <v>500</v>
      </c>
      <c r="L395" s="9">
        <f t="shared" si="469"/>
        <v>4500</v>
      </c>
      <c r="M395" s="10">
        <f t="shared" si="470"/>
        <v>0.13931888544891641</v>
      </c>
      <c r="N395" s="11"/>
      <c r="P395" s="72"/>
      <c r="Q395" s="23">
        <v>13157</v>
      </c>
      <c r="R395" s="9">
        <f t="shared" si="445"/>
        <v>129</v>
      </c>
      <c r="S395" s="9">
        <v>872</v>
      </c>
      <c r="T395" s="9">
        <f t="shared" si="446"/>
        <v>9</v>
      </c>
      <c r="U395" s="23">
        <v>73</v>
      </c>
      <c r="V395" s="9">
        <f t="shared" si="447"/>
        <v>11</v>
      </c>
      <c r="W395" s="30">
        <v>15</v>
      </c>
      <c r="X395" s="113" t="str">
        <f t="shared" si="448"/>
        <v>AIラバー</v>
      </c>
      <c r="Y395" s="34">
        <f t="shared" si="449"/>
        <v>198</v>
      </c>
      <c r="Z395" s="9">
        <f t="shared" si="450"/>
        <v>2178</v>
      </c>
      <c r="AA395" s="10">
        <f t="shared" si="451"/>
        <v>0.16883720930232557</v>
      </c>
      <c r="AB395" s="11"/>
      <c r="AD395" s="72"/>
      <c r="AE395" s="23">
        <v>14007</v>
      </c>
      <c r="AF395" s="77">
        <f t="shared" si="452"/>
        <v>24</v>
      </c>
      <c r="AG395" s="9">
        <v>2384</v>
      </c>
      <c r="AH395" s="9">
        <f t="shared" si="453"/>
        <v>1</v>
      </c>
      <c r="AI395" s="23">
        <v>10</v>
      </c>
      <c r="AJ395" s="9">
        <f t="shared" si="454"/>
        <v>1</v>
      </c>
      <c r="AK395" s="30">
        <v>3</v>
      </c>
      <c r="AL395" s="113" t="str">
        <f t="shared" si="455"/>
        <v>サンリオギャルキーケース</v>
      </c>
      <c r="AM395" s="34">
        <f t="shared" si="456"/>
        <v>700</v>
      </c>
      <c r="AN395" s="9">
        <f t="shared" si="457"/>
        <v>700</v>
      </c>
      <c r="AO395" s="10">
        <f t="shared" si="458"/>
        <v>0.29166666666666669</v>
      </c>
      <c r="AP395" s="11"/>
      <c r="AR395" s="72"/>
      <c r="AS395" s="23">
        <v>12258</v>
      </c>
      <c r="AT395" s="77">
        <f>IF(AS395="","",AS395-AS391)</f>
        <v>16</v>
      </c>
      <c r="AU395" s="9">
        <v>729</v>
      </c>
      <c r="AV395" s="9">
        <f t="shared" si="460"/>
        <v>0</v>
      </c>
      <c r="AW395" s="23">
        <v>16</v>
      </c>
      <c r="AX395" s="9">
        <f t="shared" si="461"/>
        <v>0</v>
      </c>
      <c r="AY395" s="30">
        <v>0</v>
      </c>
      <c r="AZ395" s="113" t="str">
        <f t="shared" si="462"/>
        <v>モンチッチマスコット</v>
      </c>
      <c r="BA395" s="34">
        <f t="shared" si="463"/>
        <v>528</v>
      </c>
      <c r="BB395" s="9">
        <f t="shared" si="464"/>
        <v>0</v>
      </c>
      <c r="BC395" s="10">
        <f t="shared" si="465"/>
        <v>0</v>
      </c>
      <c r="BD395" s="11"/>
    </row>
    <row r="396" spans="1:56" ht="15" customHeight="1" thickBot="1" x14ac:dyDescent="0.25">
      <c r="A396" s="75"/>
      <c r="B396" s="67"/>
      <c r="C396" s="17">
        <v>11056</v>
      </c>
      <c r="D396" s="83">
        <f t="shared" si="466"/>
        <v>28</v>
      </c>
      <c r="E396" s="17">
        <v>1165</v>
      </c>
      <c r="F396" s="17">
        <f t="shared" si="473"/>
        <v>13</v>
      </c>
      <c r="G396" s="17">
        <v>9</v>
      </c>
      <c r="H396" s="17">
        <f t="shared" si="468"/>
        <v>4</v>
      </c>
      <c r="I396" s="29">
        <v>6</v>
      </c>
      <c r="J396" s="114" t="str">
        <f t="shared" si="471"/>
        <v>キティヒョウ柄マスコット</v>
      </c>
      <c r="K396" s="37">
        <f t="shared" si="472"/>
        <v>996</v>
      </c>
      <c r="L396" s="17">
        <f t="shared" si="469"/>
        <v>3984</v>
      </c>
      <c r="M396" s="18">
        <f t="shared" si="470"/>
        <v>1.4228571428571428</v>
      </c>
      <c r="N396" s="11" t="s">
        <v>100</v>
      </c>
      <c r="P396" s="75"/>
      <c r="Q396" s="17">
        <v>11282</v>
      </c>
      <c r="R396" s="37">
        <f t="shared" si="445"/>
        <v>209</v>
      </c>
      <c r="S396" s="17">
        <v>1035</v>
      </c>
      <c r="T396" s="17">
        <f t="shared" si="446"/>
        <v>0</v>
      </c>
      <c r="U396" s="17">
        <v>8</v>
      </c>
      <c r="V396" s="17">
        <f t="shared" si="447"/>
        <v>0</v>
      </c>
      <c r="W396" s="29">
        <v>3</v>
      </c>
      <c r="X396" s="114" t="str">
        <f t="shared" si="448"/>
        <v>AIマスコット</v>
      </c>
      <c r="Y396" s="37">
        <f t="shared" si="449"/>
        <v>286</v>
      </c>
      <c r="Z396" s="17">
        <f t="shared" si="450"/>
        <v>0</v>
      </c>
      <c r="AA396" s="18">
        <f t="shared" si="451"/>
        <v>0</v>
      </c>
      <c r="AB396" s="11" t="s">
        <v>103</v>
      </c>
      <c r="AD396" s="75"/>
      <c r="AE396" s="17">
        <v>13400</v>
      </c>
      <c r="AF396" s="37">
        <f t="shared" si="452"/>
        <v>203</v>
      </c>
      <c r="AG396" s="17">
        <v>1513</v>
      </c>
      <c r="AH396" s="17">
        <f t="shared" si="453"/>
        <v>8</v>
      </c>
      <c r="AI396" s="17">
        <v>8</v>
      </c>
      <c r="AJ396" s="17">
        <f t="shared" si="454"/>
        <v>7</v>
      </c>
      <c r="AK396" s="29">
        <v>5</v>
      </c>
      <c r="AL396" s="114" t="str">
        <f t="shared" si="455"/>
        <v>ラブブマスコット</v>
      </c>
      <c r="AM396" s="37">
        <f t="shared" si="456"/>
        <v>500</v>
      </c>
      <c r="AN396" s="17">
        <f t="shared" si="457"/>
        <v>3500</v>
      </c>
      <c r="AO396" s="18">
        <f t="shared" si="458"/>
        <v>0.17241379310344829</v>
      </c>
      <c r="AP396" s="11"/>
      <c r="AR396" s="75"/>
      <c r="AS396" s="17">
        <v>10172</v>
      </c>
      <c r="AT396" s="37">
        <f t="shared" si="459"/>
        <v>64</v>
      </c>
      <c r="AU396" s="17">
        <v>790</v>
      </c>
      <c r="AV396" s="17">
        <f t="shared" si="460"/>
        <v>4</v>
      </c>
      <c r="AW396" s="17">
        <v>21</v>
      </c>
      <c r="AX396" s="17">
        <f t="shared" si="461"/>
        <v>4</v>
      </c>
      <c r="AY396" s="29">
        <v>6</v>
      </c>
      <c r="AZ396" s="114" t="str">
        <f t="shared" si="462"/>
        <v>サンリオでかぱっちん</v>
      </c>
      <c r="BA396" s="37">
        <v>660</v>
      </c>
      <c r="BB396" s="17">
        <f t="shared" si="464"/>
        <v>2640</v>
      </c>
      <c r="BC396" s="18">
        <f t="shared" si="465"/>
        <v>0.41249999999999998</v>
      </c>
      <c r="BD396" s="11"/>
    </row>
    <row r="397" spans="1:56" ht="15" customHeight="1" thickTop="1" x14ac:dyDescent="0.2">
      <c r="A397" s="71">
        <v>45940</v>
      </c>
      <c r="B397" s="61">
        <f>SUM(D397:D400)+SUM(R397:R400)+SUM(AF397:AF400)+SUM(AT397:AT400)</f>
        <v>667</v>
      </c>
      <c r="C397" s="33">
        <v>14452</v>
      </c>
      <c r="D397" s="33">
        <f t="shared" si="466"/>
        <v>67</v>
      </c>
      <c r="E397" s="33">
        <v>1039</v>
      </c>
      <c r="F397" s="20">
        <f t="shared" si="473"/>
        <v>2</v>
      </c>
      <c r="G397" s="33">
        <v>12</v>
      </c>
      <c r="H397" s="33">
        <f t="shared" si="468"/>
        <v>2</v>
      </c>
      <c r="I397" s="43">
        <v>2</v>
      </c>
      <c r="J397" s="112" t="str">
        <f t="shared" si="471"/>
        <v>液晶ミニカメラ</v>
      </c>
      <c r="K397" s="40">
        <f t="shared" si="472"/>
        <v>1075</v>
      </c>
      <c r="L397" s="20">
        <f t="shared" si="469"/>
        <v>2150</v>
      </c>
      <c r="M397" s="21">
        <f t="shared" si="470"/>
        <v>0.32089552238805968</v>
      </c>
      <c r="N397" s="11"/>
      <c r="P397" s="76">
        <f>IF($A$397="","",$A$397)</f>
        <v>45940</v>
      </c>
      <c r="Q397" s="33">
        <v>13471</v>
      </c>
      <c r="R397" s="33">
        <f t="shared" ref="R397:R428" si="474">IF(Q397="","",Q397-Q393)</f>
        <v>87</v>
      </c>
      <c r="S397" s="33">
        <v>1372</v>
      </c>
      <c r="T397" s="20">
        <f t="shared" ref="T397:T428" si="475">IF(S397="","",S397-S393)</f>
        <v>2</v>
      </c>
      <c r="U397" s="33">
        <v>6</v>
      </c>
      <c r="V397" s="33">
        <f t="shared" ref="V397:V428" si="476">IF(U397="","",U393+W393-U397)</f>
        <v>2</v>
      </c>
      <c r="W397" s="43">
        <v>2</v>
      </c>
      <c r="X397" s="112" t="s">
        <v>47</v>
      </c>
      <c r="Y397" s="40"/>
      <c r="Z397" s="20">
        <f t="shared" ref="Z397:Z428" si="477">IF(U397="","",V397*Y397)</f>
        <v>0</v>
      </c>
      <c r="AA397" s="21">
        <f t="shared" ref="AA397:AA428" si="478">IF(V397="","",Z397/(R397*100))</f>
        <v>0</v>
      </c>
      <c r="AB397" s="11"/>
      <c r="AD397" s="76">
        <f>IF($A$397="","",$A$397)</f>
        <v>45940</v>
      </c>
      <c r="AE397" s="33">
        <v>11656</v>
      </c>
      <c r="AF397" s="33">
        <f t="shared" ref="AF397:AF428" si="479">IF(AE397="","",AE397-AE393)</f>
        <v>41</v>
      </c>
      <c r="AG397" s="33">
        <v>891</v>
      </c>
      <c r="AH397" s="20">
        <f t="shared" ref="AH397:AH428" si="480">IF(AG397="","",AG397-AG393)</f>
        <v>0</v>
      </c>
      <c r="AI397" s="33">
        <v>9</v>
      </c>
      <c r="AJ397" s="33">
        <f t="shared" ref="AJ397:AJ403" si="481">IF(AI397="","",AI393+AK393-AI397)</f>
        <v>0</v>
      </c>
      <c r="AK397" s="43">
        <v>0</v>
      </c>
      <c r="AL397" s="112" t="str">
        <f t="shared" ref="AL397:AL428" si="482">IF(AE397="","",AL393)</f>
        <v>ピクミンマスコット</v>
      </c>
      <c r="AM397" s="40">
        <f t="shared" ref="AM397:AM428" si="483">IF(AF397="","",AM393)</f>
        <v>748</v>
      </c>
      <c r="AN397" s="20">
        <f t="shared" ref="AN397:AN428" si="484">IF(AI397="","",AJ397*AM397)</f>
        <v>0</v>
      </c>
      <c r="AO397" s="21">
        <f t="shared" ref="AO397:AO428" si="485">IF(AJ397="","",AN397/(AF397*100))</f>
        <v>0</v>
      </c>
      <c r="AP397" s="11"/>
      <c r="AR397" s="76">
        <f>IF($A$397="","",$A$397)</f>
        <v>45940</v>
      </c>
      <c r="AS397" s="33">
        <v>8189</v>
      </c>
      <c r="AT397" s="33">
        <f t="shared" ref="AT397:AT428" si="486">IF(AS397="","",AS397-AS393)</f>
        <v>72</v>
      </c>
      <c r="AU397" s="33">
        <v>466</v>
      </c>
      <c r="AV397" s="20">
        <f t="shared" ref="AV397:AV428" si="487">IF(AU397="","",AU397-AU393)</f>
        <v>1</v>
      </c>
      <c r="AW397" s="33">
        <v>7</v>
      </c>
      <c r="AX397" s="33">
        <f t="shared" ref="AX397:AX428" si="488">IF(AW397="","",AW393+AY393-AW397)</f>
        <v>1</v>
      </c>
      <c r="AY397" s="43">
        <v>1</v>
      </c>
      <c r="AZ397" s="112" t="str">
        <f t="shared" si="462"/>
        <v>デジタルミニカメラ</v>
      </c>
      <c r="BA397" s="40">
        <f t="shared" ref="BA397:BA428" si="489">IF(AT397="","",BA393)</f>
        <v>722</v>
      </c>
      <c r="BB397" s="20">
        <f t="shared" ref="BB397:BB428" si="490">IF(AW397="","",AX397*BA397)</f>
        <v>722</v>
      </c>
      <c r="BC397" s="21">
        <f t="shared" ref="BC397:BC428" si="491">IF(AX397="","",BB397/(AT397*100))</f>
        <v>0.10027777777777777</v>
      </c>
      <c r="BD397" s="11"/>
    </row>
    <row r="398" spans="1:56" ht="15" customHeight="1" x14ac:dyDescent="0.2">
      <c r="A398" s="71"/>
      <c r="B398" s="61"/>
      <c r="C398" s="33">
        <v>16276</v>
      </c>
      <c r="D398" s="9">
        <f t="shared" si="466"/>
        <v>42</v>
      </c>
      <c r="E398" s="9">
        <v>556</v>
      </c>
      <c r="F398" s="9">
        <f t="shared" si="473"/>
        <v>2</v>
      </c>
      <c r="G398" s="9">
        <v>38</v>
      </c>
      <c r="H398" s="9">
        <f t="shared" si="468"/>
        <v>2</v>
      </c>
      <c r="I398" s="13">
        <v>10</v>
      </c>
      <c r="J398" s="113" t="str">
        <f t="shared" si="471"/>
        <v>電ブル</v>
      </c>
      <c r="K398" s="34">
        <f t="shared" si="472"/>
        <v>275</v>
      </c>
      <c r="L398" s="9">
        <f t="shared" si="469"/>
        <v>550</v>
      </c>
      <c r="M398" s="10">
        <f t="shared" si="470"/>
        <v>0.13095238095238096</v>
      </c>
      <c r="N398" s="11"/>
      <c r="P398" s="71"/>
      <c r="Q398" s="33">
        <v>13360</v>
      </c>
      <c r="R398" s="9">
        <f t="shared" si="474"/>
        <v>46</v>
      </c>
      <c r="S398" s="9">
        <v>482</v>
      </c>
      <c r="T398" s="9">
        <f t="shared" si="475"/>
        <v>1</v>
      </c>
      <c r="U398" s="9">
        <v>11</v>
      </c>
      <c r="V398" s="9">
        <f t="shared" si="476"/>
        <v>1</v>
      </c>
      <c r="W398" s="13">
        <v>1</v>
      </c>
      <c r="X398" s="113" t="str">
        <f t="shared" ref="X398:X428" si="492">IF(Q398="","",X394)</f>
        <v>サンリオミニリュックチャーム付</v>
      </c>
      <c r="Y398" s="34">
        <f t="shared" ref="Y398:Y428" si="493">IF(R398="","",Y394)</f>
        <v>600</v>
      </c>
      <c r="Z398" s="9">
        <f t="shared" si="477"/>
        <v>600</v>
      </c>
      <c r="AA398" s="10">
        <f t="shared" si="478"/>
        <v>0.13043478260869565</v>
      </c>
      <c r="AB398" s="11"/>
      <c r="AD398" s="71"/>
      <c r="AE398" s="33">
        <v>11158</v>
      </c>
      <c r="AF398" s="77">
        <f t="shared" si="479"/>
        <v>22</v>
      </c>
      <c r="AG398" s="9">
        <v>765</v>
      </c>
      <c r="AH398" s="9">
        <f t="shared" si="480"/>
        <v>0</v>
      </c>
      <c r="AI398" s="9">
        <v>21</v>
      </c>
      <c r="AJ398" s="9">
        <f t="shared" si="481"/>
        <v>0</v>
      </c>
      <c r="AK398" s="13">
        <v>0</v>
      </c>
      <c r="AL398" s="113" t="str">
        <f t="shared" si="482"/>
        <v>ジャグラーサウンドフラッシュ</v>
      </c>
      <c r="AM398" s="34">
        <f t="shared" si="483"/>
        <v>748</v>
      </c>
      <c r="AN398" s="9">
        <f t="shared" si="484"/>
        <v>0</v>
      </c>
      <c r="AO398" s="10">
        <f t="shared" si="485"/>
        <v>0</v>
      </c>
      <c r="AP398" s="11"/>
      <c r="AR398" s="71"/>
      <c r="AS398" s="33">
        <v>9850</v>
      </c>
      <c r="AT398" s="9">
        <f t="shared" si="486"/>
        <v>66</v>
      </c>
      <c r="AU398" s="9">
        <v>514</v>
      </c>
      <c r="AV398" s="9">
        <f t="shared" si="487"/>
        <v>0</v>
      </c>
      <c r="AW398" s="9">
        <v>22</v>
      </c>
      <c r="AX398" s="9">
        <f t="shared" si="488"/>
        <v>0</v>
      </c>
      <c r="AY398" s="13">
        <v>0</v>
      </c>
      <c r="AZ398" s="113" t="str">
        <f t="shared" si="462"/>
        <v>クーリッシュイヤホン</v>
      </c>
      <c r="BA398" s="34">
        <f t="shared" si="489"/>
        <v>1100</v>
      </c>
      <c r="BB398" s="9">
        <f t="shared" si="490"/>
        <v>0</v>
      </c>
      <c r="BC398" s="10">
        <f t="shared" si="491"/>
        <v>0</v>
      </c>
      <c r="BD398" s="11"/>
    </row>
    <row r="399" spans="1:56" ht="15" customHeight="1" x14ac:dyDescent="0.2">
      <c r="A399" s="72"/>
      <c r="B399" s="8"/>
      <c r="C399" s="38">
        <v>14884</v>
      </c>
      <c r="D399" s="9">
        <f t="shared" si="466"/>
        <v>83</v>
      </c>
      <c r="E399" s="9">
        <v>575</v>
      </c>
      <c r="F399" s="9">
        <f t="shared" si="473"/>
        <v>2</v>
      </c>
      <c r="G399" s="9">
        <v>11</v>
      </c>
      <c r="H399" s="9">
        <f t="shared" si="468"/>
        <v>3</v>
      </c>
      <c r="I399" s="13">
        <v>10</v>
      </c>
      <c r="J399" s="113" t="str">
        <f t="shared" si="471"/>
        <v>ラブブキーホルダー</v>
      </c>
      <c r="K399" s="9">
        <f t="shared" si="472"/>
        <v>500</v>
      </c>
      <c r="L399" s="9">
        <f t="shared" si="469"/>
        <v>1500</v>
      </c>
      <c r="M399" s="10">
        <f t="shared" si="470"/>
        <v>0.18072289156626506</v>
      </c>
      <c r="N399" s="11"/>
      <c r="P399" s="72"/>
      <c r="Q399" s="38">
        <v>13167</v>
      </c>
      <c r="R399" s="77">
        <f t="shared" si="474"/>
        <v>10</v>
      </c>
      <c r="S399" s="9">
        <v>873</v>
      </c>
      <c r="T399" s="9">
        <f t="shared" si="475"/>
        <v>1</v>
      </c>
      <c r="U399" s="9">
        <v>87</v>
      </c>
      <c r="V399" s="9">
        <f t="shared" si="476"/>
        <v>1</v>
      </c>
      <c r="W399" s="13">
        <v>0</v>
      </c>
      <c r="X399" s="113" t="str">
        <f t="shared" si="492"/>
        <v>AIラバー</v>
      </c>
      <c r="Y399" s="9">
        <f t="shared" si="493"/>
        <v>198</v>
      </c>
      <c r="Z399" s="9">
        <f t="shared" si="477"/>
        <v>198</v>
      </c>
      <c r="AA399" s="10">
        <f t="shared" si="478"/>
        <v>0.19800000000000001</v>
      </c>
      <c r="AB399" s="11"/>
      <c r="AD399" s="72"/>
      <c r="AE399" s="38">
        <v>14024</v>
      </c>
      <c r="AF399" s="77">
        <f t="shared" si="479"/>
        <v>17</v>
      </c>
      <c r="AG399" s="9">
        <v>2384</v>
      </c>
      <c r="AH399" s="9">
        <f t="shared" si="480"/>
        <v>0</v>
      </c>
      <c r="AI399" s="9">
        <v>13</v>
      </c>
      <c r="AJ399" s="9">
        <f t="shared" si="481"/>
        <v>0</v>
      </c>
      <c r="AK399" s="13">
        <v>0</v>
      </c>
      <c r="AL399" s="113" t="str">
        <f t="shared" si="482"/>
        <v>サンリオギャルキーケース</v>
      </c>
      <c r="AM399" s="9">
        <f t="shared" si="483"/>
        <v>700</v>
      </c>
      <c r="AN399" s="9">
        <f t="shared" si="484"/>
        <v>0</v>
      </c>
      <c r="AO399" s="10">
        <f t="shared" si="485"/>
        <v>0</v>
      </c>
      <c r="AP399" s="101" t="s">
        <v>104</v>
      </c>
      <c r="AR399" s="72"/>
      <c r="AS399" s="38">
        <v>12247</v>
      </c>
      <c r="AT399" s="77">
        <f t="shared" si="486"/>
        <v>-11</v>
      </c>
      <c r="AU399" s="9">
        <v>730</v>
      </c>
      <c r="AV399" s="9">
        <f t="shared" si="487"/>
        <v>1</v>
      </c>
      <c r="AW399" s="9">
        <v>15</v>
      </c>
      <c r="AX399" s="9">
        <f t="shared" si="488"/>
        <v>1</v>
      </c>
      <c r="AY399" s="13">
        <v>0</v>
      </c>
      <c r="AZ399" s="113" t="str">
        <f t="shared" si="462"/>
        <v>モンチッチマスコット</v>
      </c>
      <c r="BA399" s="9">
        <f t="shared" si="489"/>
        <v>528</v>
      </c>
      <c r="BB399" s="9">
        <f t="shared" si="490"/>
        <v>528</v>
      </c>
      <c r="BC399" s="10">
        <f t="shared" si="491"/>
        <v>-0.48</v>
      </c>
      <c r="BD399" s="11"/>
    </row>
    <row r="400" spans="1:56" ht="15" customHeight="1" thickBot="1" x14ac:dyDescent="0.25">
      <c r="A400" s="75"/>
      <c r="B400" s="67"/>
      <c r="C400" s="36">
        <v>11080</v>
      </c>
      <c r="D400" s="83">
        <f t="shared" si="466"/>
        <v>24</v>
      </c>
      <c r="E400" s="17">
        <v>1166</v>
      </c>
      <c r="F400" s="17">
        <f t="shared" si="473"/>
        <v>1</v>
      </c>
      <c r="G400" s="17">
        <v>15</v>
      </c>
      <c r="H400" s="17">
        <f t="shared" si="468"/>
        <v>0</v>
      </c>
      <c r="I400" s="29">
        <v>0</v>
      </c>
      <c r="J400" s="114" t="str">
        <f t="shared" si="471"/>
        <v>キティヒョウ柄マスコット</v>
      </c>
      <c r="K400" s="37">
        <f t="shared" si="472"/>
        <v>996</v>
      </c>
      <c r="L400" s="17">
        <f t="shared" si="469"/>
        <v>0</v>
      </c>
      <c r="M400" s="18">
        <f t="shared" si="470"/>
        <v>0</v>
      </c>
      <c r="N400" s="102" t="s">
        <v>105</v>
      </c>
      <c r="P400" s="75"/>
      <c r="Q400" s="36">
        <v>11310</v>
      </c>
      <c r="R400" s="83">
        <f t="shared" si="474"/>
        <v>28</v>
      </c>
      <c r="S400" s="17">
        <v>1035</v>
      </c>
      <c r="T400" s="17">
        <f t="shared" si="475"/>
        <v>0</v>
      </c>
      <c r="U400" s="17">
        <v>11</v>
      </c>
      <c r="V400" s="17">
        <f t="shared" si="476"/>
        <v>0</v>
      </c>
      <c r="W400" s="29">
        <v>0</v>
      </c>
      <c r="X400" s="114" t="str">
        <f t="shared" si="492"/>
        <v>AIマスコット</v>
      </c>
      <c r="Y400" s="37">
        <f t="shared" si="493"/>
        <v>286</v>
      </c>
      <c r="Z400" s="17">
        <f t="shared" si="477"/>
        <v>0</v>
      </c>
      <c r="AA400" s="18">
        <f t="shared" si="478"/>
        <v>0</v>
      </c>
      <c r="AB400" s="11"/>
      <c r="AD400" s="75"/>
      <c r="AE400" s="36">
        <v>13453</v>
      </c>
      <c r="AF400" s="37">
        <f t="shared" si="479"/>
        <v>53</v>
      </c>
      <c r="AG400" s="17">
        <v>1516</v>
      </c>
      <c r="AH400" s="17">
        <f t="shared" si="480"/>
        <v>3</v>
      </c>
      <c r="AI400" s="17">
        <v>10</v>
      </c>
      <c r="AJ400" s="17">
        <f t="shared" si="481"/>
        <v>3</v>
      </c>
      <c r="AK400" s="29">
        <v>6</v>
      </c>
      <c r="AL400" s="114" t="str">
        <f t="shared" si="482"/>
        <v>ラブブマスコット</v>
      </c>
      <c r="AM400" s="37">
        <f t="shared" si="483"/>
        <v>500</v>
      </c>
      <c r="AN400" s="17">
        <f t="shared" si="484"/>
        <v>1500</v>
      </c>
      <c r="AO400" s="18">
        <f t="shared" si="485"/>
        <v>0.28301886792452829</v>
      </c>
      <c r="AP400" s="11"/>
      <c r="AR400" s="75"/>
      <c r="AS400" s="36">
        <v>10192</v>
      </c>
      <c r="AT400" s="37">
        <f t="shared" si="486"/>
        <v>20</v>
      </c>
      <c r="AU400" s="17">
        <v>791</v>
      </c>
      <c r="AV400" s="17">
        <f t="shared" si="487"/>
        <v>1</v>
      </c>
      <c r="AW400" s="17">
        <v>26</v>
      </c>
      <c r="AX400" s="17">
        <f t="shared" si="488"/>
        <v>1</v>
      </c>
      <c r="AY400" s="29">
        <v>0</v>
      </c>
      <c r="AZ400" s="114" t="str">
        <f t="shared" si="462"/>
        <v>サンリオでかぱっちん</v>
      </c>
      <c r="BA400" s="37">
        <f t="shared" si="489"/>
        <v>660</v>
      </c>
      <c r="BB400" s="17">
        <f t="shared" si="490"/>
        <v>660</v>
      </c>
      <c r="BC400" s="18">
        <f t="shared" si="491"/>
        <v>0.33</v>
      </c>
      <c r="BD400" s="11"/>
    </row>
    <row r="401" spans="1:56" ht="15" customHeight="1" thickTop="1" x14ac:dyDescent="0.2">
      <c r="A401" s="71">
        <v>45944</v>
      </c>
      <c r="B401" s="61">
        <f>SUM(D401:D404)+SUM(R401:R404)+SUM(AF401:AF404)+SUM(AT401:AT404)</f>
        <v>1328</v>
      </c>
      <c r="C401" s="33">
        <v>14463</v>
      </c>
      <c r="D401" s="94">
        <f t="shared" si="466"/>
        <v>11</v>
      </c>
      <c r="E401" s="33">
        <v>1039</v>
      </c>
      <c r="F401" s="20">
        <f t="shared" si="473"/>
        <v>0</v>
      </c>
      <c r="G401" s="33">
        <v>14</v>
      </c>
      <c r="H401" s="33">
        <f t="shared" si="468"/>
        <v>0</v>
      </c>
      <c r="I401" s="43">
        <v>0</v>
      </c>
      <c r="J401" s="112" t="str">
        <f t="shared" si="471"/>
        <v>液晶ミニカメラ</v>
      </c>
      <c r="K401" s="40">
        <f t="shared" si="472"/>
        <v>1075</v>
      </c>
      <c r="L401" s="20">
        <f t="shared" si="469"/>
        <v>0</v>
      </c>
      <c r="M401" s="21">
        <f t="shared" si="470"/>
        <v>0</v>
      </c>
      <c r="N401" s="11"/>
      <c r="P401" s="76">
        <f>IF($A$401="","",$A$401)</f>
        <v>45944</v>
      </c>
      <c r="Q401" s="33">
        <v>13515</v>
      </c>
      <c r="R401" s="94">
        <f t="shared" si="474"/>
        <v>44</v>
      </c>
      <c r="S401" s="33">
        <v>1373</v>
      </c>
      <c r="T401" s="20">
        <f t="shared" si="475"/>
        <v>1</v>
      </c>
      <c r="U401" s="33">
        <v>7</v>
      </c>
      <c r="V401" s="33">
        <f t="shared" si="476"/>
        <v>1</v>
      </c>
      <c r="W401" s="43">
        <v>3</v>
      </c>
      <c r="X401" s="112" t="str">
        <f t="shared" si="492"/>
        <v>キティフェイスポーチ</v>
      </c>
      <c r="Y401" s="40">
        <f t="shared" si="493"/>
        <v>0</v>
      </c>
      <c r="Z401" s="20">
        <f t="shared" si="477"/>
        <v>0</v>
      </c>
      <c r="AA401" s="21">
        <f t="shared" si="478"/>
        <v>0</v>
      </c>
      <c r="AB401" s="11"/>
      <c r="AD401" s="76">
        <f>IF($A$401="","",$A$401)</f>
        <v>45944</v>
      </c>
      <c r="AE401" s="33">
        <v>11708</v>
      </c>
      <c r="AF401" s="33">
        <f t="shared" si="479"/>
        <v>52</v>
      </c>
      <c r="AG401" s="33">
        <v>893</v>
      </c>
      <c r="AH401" s="20">
        <f t="shared" si="480"/>
        <v>2</v>
      </c>
      <c r="AI401" s="33">
        <v>7</v>
      </c>
      <c r="AJ401" s="33">
        <f t="shared" si="481"/>
        <v>2</v>
      </c>
      <c r="AK401" s="43">
        <v>0</v>
      </c>
      <c r="AL401" s="112" t="str">
        <f t="shared" si="482"/>
        <v>ピクミンマスコット</v>
      </c>
      <c r="AM401" s="40">
        <f t="shared" si="483"/>
        <v>748</v>
      </c>
      <c r="AN401" s="20">
        <f t="shared" si="484"/>
        <v>1496</v>
      </c>
      <c r="AO401" s="21">
        <f t="shared" si="485"/>
        <v>0.28769230769230769</v>
      </c>
      <c r="AP401" s="11"/>
      <c r="AR401" s="76">
        <f>IF($A$401="","",$A$401)</f>
        <v>45944</v>
      </c>
      <c r="AS401" s="33">
        <v>8247</v>
      </c>
      <c r="AT401" s="33">
        <f t="shared" si="486"/>
        <v>58</v>
      </c>
      <c r="AU401" s="33">
        <v>467</v>
      </c>
      <c r="AV401" s="20">
        <f t="shared" si="487"/>
        <v>1</v>
      </c>
      <c r="AW401" s="33">
        <v>7</v>
      </c>
      <c r="AX401" s="33">
        <f t="shared" si="488"/>
        <v>1</v>
      </c>
      <c r="AY401" s="43">
        <v>0</v>
      </c>
      <c r="AZ401" s="112" t="str">
        <f t="shared" si="462"/>
        <v>デジタルミニカメラ</v>
      </c>
      <c r="BA401" s="40">
        <f t="shared" si="489"/>
        <v>722</v>
      </c>
      <c r="BB401" s="20">
        <f t="shared" si="490"/>
        <v>722</v>
      </c>
      <c r="BC401" s="21">
        <f t="shared" si="491"/>
        <v>0.12448275862068965</v>
      </c>
      <c r="BD401" s="11"/>
    </row>
    <row r="402" spans="1:56" ht="15" customHeight="1" x14ac:dyDescent="0.2">
      <c r="A402" s="72"/>
      <c r="B402" s="61"/>
      <c r="C402" s="9">
        <v>16276</v>
      </c>
      <c r="D402" s="9">
        <f t="shared" si="466"/>
        <v>0</v>
      </c>
      <c r="E402" s="9">
        <v>556</v>
      </c>
      <c r="F402" s="9">
        <f t="shared" si="473"/>
        <v>0</v>
      </c>
      <c r="G402" s="9">
        <v>48</v>
      </c>
      <c r="H402" s="9">
        <f t="shared" si="468"/>
        <v>0</v>
      </c>
      <c r="I402" s="13">
        <v>0</v>
      </c>
      <c r="J402" s="113" t="str">
        <f t="shared" si="471"/>
        <v>電ブル</v>
      </c>
      <c r="K402" s="34">
        <f t="shared" si="472"/>
        <v>275</v>
      </c>
      <c r="L402" s="9">
        <f t="shared" si="469"/>
        <v>0</v>
      </c>
      <c r="M402" s="10" t="e">
        <f t="shared" si="470"/>
        <v>#DIV/0!</v>
      </c>
      <c r="N402" s="11" t="s">
        <v>106</v>
      </c>
      <c r="P402" s="72"/>
      <c r="Q402" s="9">
        <v>13437</v>
      </c>
      <c r="R402" s="9">
        <f t="shared" si="474"/>
        <v>77</v>
      </c>
      <c r="S402" s="9">
        <v>484</v>
      </c>
      <c r="T402" s="9">
        <f t="shared" si="475"/>
        <v>2</v>
      </c>
      <c r="U402" s="9">
        <v>10</v>
      </c>
      <c r="V402" s="9">
        <f t="shared" si="476"/>
        <v>2</v>
      </c>
      <c r="W402" s="13">
        <v>0</v>
      </c>
      <c r="X402" s="113" t="str">
        <f t="shared" si="492"/>
        <v>サンリオミニリュックチャーム付</v>
      </c>
      <c r="Y402" s="34">
        <f t="shared" si="493"/>
        <v>600</v>
      </c>
      <c r="Z402" s="9">
        <f t="shared" si="477"/>
        <v>1200</v>
      </c>
      <c r="AA402" s="10">
        <f t="shared" si="478"/>
        <v>0.15584415584415584</v>
      </c>
      <c r="AB402" s="11"/>
      <c r="AD402" s="72"/>
      <c r="AE402" s="9">
        <v>11210</v>
      </c>
      <c r="AF402" s="9">
        <f t="shared" si="479"/>
        <v>52</v>
      </c>
      <c r="AG402" s="9">
        <v>765</v>
      </c>
      <c r="AH402" s="9">
        <f t="shared" si="480"/>
        <v>0</v>
      </c>
      <c r="AI402" s="9">
        <v>21</v>
      </c>
      <c r="AJ402" s="9">
        <f t="shared" si="481"/>
        <v>0</v>
      </c>
      <c r="AK402" s="13">
        <v>0</v>
      </c>
      <c r="AL402" s="113" t="str">
        <f t="shared" si="482"/>
        <v>ジャグラーサウンドフラッシュ</v>
      </c>
      <c r="AM402" s="34">
        <f t="shared" si="483"/>
        <v>748</v>
      </c>
      <c r="AN402" s="9">
        <f t="shared" si="484"/>
        <v>0</v>
      </c>
      <c r="AO402" s="10">
        <f t="shared" si="485"/>
        <v>0</v>
      </c>
      <c r="AP402" s="11"/>
      <c r="AR402" s="72"/>
      <c r="AS402" s="9">
        <v>9881</v>
      </c>
      <c r="AT402" s="77">
        <f t="shared" si="486"/>
        <v>31</v>
      </c>
      <c r="AU402" s="9">
        <v>515</v>
      </c>
      <c r="AV402" s="9">
        <f t="shared" si="487"/>
        <v>1</v>
      </c>
      <c r="AW402" s="9">
        <v>21</v>
      </c>
      <c r="AX402" s="9">
        <f t="shared" si="488"/>
        <v>1</v>
      </c>
      <c r="AY402" s="13">
        <v>0</v>
      </c>
      <c r="AZ402" s="113" t="str">
        <f t="shared" si="462"/>
        <v>クーリッシュイヤホン</v>
      </c>
      <c r="BA402" s="34">
        <f t="shared" si="489"/>
        <v>1100</v>
      </c>
      <c r="BB402" s="9">
        <f t="shared" si="490"/>
        <v>1100</v>
      </c>
      <c r="BC402" s="10">
        <f t="shared" si="491"/>
        <v>0.35483870967741937</v>
      </c>
      <c r="BD402" s="11"/>
    </row>
    <row r="403" spans="1:56" ht="15" customHeight="1" x14ac:dyDescent="0.2">
      <c r="A403" s="72"/>
      <c r="B403" s="8"/>
      <c r="C403" s="23">
        <v>15368</v>
      </c>
      <c r="D403" s="9">
        <f t="shared" si="466"/>
        <v>484</v>
      </c>
      <c r="E403" s="9">
        <v>586</v>
      </c>
      <c r="F403" s="9">
        <f t="shared" si="473"/>
        <v>11</v>
      </c>
      <c r="G403" s="23">
        <v>10</v>
      </c>
      <c r="H403" s="9">
        <f t="shared" si="468"/>
        <v>11</v>
      </c>
      <c r="I403" s="30">
        <v>8</v>
      </c>
      <c r="J403" s="113" t="str">
        <f t="shared" si="471"/>
        <v>ラブブキーホルダー</v>
      </c>
      <c r="K403" s="9">
        <f t="shared" si="472"/>
        <v>500</v>
      </c>
      <c r="L403" s="9">
        <f t="shared" si="469"/>
        <v>5500</v>
      </c>
      <c r="M403" s="10">
        <f t="shared" si="470"/>
        <v>0.11363636363636363</v>
      </c>
      <c r="N403" s="11"/>
      <c r="P403" s="72"/>
      <c r="Q403" s="23">
        <v>13334</v>
      </c>
      <c r="R403" s="9">
        <f t="shared" si="474"/>
        <v>167</v>
      </c>
      <c r="S403" s="9">
        <v>881</v>
      </c>
      <c r="T403" s="9">
        <f t="shared" si="475"/>
        <v>8</v>
      </c>
      <c r="U403" s="23">
        <v>79</v>
      </c>
      <c r="V403" s="9">
        <f t="shared" si="476"/>
        <v>8</v>
      </c>
      <c r="W403" s="30">
        <v>13</v>
      </c>
      <c r="X403" s="113" t="str">
        <f t="shared" si="492"/>
        <v>AIラバー</v>
      </c>
      <c r="Y403" s="9">
        <f t="shared" si="493"/>
        <v>198</v>
      </c>
      <c r="Z403" s="9">
        <f t="shared" si="477"/>
        <v>1584</v>
      </c>
      <c r="AA403" s="10">
        <f t="shared" si="478"/>
        <v>9.4850299401197602E-2</v>
      </c>
      <c r="AB403" s="11"/>
      <c r="AD403" s="72"/>
      <c r="AE403" s="23">
        <v>14050</v>
      </c>
      <c r="AF403" s="77">
        <f t="shared" si="479"/>
        <v>26</v>
      </c>
      <c r="AG403" s="9">
        <v>2384</v>
      </c>
      <c r="AH403" s="9">
        <f t="shared" si="480"/>
        <v>0</v>
      </c>
      <c r="AI403" s="23">
        <v>13</v>
      </c>
      <c r="AJ403" s="9">
        <f t="shared" si="481"/>
        <v>0</v>
      </c>
      <c r="AK403" s="30">
        <v>-1</v>
      </c>
      <c r="AL403" s="113" t="str">
        <f t="shared" si="482"/>
        <v>サンリオギャルキーケース</v>
      </c>
      <c r="AM403" s="9">
        <f t="shared" si="483"/>
        <v>700</v>
      </c>
      <c r="AN403" s="9">
        <f t="shared" si="484"/>
        <v>0</v>
      </c>
      <c r="AO403" s="10">
        <f t="shared" si="485"/>
        <v>0</v>
      </c>
      <c r="AP403" s="11" t="s">
        <v>107</v>
      </c>
      <c r="AR403" s="72"/>
      <c r="AS403" s="23">
        <v>12328</v>
      </c>
      <c r="AT403" s="9">
        <f t="shared" si="486"/>
        <v>81</v>
      </c>
      <c r="AU403" s="9">
        <v>731</v>
      </c>
      <c r="AV403" s="9">
        <f t="shared" si="487"/>
        <v>1</v>
      </c>
      <c r="AW403" s="23">
        <v>14</v>
      </c>
      <c r="AX403" s="9">
        <f t="shared" si="488"/>
        <v>1</v>
      </c>
      <c r="AY403" s="30">
        <v>0</v>
      </c>
      <c r="AZ403" s="113" t="str">
        <f t="shared" si="462"/>
        <v>モンチッチマスコット</v>
      </c>
      <c r="BA403" s="9">
        <f t="shared" si="489"/>
        <v>528</v>
      </c>
      <c r="BB403" s="9">
        <f t="shared" si="490"/>
        <v>528</v>
      </c>
      <c r="BC403" s="10">
        <f t="shared" si="491"/>
        <v>6.5185185185185179E-2</v>
      </c>
      <c r="BD403" s="11"/>
    </row>
    <row r="404" spans="1:56" ht="15" customHeight="1" thickBot="1" x14ac:dyDescent="0.25">
      <c r="A404" s="75"/>
      <c r="B404" s="67"/>
      <c r="C404" s="17">
        <v>11123</v>
      </c>
      <c r="D404" s="83">
        <f t="shared" si="466"/>
        <v>43</v>
      </c>
      <c r="E404" s="17">
        <v>1167</v>
      </c>
      <c r="F404" s="17">
        <f t="shared" si="473"/>
        <v>1</v>
      </c>
      <c r="G404" s="17">
        <v>14</v>
      </c>
      <c r="H404" s="17">
        <f t="shared" si="468"/>
        <v>1</v>
      </c>
      <c r="I404" s="29">
        <v>3</v>
      </c>
      <c r="J404" s="114" t="str">
        <f>IF(C404="","",J400)</f>
        <v>キティヒョウ柄マスコット</v>
      </c>
      <c r="K404" s="37">
        <f t="shared" si="472"/>
        <v>996</v>
      </c>
      <c r="L404" s="17">
        <f t="shared" si="469"/>
        <v>996</v>
      </c>
      <c r="M404" s="18">
        <f t="shared" si="470"/>
        <v>0.23162790697674418</v>
      </c>
      <c r="N404" s="11"/>
      <c r="P404" s="75"/>
      <c r="Q404" s="17">
        <v>11378</v>
      </c>
      <c r="R404" s="37">
        <f t="shared" si="474"/>
        <v>68</v>
      </c>
      <c r="S404" s="17">
        <v>1036</v>
      </c>
      <c r="T404" s="17">
        <f t="shared" si="475"/>
        <v>1</v>
      </c>
      <c r="U404" s="17">
        <v>10</v>
      </c>
      <c r="V404" s="17">
        <f t="shared" si="476"/>
        <v>1</v>
      </c>
      <c r="W404" s="29">
        <v>2</v>
      </c>
      <c r="X404" s="114" t="str">
        <f t="shared" si="492"/>
        <v>AIマスコット</v>
      </c>
      <c r="Y404" s="37">
        <f t="shared" si="493"/>
        <v>286</v>
      </c>
      <c r="Z404" s="17">
        <f t="shared" si="477"/>
        <v>286</v>
      </c>
      <c r="AA404" s="18">
        <f t="shared" si="478"/>
        <v>4.2058823529411767E-2</v>
      </c>
      <c r="AB404" s="11"/>
      <c r="AD404" s="75"/>
      <c r="AE404" s="17">
        <v>13531</v>
      </c>
      <c r="AF404" s="37">
        <f t="shared" si="479"/>
        <v>78</v>
      </c>
      <c r="AG404" s="17">
        <v>1520</v>
      </c>
      <c r="AH404" s="17">
        <f t="shared" si="480"/>
        <v>4</v>
      </c>
      <c r="AI404" s="17">
        <v>12</v>
      </c>
      <c r="AJ404" s="17">
        <f>IF(AI404="","",AI400+AK400-AI404)</f>
        <v>4</v>
      </c>
      <c r="AK404" s="29">
        <v>4</v>
      </c>
      <c r="AL404" s="114" t="str">
        <f t="shared" si="482"/>
        <v>ラブブマスコット</v>
      </c>
      <c r="AM404" s="37">
        <f t="shared" si="483"/>
        <v>500</v>
      </c>
      <c r="AN404" s="17">
        <f t="shared" si="484"/>
        <v>2000</v>
      </c>
      <c r="AO404" s="18">
        <f t="shared" si="485"/>
        <v>0.25641025641025639</v>
      </c>
      <c r="AP404" s="11" t="s">
        <v>100</v>
      </c>
      <c r="AR404" s="75"/>
      <c r="AS404" s="17">
        <v>10248</v>
      </c>
      <c r="AT404" s="37">
        <f t="shared" si="486"/>
        <v>56</v>
      </c>
      <c r="AU404" s="17">
        <v>791</v>
      </c>
      <c r="AV404" s="17">
        <f t="shared" si="487"/>
        <v>0</v>
      </c>
      <c r="AW404" s="17">
        <v>26</v>
      </c>
      <c r="AX404" s="17">
        <f t="shared" si="488"/>
        <v>0</v>
      </c>
      <c r="AY404" s="29">
        <v>0</v>
      </c>
      <c r="AZ404" s="114" t="str">
        <f t="shared" si="462"/>
        <v>サンリオでかぱっちん</v>
      </c>
      <c r="BA404" s="37">
        <f t="shared" si="489"/>
        <v>660</v>
      </c>
      <c r="BB404" s="17">
        <f t="shared" si="490"/>
        <v>0</v>
      </c>
      <c r="BC404" s="18">
        <f t="shared" si="491"/>
        <v>0</v>
      </c>
      <c r="BD404" s="11"/>
    </row>
    <row r="405" spans="1:56" ht="15" customHeight="1" thickTop="1" x14ac:dyDescent="0.2">
      <c r="A405" s="71">
        <v>45948</v>
      </c>
      <c r="B405" s="61">
        <f>SUM(D405:D408)+SUM(R405:R408)+SUM(AF405:AF408)+SUM(AT405:AT408)</f>
        <v>967</v>
      </c>
      <c r="C405" s="33">
        <v>14552</v>
      </c>
      <c r="D405" s="33">
        <f t="shared" si="466"/>
        <v>89</v>
      </c>
      <c r="E405" s="33">
        <v>1042</v>
      </c>
      <c r="F405" s="20">
        <f t="shared" si="473"/>
        <v>3</v>
      </c>
      <c r="G405" s="33">
        <v>12</v>
      </c>
      <c r="H405" s="33">
        <f t="shared" si="468"/>
        <v>2</v>
      </c>
      <c r="I405" s="43"/>
      <c r="J405" s="112" t="str">
        <f t="shared" si="471"/>
        <v>液晶ミニカメラ</v>
      </c>
      <c r="K405" s="40">
        <f t="shared" si="472"/>
        <v>1075</v>
      </c>
      <c r="L405" s="20">
        <f t="shared" si="469"/>
        <v>2150</v>
      </c>
      <c r="M405" s="21">
        <f t="shared" si="470"/>
        <v>0.24157303370786518</v>
      </c>
      <c r="N405" s="11"/>
      <c r="P405" s="76">
        <f>IF($A$405="","",$A$405)</f>
        <v>45948</v>
      </c>
      <c r="Q405" s="33">
        <v>13648</v>
      </c>
      <c r="R405" s="33">
        <f>IF(Q405="","",Q405-Q401)</f>
        <v>133</v>
      </c>
      <c r="S405" s="33">
        <v>1375</v>
      </c>
      <c r="T405" s="20">
        <f t="shared" si="475"/>
        <v>2</v>
      </c>
      <c r="U405" s="33">
        <v>8</v>
      </c>
      <c r="V405" s="33">
        <f t="shared" si="476"/>
        <v>2</v>
      </c>
      <c r="W405" s="43"/>
      <c r="X405" s="112" t="str">
        <f t="shared" si="492"/>
        <v>キティフェイスポーチ</v>
      </c>
      <c r="Y405" s="40">
        <f t="shared" si="493"/>
        <v>0</v>
      </c>
      <c r="Z405" s="20">
        <f t="shared" si="477"/>
        <v>0</v>
      </c>
      <c r="AA405" s="21">
        <f t="shared" si="478"/>
        <v>0</v>
      </c>
      <c r="AB405" s="11"/>
      <c r="AD405" s="76">
        <f>IF($A$405="","",$A$405)</f>
        <v>45948</v>
      </c>
      <c r="AE405" s="33">
        <v>11715</v>
      </c>
      <c r="AF405" s="94">
        <f t="shared" si="479"/>
        <v>7</v>
      </c>
      <c r="AG405" s="33">
        <v>893</v>
      </c>
      <c r="AH405" s="20">
        <f t="shared" si="480"/>
        <v>0</v>
      </c>
      <c r="AI405" s="33">
        <v>7</v>
      </c>
      <c r="AJ405" s="33">
        <f t="shared" ref="AJ405:AJ428" si="494">IF(AI405="","",AI401+AK401-AI405)</f>
        <v>0</v>
      </c>
      <c r="AK405" s="43"/>
      <c r="AL405" s="112" t="str">
        <f t="shared" si="482"/>
        <v>ピクミンマスコット</v>
      </c>
      <c r="AM405" s="40">
        <f t="shared" si="483"/>
        <v>748</v>
      </c>
      <c r="AN405" s="20">
        <f t="shared" si="484"/>
        <v>0</v>
      </c>
      <c r="AO405" s="21">
        <f t="shared" si="485"/>
        <v>0</v>
      </c>
      <c r="AP405" s="11"/>
      <c r="AR405" s="76">
        <f>IF($A$405="","",$A$405)</f>
        <v>45948</v>
      </c>
      <c r="AS405" s="33">
        <v>8305</v>
      </c>
      <c r="AT405" s="33">
        <f t="shared" si="486"/>
        <v>58</v>
      </c>
      <c r="AU405" s="33">
        <v>468</v>
      </c>
      <c r="AV405" s="20">
        <f t="shared" si="487"/>
        <v>1</v>
      </c>
      <c r="AW405" s="33">
        <v>6</v>
      </c>
      <c r="AX405" s="33">
        <f t="shared" si="488"/>
        <v>1</v>
      </c>
      <c r="AY405" s="43"/>
      <c r="AZ405" s="112" t="str">
        <f t="shared" si="462"/>
        <v>デジタルミニカメラ</v>
      </c>
      <c r="BA405" s="40">
        <f t="shared" si="489"/>
        <v>722</v>
      </c>
      <c r="BB405" s="20">
        <f t="shared" si="490"/>
        <v>722</v>
      </c>
      <c r="BC405" s="21">
        <f t="shared" si="491"/>
        <v>0.12448275862068965</v>
      </c>
      <c r="BD405" s="11"/>
    </row>
    <row r="406" spans="1:56" ht="15" customHeight="1" x14ac:dyDescent="0.2">
      <c r="A406" s="72"/>
      <c r="B406" s="61"/>
      <c r="C406" s="33">
        <v>16363</v>
      </c>
      <c r="D406" s="9">
        <f t="shared" si="466"/>
        <v>87</v>
      </c>
      <c r="E406" s="9">
        <v>561</v>
      </c>
      <c r="F406" s="9">
        <f t="shared" si="473"/>
        <v>5</v>
      </c>
      <c r="G406" s="9">
        <v>43</v>
      </c>
      <c r="H406" s="9">
        <f t="shared" si="468"/>
        <v>5</v>
      </c>
      <c r="I406" s="13"/>
      <c r="J406" s="113" t="str">
        <f t="shared" si="471"/>
        <v>電ブル</v>
      </c>
      <c r="K406" s="34">
        <f t="shared" si="472"/>
        <v>275</v>
      </c>
      <c r="L406" s="9">
        <f t="shared" si="469"/>
        <v>1375</v>
      </c>
      <c r="M406" s="10">
        <f t="shared" si="470"/>
        <v>0.15804597701149425</v>
      </c>
      <c r="N406" s="11"/>
      <c r="P406" s="72"/>
      <c r="Q406" s="33">
        <v>13461</v>
      </c>
      <c r="R406" s="77">
        <f t="shared" si="474"/>
        <v>24</v>
      </c>
      <c r="S406" s="9">
        <v>484</v>
      </c>
      <c r="T406" s="9">
        <f t="shared" si="475"/>
        <v>0</v>
      </c>
      <c r="U406" s="9">
        <v>10</v>
      </c>
      <c r="V406" s="9">
        <f t="shared" si="476"/>
        <v>0</v>
      </c>
      <c r="W406" s="13"/>
      <c r="X406" s="113" t="str">
        <f t="shared" si="492"/>
        <v>サンリオミニリュックチャーム付</v>
      </c>
      <c r="Y406" s="34">
        <f t="shared" si="493"/>
        <v>600</v>
      </c>
      <c r="Z406" s="9">
        <f t="shared" si="477"/>
        <v>0</v>
      </c>
      <c r="AA406" s="10">
        <f t="shared" si="478"/>
        <v>0</v>
      </c>
      <c r="AB406" s="11"/>
      <c r="AD406" s="72"/>
      <c r="AE406" s="33">
        <v>11230</v>
      </c>
      <c r="AF406" s="77">
        <f t="shared" si="479"/>
        <v>20</v>
      </c>
      <c r="AG406" s="9">
        <v>766</v>
      </c>
      <c r="AH406" s="9">
        <f t="shared" si="480"/>
        <v>1</v>
      </c>
      <c r="AI406" s="9">
        <v>20</v>
      </c>
      <c r="AJ406" s="9">
        <f t="shared" si="494"/>
        <v>1</v>
      </c>
      <c r="AK406" s="13"/>
      <c r="AL406" s="113" t="str">
        <f t="shared" si="482"/>
        <v>ジャグラーサウンドフラッシュ</v>
      </c>
      <c r="AM406" s="34">
        <f t="shared" si="483"/>
        <v>748</v>
      </c>
      <c r="AN406" s="9">
        <f t="shared" si="484"/>
        <v>748</v>
      </c>
      <c r="AO406" s="10">
        <f t="shared" si="485"/>
        <v>0.374</v>
      </c>
      <c r="AP406" s="11"/>
      <c r="AR406" s="72"/>
      <c r="AS406" s="33">
        <v>9919</v>
      </c>
      <c r="AT406" s="77">
        <f t="shared" si="486"/>
        <v>38</v>
      </c>
      <c r="AU406" s="9">
        <v>517</v>
      </c>
      <c r="AV406" s="9">
        <f t="shared" si="487"/>
        <v>2</v>
      </c>
      <c r="AW406" s="9">
        <v>19</v>
      </c>
      <c r="AX406" s="9">
        <f t="shared" si="488"/>
        <v>2</v>
      </c>
      <c r="AY406" s="13"/>
      <c r="AZ406" s="113" t="str">
        <f t="shared" si="462"/>
        <v>クーリッシュイヤホン</v>
      </c>
      <c r="BA406" s="34">
        <f t="shared" si="489"/>
        <v>1100</v>
      </c>
      <c r="BB406" s="9">
        <f t="shared" si="490"/>
        <v>2200</v>
      </c>
      <c r="BC406" s="10">
        <f t="shared" si="491"/>
        <v>0.57894736842105265</v>
      </c>
      <c r="BD406" s="11"/>
    </row>
    <row r="407" spans="1:56" ht="15" customHeight="1" x14ac:dyDescent="0.2">
      <c r="A407" s="72"/>
      <c r="B407" s="8"/>
      <c r="C407" s="38">
        <v>15504</v>
      </c>
      <c r="D407" s="9">
        <f t="shared" si="466"/>
        <v>136</v>
      </c>
      <c r="E407" s="9">
        <v>586</v>
      </c>
      <c r="F407" s="9">
        <f t="shared" si="473"/>
        <v>0</v>
      </c>
      <c r="G407" s="9">
        <v>18</v>
      </c>
      <c r="H407" s="9">
        <f t="shared" si="468"/>
        <v>0</v>
      </c>
      <c r="I407" s="13"/>
      <c r="J407" s="113" t="str">
        <f t="shared" si="471"/>
        <v>ラブブキーホルダー</v>
      </c>
      <c r="K407" s="9">
        <f t="shared" si="472"/>
        <v>500</v>
      </c>
      <c r="L407" s="9">
        <f t="shared" si="469"/>
        <v>0</v>
      </c>
      <c r="M407" s="10">
        <f t="shared" si="470"/>
        <v>0</v>
      </c>
      <c r="N407" s="11"/>
      <c r="P407" s="72"/>
      <c r="Q407" s="38">
        <v>13425</v>
      </c>
      <c r="R407" s="9">
        <f t="shared" si="474"/>
        <v>91</v>
      </c>
      <c r="S407" s="9">
        <v>890</v>
      </c>
      <c r="T407" s="9">
        <f t="shared" si="475"/>
        <v>9</v>
      </c>
      <c r="U407" s="9">
        <v>83</v>
      </c>
      <c r="V407" s="9">
        <f t="shared" si="476"/>
        <v>9</v>
      </c>
      <c r="W407" s="13"/>
      <c r="X407" s="113" t="str">
        <f t="shared" si="492"/>
        <v>AIラバー</v>
      </c>
      <c r="Y407" s="9">
        <f t="shared" si="493"/>
        <v>198</v>
      </c>
      <c r="Z407" s="9">
        <f t="shared" si="477"/>
        <v>1782</v>
      </c>
      <c r="AA407" s="10">
        <f t="shared" si="478"/>
        <v>0.19582417582417583</v>
      </c>
      <c r="AB407" s="11"/>
      <c r="AD407" s="72"/>
      <c r="AE407" s="38">
        <v>14066</v>
      </c>
      <c r="AF407" s="77">
        <f t="shared" si="479"/>
        <v>16</v>
      </c>
      <c r="AG407" s="9">
        <v>2384</v>
      </c>
      <c r="AH407" s="9">
        <f t="shared" si="480"/>
        <v>0</v>
      </c>
      <c r="AI407" s="9">
        <v>13</v>
      </c>
      <c r="AJ407" s="9">
        <f t="shared" si="494"/>
        <v>-1</v>
      </c>
      <c r="AK407" s="13"/>
      <c r="AL407" s="113" t="str">
        <f t="shared" si="482"/>
        <v>サンリオギャルキーケース</v>
      </c>
      <c r="AM407" s="9">
        <f t="shared" si="483"/>
        <v>700</v>
      </c>
      <c r="AN407" s="9">
        <f t="shared" si="484"/>
        <v>-700</v>
      </c>
      <c r="AO407" s="10">
        <f t="shared" si="485"/>
        <v>-0.4375</v>
      </c>
      <c r="AP407" s="103" t="s">
        <v>108</v>
      </c>
      <c r="AR407" s="72"/>
      <c r="AS407" s="38">
        <v>12336</v>
      </c>
      <c r="AT407" s="77">
        <f t="shared" si="486"/>
        <v>8</v>
      </c>
      <c r="AU407" s="9">
        <v>731</v>
      </c>
      <c r="AV407" s="9">
        <f t="shared" si="487"/>
        <v>0</v>
      </c>
      <c r="AW407" s="9">
        <v>14</v>
      </c>
      <c r="AX407" s="9">
        <f t="shared" si="488"/>
        <v>0</v>
      </c>
      <c r="AY407" s="13"/>
      <c r="AZ407" s="113" t="str">
        <f t="shared" si="462"/>
        <v>モンチッチマスコット</v>
      </c>
      <c r="BA407" s="9">
        <f t="shared" si="489"/>
        <v>528</v>
      </c>
      <c r="BB407" s="9">
        <f t="shared" si="490"/>
        <v>0</v>
      </c>
      <c r="BC407" s="10">
        <f t="shared" si="491"/>
        <v>0</v>
      </c>
      <c r="BD407" s="11"/>
    </row>
    <row r="408" spans="1:56" ht="15" customHeight="1" thickBot="1" x14ac:dyDescent="0.25">
      <c r="A408" s="75"/>
      <c r="B408" s="67"/>
      <c r="C408" s="36">
        <v>11250</v>
      </c>
      <c r="D408" s="37">
        <f t="shared" si="466"/>
        <v>127</v>
      </c>
      <c r="E408" s="17">
        <v>1170</v>
      </c>
      <c r="F408" s="17">
        <f t="shared" si="473"/>
        <v>3</v>
      </c>
      <c r="G408" s="17">
        <v>14</v>
      </c>
      <c r="H408" s="17">
        <f t="shared" si="468"/>
        <v>3</v>
      </c>
      <c r="I408" s="29"/>
      <c r="J408" s="114" t="str">
        <f t="shared" si="471"/>
        <v>キティヒョウ柄マスコット</v>
      </c>
      <c r="K408" s="37">
        <f t="shared" si="472"/>
        <v>996</v>
      </c>
      <c r="L408" s="17">
        <f t="shared" si="469"/>
        <v>2988</v>
      </c>
      <c r="M408" s="18">
        <f t="shared" si="470"/>
        <v>0.23527559055118111</v>
      </c>
      <c r="N408" s="11"/>
      <c r="P408" s="75"/>
      <c r="Q408" s="36">
        <v>11460</v>
      </c>
      <c r="R408" s="37">
        <f t="shared" si="474"/>
        <v>82</v>
      </c>
      <c r="S408" s="17">
        <v>1038</v>
      </c>
      <c r="T408" s="17">
        <f t="shared" si="475"/>
        <v>2</v>
      </c>
      <c r="U408" s="17">
        <v>10</v>
      </c>
      <c r="V408" s="17">
        <f t="shared" si="476"/>
        <v>2</v>
      </c>
      <c r="W408" s="29"/>
      <c r="X408" s="114" t="str">
        <f t="shared" si="492"/>
        <v>AIマスコット</v>
      </c>
      <c r="Y408" s="37">
        <f t="shared" si="493"/>
        <v>286</v>
      </c>
      <c r="Z408" s="17">
        <f t="shared" si="477"/>
        <v>572</v>
      </c>
      <c r="AA408" s="18">
        <f t="shared" si="478"/>
        <v>6.9756097560975616E-2</v>
      </c>
      <c r="AB408" s="11"/>
      <c r="AD408" s="75"/>
      <c r="AE408" s="36">
        <v>13571</v>
      </c>
      <c r="AF408" s="37">
        <f t="shared" si="479"/>
        <v>40</v>
      </c>
      <c r="AG408" s="17">
        <v>1521</v>
      </c>
      <c r="AH408" s="17">
        <f t="shared" si="480"/>
        <v>1</v>
      </c>
      <c r="AI408" s="17">
        <v>15</v>
      </c>
      <c r="AJ408" s="17">
        <f t="shared" si="494"/>
        <v>1</v>
      </c>
      <c r="AK408" s="29"/>
      <c r="AL408" s="114" t="str">
        <f t="shared" si="482"/>
        <v>ラブブマスコット</v>
      </c>
      <c r="AM408" s="37">
        <f t="shared" si="483"/>
        <v>500</v>
      </c>
      <c r="AN408" s="17">
        <f t="shared" si="484"/>
        <v>500</v>
      </c>
      <c r="AO408" s="18">
        <f t="shared" si="485"/>
        <v>0.125</v>
      </c>
      <c r="AP408" s="11"/>
      <c r="AR408" s="75"/>
      <c r="AS408" s="36">
        <v>10259</v>
      </c>
      <c r="AT408" s="83">
        <f t="shared" si="486"/>
        <v>11</v>
      </c>
      <c r="AU408" s="17">
        <v>792</v>
      </c>
      <c r="AV408" s="17">
        <f t="shared" si="487"/>
        <v>1</v>
      </c>
      <c r="AW408" s="17">
        <v>25</v>
      </c>
      <c r="AX408" s="17">
        <f t="shared" si="488"/>
        <v>1</v>
      </c>
      <c r="AY408" s="29"/>
      <c r="AZ408" s="114" t="str">
        <f t="shared" si="462"/>
        <v>サンリオでかぱっちん</v>
      </c>
      <c r="BA408" s="37">
        <f t="shared" si="489"/>
        <v>660</v>
      </c>
      <c r="BB408" s="17">
        <f t="shared" si="490"/>
        <v>660</v>
      </c>
      <c r="BC408" s="18">
        <f t="shared" si="491"/>
        <v>0.6</v>
      </c>
      <c r="BD408" s="11"/>
    </row>
    <row r="409" spans="1:56" ht="15" customHeight="1" thickTop="1" x14ac:dyDescent="0.2">
      <c r="A409" s="71"/>
      <c r="B409" s="61"/>
      <c r="C409" s="33"/>
      <c r="D409" s="33"/>
      <c r="E409" s="33"/>
      <c r="F409" s="20"/>
      <c r="G409" s="33"/>
      <c r="H409" s="33"/>
      <c r="I409" s="43"/>
      <c r="J409" s="112"/>
      <c r="K409" s="40"/>
      <c r="L409" s="20"/>
      <c r="M409" s="21"/>
      <c r="N409" s="11"/>
      <c r="P409" s="76"/>
      <c r="Q409" s="33"/>
      <c r="R409" s="33"/>
      <c r="S409" s="33"/>
      <c r="T409" s="20"/>
      <c r="U409" s="33"/>
      <c r="V409" s="33"/>
      <c r="W409" s="43"/>
      <c r="X409" s="112"/>
      <c r="Y409" s="40"/>
      <c r="Z409" s="20"/>
      <c r="AA409" s="21"/>
      <c r="AB409" s="11"/>
      <c r="AD409" s="76"/>
      <c r="AE409" s="33"/>
      <c r="AF409" s="33"/>
      <c r="AG409" s="33"/>
      <c r="AH409" s="20"/>
      <c r="AI409" s="33"/>
      <c r="AJ409" s="33"/>
      <c r="AK409" s="43"/>
      <c r="AL409" s="112"/>
      <c r="AM409" s="40"/>
      <c r="AN409" s="20"/>
      <c r="AO409" s="21"/>
      <c r="AP409" s="11"/>
      <c r="AR409" s="76"/>
      <c r="AS409" s="33"/>
      <c r="AT409" s="33"/>
      <c r="AU409" s="33"/>
      <c r="AV409" s="20"/>
      <c r="AW409" s="33"/>
      <c r="AX409" s="33"/>
      <c r="AY409" s="43"/>
      <c r="AZ409" s="112"/>
      <c r="BA409" s="40"/>
      <c r="BB409" s="20"/>
      <c r="BC409" s="21"/>
      <c r="BD409" s="11"/>
    </row>
    <row r="410" spans="1:56" ht="15" customHeight="1" x14ac:dyDescent="0.2">
      <c r="A410" s="72"/>
      <c r="B410" s="8"/>
      <c r="C410" s="9"/>
      <c r="D410" s="9"/>
      <c r="E410" s="9"/>
      <c r="F410" s="9"/>
      <c r="G410" s="9"/>
      <c r="H410" s="9"/>
      <c r="I410" s="13"/>
      <c r="J410" s="113"/>
      <c r="K410" s="34"/>
      <c r="L410" s="9"/>
      <c r="M410" s="10"/>
      <c r="N410" s="11"/>
      <c r="P410" s="72"/>
      <c r="Q410" s="9"/>
      <c r="R410" s="9"/>
      <c r="S410" s="9"/>
      <c r="T410" s="9"/>
      <c r="U410" s="9"/>
      <c r="V410" s="9"/>
      <c r="W410" s="13"/>
      <c r="X410" s="113"/>
      <c r="Y410" s="34"/>
      <c r="Z410" s="9"/>
      <c r="AA410" s="10"/>
      <c r="AB410" s="11"/>
      <c r="AD410" s="72"/>
      <c r="AE410" s="9"/>
      <c r="AF410" s="9"/>
      <c r="AG410" s="9"/>
      <c r="AH410" s="9"/>
      <c r="AI410" s="9"/>
      <c r="AJ410" s="9"/>
      <c r="AK410" s="13"/>
      <c r="AL410" s="113"/>
      <c r="AM410" s="34"/>
      <c r="AN410" s="9"/>
      <c r="AO410" s="10"/>
      <c r="AP410" s="11"/>
      <c r="AR410" s="72"/>
      <c r="AS410" s="9"/>
      <c r="AT410" s="9"/>
      <c r="AU410" s="9"/>
      <c r="AV410" s="9"/>
      <c r="AW410" s="9"/>
      <c r="AX410" s="9"/>
      <c r="AY410" s="13"/>
      <c r="AZ410" s="113"/>
      <c r="BA410" s="34"/>
      <c r="BB410" s="9"/>
      <c r="BC410" s="10"/>
      <c r="BD410" s="11"/>
    </row>
    <row r="411" spans="1:56" ht="15" customHeight="1" x14ac:dyDescent="0.2">
      <c r="A411" s="72"/>
      <c r="B411" s="8"/>
      <c r="C411" s="23"/>
      <c r="D411" s="9"/>
      <c r="E411" s="9"/>
      <c r="F411" s="9"/>
      <c r="G411" s="23"/>
      <c r="H411" s="9"/>
      <c r="I411" s="30"/>
      <c r="J411" s="113"/>
      <c r="K411" s="9"/>
      <c r="L411" s="9"/>
      <c r="M411" s="10"/>
      <c r="N411" s="11"/>
      <c r="P411" s="72"/>
      <c r="Q411" s="23"/>
      <c r="R411" s="9"/>
      <c r="S411" s="9"/>
      <c r="T411" s="9"/>
      <c r="U411" s="23"/>
      <c r="V411" s="9"/>
      <c r="W411" s="30"/>
      <c r="X411" s="113"/>
      <c r="Y411" s="9"/>
      <c r="Z411" s="9"/>
      <c r="AA411" s="10"/>
      <c r="AB411" s="11"/>
      <c r="AD411" s="72"/>
      <c r="AE411" s="23"/>
      <c r="AF411" s="9"/>
      <c r="AG411" s="9"/>
      <c r="AH411" s="9"/>
      <c r="AI411" s="23"/>
      <c r="AJ411" s="9"/>
      <c r="AK411" s="30"/>
      <c r="AL411" s="113"/>
      <c r="AM411" s="9"/>
      <c r="AN411" s="9"/>
      <c r="AO411" s="10"/>
      <c r="AP411" s="11"/>
      <c r="AR411" s="72"/>
      <c r="AS411" s="23"/>
      <c r="AT411" s="9"/>
      <c r="AU411" s="9"/>
      <c r="AV411" s="9"/>
      <c r="AW411" s="23"/>
      <c r="AX411" s="9"/>
      <c r="AY411" s="30"/>
      <c r="AZ411" s="113"/>
      <c r="BA411" s="9"/>
      <c r="BB411" s="9"/>
      <c r="BC411" s="10"/>
      <c r="BD411" s="11"/>
    </row>
    <row r="412" spans="1:56" ht="15" customHeight="1" thickBot="1" x14ac:dyDescent="0.25">
      <c r="A412" s="75"/>
      <c r="B412" s="62"/>
      <c r="C412" s="17"/>
      <c r="D412" s="37"/>
      <c r="E412" s="17"/>
      <c r="F412" s="17"/>
      <c r="G412" s="17"/>
      <c r="H412" s="17"/>
      <c r="I412" s="29"/>
      <c r="J412" s="114"/>
      <c r="K412" s="37"/>
      <c r="L412" s="17"/>
      <c r="M412" s="18"/>
      <c r="N412" s="11"/>
      <c r="P412" s="75"/>
      <c r="Q412" s="17"/>
      <c r="R412" s="37"/>
      <c r="S412" s="17"/>
      <c r="T412" s="17"/>
      <c r="U412" s="17"/>
      <c r="V412" s="17"/>
      <c r="W412" s="29"/>
      <c r="X412" s="114"/>
      <c r="Y412" s="37"/>
      <c r="Z412" s="17"/>
      <c r="AA412" s="18"/>
      <c r="AB412" s="11"/>
      <c r="AD412" s="75"/>
      <c r="AE412" s="17"/>
      <c r="AF412" s="37"/>
      <c r="AG412" s="17"/>
      <c r="AH412" s="17"/>
      <c r="AI412" s="17"/>
      <c r="AJ412" s="17"/>
      <c r="AK412" s="29"/>
      <c r="AL412" s="114"/>
      <c r="AM412" s="37"/>
      <c r="AN412" s="17"/>
      <c r="AO412" s="18"/>
      <c r="AP412" s="11"/>
      <c r="AR412" s="75"/>
      <c r="AS412" s="17"/>
      <c r="AT412" s="37"/>
      <c r="AU412" s="17"/>
      <c r="AV412" s="17"/>
      <c r="AW412" s="17"/>
      <c r="AX412" s="17"/>
      <c r="AY412" s="29"/>
      <c r="AZ412" s="114"/>
      <c r="BA412" s="37"/>
      <c r="BB412" s="17"/>
      <c r="BC412" s="18"/>
      <c r="BD412" s="11"/>
    </row>
    <row r="413" spans="1:56" ht="15" customHeight="1" thickTop="1" x14ac:dyDescent="0.2">
      <c r="A413" s="71"/>
      <c r="B413" s="61"/>
      <c r="C413" s="33"/>
      <c r="D413" s="33"/>
      <c r="E413" s="33"/>
      <c r="F413" s="20"/>
      <c r="G413" s="33"/>
      <c r="H413" s="33"/>
      <c r="I413" s="43"/>
      <c r="J413" s="112"/>
      <c r="K413" s="40"/>
      <c r="L413" s="20"/>
      <c r="M413" s="21"/>
      <c r="N413" s="11"/>
      <c r="P413" s="76"/>
      <c r="Q413" s="33"/>
      <c r="R413" s="33"/>
      <c r="S413" s="33"/>
      <c r="T413" s="20"/>
      <c r="U413" s="33"/>
      <c r="V413" s="33"/>
      <c r="W413" s="43"/>
      <c r="X413" s="112"/>
      <c r="Y413" s="40"/>
      <c r="Z413" s="20"/>
      <c r="AA413" s="21"/>
      <c r="AB413" s="11"/>
      <c r="AD413" s="76"/>
      <c r="AE413" s="33"/>
      <c r="AF413" s="94"/>
      <c r="AG413" s="33"/>
      <c r="AH413" s="20"/>
      <c r="AI413" s="33"/>
      <c r="AJ413" s="33"/>
      <c r="AK413" s="43"/>
      <c r="AL413" s="112"/>
      <c r="AM413" s="40"/>
      <c r="AN413" s="20"/>
      <c r="AO413" s="21"/>
      <c r="AP413" s="11"/>
      <c r="AR413" s="76"/>
      <c r="AS413" s="33"/>
      <c r="AT413" s="33"/>
      <c r="AU413" s="33"/>
      <c r="AV413" s="20"/>
      <c r="AW413" s="33"/>
      <c r="AX413" s="33"/>
      <c r="AY413" s="43"/>
      <c r="AZ413" s="112"/>
      <c r="BA413" s="40"/>
      <c r="BB413" s="20"/>
      <c r="BC413" s="21"/>
      <c r="BD413" s="11"/>
    </row>
    <row r="414" spans="1:56" ht="15" customHeight="1" x14ac:dyDescent="0.2">
      <c r="A414" s="72"/>
      <c r="B414" s="8"/>
      <c r="C414" s="33"/>
      <c r="D414" s="9"/>
      <c r="E414" s="9"/>
      <c r="F414" s="9"/>
      <c r="G414" s="9"/>
      <c r="H414" s="9"/>
      <c r="I414" s="13"/>
      <c r="J414" s="113"/>
      <c r="K414" s="34"/>
      <c r="L414" s="9"/>
      <c r="M414" s="10"/>
      <c r="N414" s="11"/>
      <c r="P414" s="72"/>
      <c r="Q414" s="33"/>
      <c r="R414" s="77"/>
      <c r="S414" s="9"/>
      <c r="T414" s="9"/>
      <c r="U414" s="9"/>
      <c r="V414" s="9"/>
      <c r="W414" s="13"/>
      <c r="X414" s="113"/>
      <c r="Y414" s="34"/>
      <c r="Z414" s="9"/>
      <c r="AA414" s="10"/>
      <c r="AB414" s="11"/>
      <c r="AD414" s="72"/>
      <c r="AE414" s="33"/>
      <c r="AF414" s="9"/>
      <c r="AG414" s="9"/>
      <c r="AH414" s="9"/>
      <c r="AI414" s="9"/>
      <c r="AJ414" s="9"/>
      <c r="AK414" s="13"/>
      <c r="AL414" s="113"/>
      <c r="AM414" s="34"/>
      <c r="AN414" s="9"/>
      <c r="AO414" s="10"/>
      <c r="AP414" s="11"/>
      <c r="AR414" s="72"/>
      <c r="AS414" s="33"/>
      <c r="AT414" s="9"/>
      <c r="AU414" s="9"/>
      <c r="AV414" s="9"/>
      <c r="AW414" s="9"/>
      <c r="AX414" s="9"/>
      <c r="AY414" s="13"/>
      <c r="AZ414" s="113"/>
      <c r="BA414" s="34"/>
      <c r="BB414" s="9"/>
      <c r="BC414" s="10"/>
      <c r="BD414" s="11"/>
    </row>
    <row r="415" spans="1:56" ht="15" customHeight="1" x14ac:dyDescent="0.2">
      <c r="A415" s="72"/>
      <c r="B415" s="8"/>
      <c r="C415" s="38"/>
      <c r="D415" s="9"/>
      <c r="E415" s="9"/>
      <c r="F415" s="9"/>
      <c r="G415" s="9"/>
      <c r="H415" s="9"/>
      <c r="I415" s="13"/>
      <c r="J415" s="113"/>
      <c r="K415" s="9"/>
      <c r="L415" s="9"/>
      <c r="M415" s="10"/>
      <c r="N415" s="11"/>
      <c r="P415" s="72"/>
      <c r="Q415" s="38"/>
      <c r="R415" s="77"/>
      <c r="S415" s="9"/>
      <c r="T415" s="9"/>
      <c r="U415" s="9"/>
      <c r="V415" s="9"/>
      <c r="W415" s="13"/>
      <c r="X415" s="113"/>
      <c r="Y415" s="9"/>
      <c r="Z415" s="9"/>
      <c r="AA415" s="10"/>
      <c r="AB415" s="11"/>
      <c r="AD415" s="72"/>
      <c r="AE415" s="38"/>
      <c r="AF415" s="9"/>
      <c r="AG415" s="9"/>
      <c r="AH415" s="9"/>
      <c r="AI415" s="9"/>
      <c r="AJ415" s="9"/>
      <c r="AK415" s="13"/>
      <c r="AL415" s="113"/>
      <c r="AM415" s="9"/>
      <c r="AN415" s="9"/>
      <c r="AO415" s="10"/>
      <c r="AP415" s="11"/>
      <c r="AR415" s="72"/>
      <c r="AS415" s="38"/>
      <c r="AT415" s="77"/>
      <c r="AU415" s="9"/>
      <c r="AV415" s="9"/>
      <c r="AW415" s="9"/>
      <c r="AX415" s="9"/>
      <c r="AY415" s="13"/>
      <c r="AZ415" s="113"/>
      <c r="BA415" s="9"/>
      <c r="BB415" s="9"/>
      <c r="BC415" s="10"/>
      <c r="BD415" s="11"/>
    </row>
    <row r="416" spans="1:56" ht="15" customHeight="1" thickBot="1" x14ac:dyDescent="0.25">
      <c r="A416" s="75"/>
      <c r="B416" s="62"/>
      <c r="C416" s="36"/>
      <c r="D416" s="37"/>
      <c r="E416" s="17"/>
      <c r="F416" s="17"/>
      <c r="G416" s="17"/>
      <c r="H416" s="17"/>
      <c r="I416" s="29"/>
      <c r="J416" s="114"/>
      <c r="K416" s="37"/>
      <c r="L416" s="17"/>
      <c r="M416" s="18"/>
      <c r="N416" s="11"/>
      <c r="P416" s="75"/>
      <c r="Q416" s="36"/>
      <c r="R416" s="37"/>
      <c r="S416" s="17"/>
      <c r="T416" s="17"/>
      <c r="U416" s="17"/>
      <c r="V416" s="17"/>
      <c r="W416" s="29"/>
      <c r="X416" s="114"/>
      <c r="Y416" s="37"/>
      <c r="Z416" s="17"/>
      <c r="AA416" s="18"/>
      <c r="AB416" s="11"/>
      <c r="AD416" s="75"/>
      <c r="AE416" s="36"/>
      <c r="AF416" s="37"/>
      <c r="AG416" s="17"/>
      <c r="AH416" s="17"/>
      <c r="AI416" s="17"/>
      <c r="AJ416" s="17"/>
      <c r="AK416" s="29"/>
      <c r="AL416" s="114"/>
      <c r="AM416" s="37"/>
      <c r="AN416" s="17"/>
      <c r="AO416" s="18"/>
      <c r="AP416" s="11"/>
      <c r="AR416" s="75"/>
      <c r="AS416" s="36"/>
      <c r="AT416" s="37"/>
      <c r="AU416" s="17"/>
      <c r="AV416" s="17"/>
      <c r="AW416" s="17"/>
      <c r="AX416" s="17"/>
      <c r="AY416" s="29"/>
      <c r="AZ416" s="114"/>
      <c r="BA416" s="37"/>
      <c r="BB416" s="17"/>
      <c r="BC416" s="18"/>
      <c r="BD416" s="11"/>
    </row>
    <row r="417" spans="1:56" ht="15" customHeight="1" thickTop="1" x14ac:dyDescent="0.2">
      <c r="A417" s="71"/>
      <c r="B417" s="61">
        <f>SUM(D417:D420)+SUM(R417:R420)+SUM(AF417:AF420)+SUM(AT417:AT420)</f>
        <v>0</v>
      </c>
      <c r="C417" s="33"/>
      <c r="D417" s="33" t="str">
        <f t="shared" si="466"/>
        <v/>
      </c>
      <c r="E417" s="33"/>
      <c r="F417" s="20" t="str">
        <f t="shared" si="473"/>
        <v/>
      </c>
      <c r="G417" s="33"/>
      <c r="H417" s="33" t="str">
        <f t="shared" si="468"/>
        <v/>
      </c>
      <c r="I417" s="13"/>
      <c r="J417" s="112" t="str">
        <f t="shared" si="471"/>
        <v/>
      </c>
      <c r="K417" s="40" t="str">
        <f t="shared" si="472"/>
        <v/>
      </c>
      <c r="L417" s="20" t="str">
        <f t="shared" si="469"/>
        <v/>
      </c>
      <c r="M417" s="21" t="str">
        <f t="shared" si="470"/>
        <v/>
      </c>
      <c r="N417" s="11"/>
      <c r="P417" s="76" t="str">
        <f>IF($A$417="","",$A$417)</f>
        <v/>
      </c>
      <c r="Q417" s="33"/>
      <c r="R417" s="33" t="str">
        <f t="shared" si="474"/>
        <v/>
      </c>
      <c r="S417" s="33"/>
      <c r="T417" s="20" t="str">
        <f t="shared" si="475"/>
        <v/>
      </c>
      <c r="U417" s="33"/>
      <c r="V417" s="33" t="str">
        <f t="shared" si="476"/>
        <v/>
      </c>
      <c r="W417" s="13"/>
      <c r="X417" s="112" t="str">
        <f t="shared" si="492"/>
        <v/>
      </c>
      <c r="Y417" s="40" t="str">
        <f t="shared" si="493"/>
        <v/>
      </c>
      <c r="Z417" s="20" t="str">
        <f t="shared" si="477"/>
        <v/>
      </c>
      <c r="AA417" s="21" t="str">
        <f t="shared" si="478"/>
        <v/>
      </c>
      <c r="AB417" s="11"/>
      <c r="AD417" s="76" t="str">
        <f>IF($A$417="","",$A$417)</f>
        <v/>
      </c>
      <c r="AE417" s="33"/>
      <c r="AF417" s="33" t="str">
        <f t="shared" si="479"/>
        <v/>
      </c>
      <c r="AG417" s="33"/>
      <c r="AH417" s="20" t="str">
        <f t="shared" si="480"/>
        <v/>
      </c>
      <c r="AI417" s="33"/>
      <c r="AJ417" s="33" t="str">
        <f t="shared" si="494"/>
        <v/>
      </c>
      <c r="AK417" s="13"/>
      <c r="AL417" s="112" t="str">
        <f t="shared" si="482"/>
        <v/>
      </c>
      <c r="AM417" s="40" t="str">
        <f t="shared" si="483"/>
        <v/>
      </c>
      <c r="AN417" s="20" t="str">
        <f t="shared" si="484"/>
        <v/>
      </c>
      <c r="AO417" s="21" t="str">
        <f t="shared" si="485"/>
        <v/>
      </c>
      <c r="AP417" s="11"/>
      <c r="AR417" s="76" t="str">
        <f>IF($A$417="","",$A$417)</f>
        <v/>
      </c>
      <c r="AS417" s="33"/>
      <c r="AT417" s="33" t="str">
        <f t="shared" si="486"/>
        <v/>
      </c>
      <c r="AU417" s="33"/>
      <c r="AV417" s="20" t="str">
        <f t="shared" si="487"/>
        <v/>
      </c>
      <c r="AW417" s="33"/>
      <c r="AX417" s="33" t="str">
        <f t="shared" si="488"/>
        <v/>
      </c>
      <c r="AY417" s="13"/>
      <c r="AZ417" s="112" t="str">
        <f t="shared" si="462"/>
        <v/>
      </c>
      <c r="BA417" s="40" t="str">
        <f t="shared" si="489"/>
        <v/>
      </c>
      <c r="BB417" s="20" t="str">
        <f t="shared" si="490"/>
        <v/>
      </c>
      <c r="BC417" s="21" t="str">
        <f t="shared" si="491"/>
        <v/>
      </c>
      <c r="BD417" s="11"/>
    </row>
    <row r="418" spans="1:56" ht="15" customHeight="1" x14ac:dyDescent="0.2">
      <c r="A418" s="72"/>
      <c r="B418" s="8"/>
      <c r="C418" s="9"/>
      <c r="D418" s="9" t="str">
        <f t="shared" si="466"/>
        <v/>
      </c>
      <c r="E418" s="9"/>
      <c r="F418" s="9" t="str">
        <f t="shared" si="473"/>
        <v/>
      </c>
      <c r="G418" s="9"/>
      <c r="H418" s="9" t="str">
        <f t="shared" si="468"/>
        <v/>
      </c>
      <c r="I418" s="13"/>
      <c r="J418" s="113" t="str">
        <f t="shared" si="471"/>
        <v/>
      </c>
      <c r="K418" s="34" t="str">
        <f t="shared" si="472"/>
        <v/>
      </c>
      <c r="L418" s="9" t="str">
        <f t="shared" si="469"/>
        <v/>
      </c>
      <c r="M418" s="10" t="str">
        <f t="shared" si="470"/>
        <v/>
      </c>
      <c r="N418" s="11"/>
      <c r="P418" s="72"/>
      <c r="Q418" s="9"/>
      <c r="R418" s="9" t="str">
        <f t="shared" si="474"/>
        <v/>
      </c>
      <c r="S418" s="9"/>
      <c r="T418" s="9" t="str">
        <f t="shared" si="475"/>
        <v/>
      </c>
      <c r="U418" s="9"/>
      <c r="V418" s="9" t="str">
        <f t="shared" si="476"/>
        <v/>
      </c>
      <c r="W418" s="13"/>
      <c r="X418" s="113" t="str">
        <f t="shared" si="492"/>
        <v/>
      </c>
      <c r="Y418" s="34" t="str">
        <f t="shared" si="493"/>
        <v/>
      </c>
      <c r="Z418" s="9" t="str">
        <f t="shared" si="477"/>
        <v/>
      </c>
      <c r="AA418" s="10" t="str">
        <f t="shared" si="478"/>
        <v/>
      </c>
      <c r="AB418" s="11"/>
      <c r="AD418" s="72"/>
      <c r="AE418" s="9"/>
      <c r="AF418" s="9" t="str">
        <f t="shared" si="479"/>
        <v/>
      </c>
      <c r="AG418" s="9"/>
      <c r="AH418" s="9" t="str">
        <f t="shared" si="480"/>
        <v/>
      </c>
      <c r="AI418" s="9"/>
      <c r="AJ418" s="9" t="str">
        <f t="shared" si="494"/>
        <v/>
      </c>
      <c r="AK418" s="13"/>
      <c r="AL418" s="113" t="str">
        <f t="shared" si="482"/>
        <v/>
      </c>
      <c r="AM418" s="34" t="str">
        <f t="shared" si="483"/>
        <v/>
      </c>
      <c r="AN418" s="9" t="str">
        <f t="shared" si="484"/>
        <v/>
      </c>
      <c r="AO418" s="10" t="str">
        <f t="shared" si="485"/>
        <v/>
      </c>
      <c r="AP418" s="11"/>
      <c r="AR418" s="72"/>
      <c r="AS418" s="9"/>
      <c r="AT418" s="9" t="str">
        <f t="shared" si="486"/>
        <v/>
      </c>
      <c r="AU418" s="9"/>
      <c r="AV418" s="9" t="str">
        <f t="shared" si="487"/>
        <v/>
      </c>
      <c r="AW418" s="9"/>
      <c r="AX418" s="9" t="str">
        <f t="shared" si="488"/>
        <v/>
      </c>
      <c r="AY418" s="13"/>
      <c r="AZ418" s="113" t="str">
        <f t="shared" si="462"/>
        <v/>
      </c>
      <c r="BA418" s="34" t="str">
        <f t="shared" si="489"/>
        <v/>
      </c>
      <c r="BB418" s="9" t="str">
        <f t="shared" si="490"/>
        <v/>
      </c>
      <c r="BC418" s="10" t="str">
        <f t="shared" si="491"/>
        <v/>
      </c>
      <c r="BD418" s="11"/>
    </row>
    <row r="419" spans="1:56" ht="15" customHeight="1" x14ac:dyDescent="0.2">
      <c r="A419" s="72"/>
      <c r="B419" s="8"/>
      <c r="C419" s="23"/>
      <c r="D419" s="9" t="str">
        <f t="shared" si="466"/>
        <v/>
      </c>
      <c r="E419" s="9"/>
      <c r="F419" s="9" t="str">
        <f t="shared" si="473"/>
        <v/>
      </c>
      <c r="G419" s="23"/>
      <c r="H419" s="9" t="str">
        <f t="shared" si="468"/>
        <v/>
      </c>
      <c r="I419" s="30"/>
      <c r="J419" s="113" t="str">
        <f t="shared" si="471"/>
        <v/>
      </c>
      <c r="K419" s="9" t="str">
        <f t="shared" si="472"/>
        <v/>
      </c>
      <c r="L419" s="9" t="str">
        <f t="shared" si="469"/>
        <v/>
      </c>
      <c r="M419" s="10" t="str">
        <f t="shared" si="470"/>
        <v/>
      </c>
      <c r="N419" s="11"/>
      <c r="P419" s="12"/>
      <c r="Q419" s="23"/>
      <c r="R419" s="9" t="str">
        <f t="shared" si="474"/>
        <v/>
      </c>
      <c r="S419" s="9"/>
      <c r="T419" s="9" t="str">
        <f t="shared" si="475"/>
        <v/>
      </c>
      <c r="U419" s="23"/>
      <c r="V419" s="9" t="str">
        <f t="shared" si="476"/>
        <v/>
      </c>
      <c r="W419" s="13"/>
      <c r="X419" s="113" t="str">
        <f t="shared" si="492"/>
        <v/>
      </c>
      <c r="Y419" s="9" t="str">
        <f t="shared" si="493"/>
        <v/>
      </c>
      <c r="Z419" s="9" t="str">
        <f t="shared" si="477"/>
        <v/>
      </c>
      <c r="AA419" s="10" t="str">
        <f t="shared" si="478"/>
        <v/>
      </c>
      <c r="AB419" s="11"/>
      <c r="AD419" s="12"/>
      <c r="AE419" s="23"/>
      <c r="AF419" s="9" t="str">
        <f t="shared" si="479"/>
        <v/>
      </c>
      <c r="AG419" s="9"/>
      <c r="AH419" s="9" t="str">
        <f t="shared" si="480"/>
        <v/>
      </c>
      <c r="AI419" s="23"/>
      <c r="AJ419" s="9" t="str">
        <f t="shared" si="494"/>
        <v/>
      </c>
      <c r="AK419" s="13"/>
      <c r="AL419" s="113" t="str">
        <f t="shared" si="482"/>
        <v/>
      </c>
      <c r="AM419" s="9" t="str">
        <f t="shared" si="483"/>
        <v/>
      </c>
      <c r="AN419" s="9" t="str">
        <f t="shared" si="484"/>
        <v/>
      </c>
      <c r="AO419" s="10" t="str">
        <f t="shared" si="485"/>
        <v/>
      </c>
      <c r="AP419" s="11"/>
      <c r="AR419" s="12"/>
      <c r="AS419" s="23"/>
      <c r="AT419" s="9" t="str">
        <f t="shared" si="486"/>
        <v/>
      </c>
      <c r="AU419" s="9"/>
      <c r="AV419" s="9" t="str">
        <f t="shared" si="487"/>
        <v/>
      </c>
      <c r="AW419" s="23"/>
      <c r="AX419" s="9" t="str">
        <f t="shared" si="488"/>
        <v/>
      </c>
      <c r="AY419" s="13"/>
      <c r="AZ419" s="113" t="str">
        <f t="shared" si="462"/>
        <v/>
      </c>
      <c r="BA419" s="9" t="str">
        <f t="shared" si="489"/>
        <v/>
      </c>
      <c r="BB419" s="9" t="str">
        <f t="shared" si="490"/>
        <v/>
      </c>
      <c r="BC419" s="10" t="str">
        <f t="shared" si="491"/>
        <v/>
      </c>
      <c r="BD419" s="11"/>
    </row>
    <row r="420" spans="1:56" ht="15" customHeight="1" thickBot="1" x14ac:dyDescent="0.25">
      <c r="A420" s="75"/>
      <c r="B420" s="67"/>
      <c r="C420" s="17"/>
      <c r="D420" s="37" t="str">
        <f t="shared" si="466"/>
        <v/>
      </c>
      <c r="E420" s="17"/>
      <c r="F420" s="17" t="str">
        <f t="shared" si="473"/>
        <v/>
      </c>
      <c r="G420" s="84"/>
      <c r="H420" s="19" t="str">
        <f t="shared" si="468"/>
        <v/>
      </c>
      <c r="I420" s="85"/>
      <c r="J420" s="115" t="str">
        <f t="shared" si="471"/>
        <v/>
      </c>
      <c r="K420" s="37" t="str">
        <f t="shared" si="472"/>
        <v/>
      </c>
      <c r="L420" s="17" t="str">
        <f t="shared" si="469"/>
        <v/>
      </c>
      <c r="M420" s="18" t="str">
        <f t="shared" si="470"/>
        <v/>
      </c>
      <c r="N420" s="11"/>
      <c r="P420" s="16"/>
      <c r="Q420" s="17"/>
      <c r="R420" s="37" t="str">
        <f t="shared" si="474"/>
        <v/>
      </c>
      <c r="S420" s="17"/>
      <c r="T420" s="17" t="str">
        <f t="shared" si="475"/>
        <v/>
      </c>
      <c r="U420" s="84"/>
      <c r="V420" s="17" t="str">
        <f t="shared" si="476"/>
        <v/>
      </c>
      <c r="W420" s="85"/>
      <c r="X420" s="114" t="str">
        <f t="shared" si="492"/>
        <v/>
      </c>
      <c r="Y420" s="37" t="str">
        <f t="shared" si="493"/>
        <v/>
      </c>
      <c r="Z420" s="17" t="str">
        <f t="shared" si="477"/>
        <v/>
      </c>
      <c r="AA420" s="18" t="str">
        <f t="shared" si="478"/>
        <v/>
      </c>
      <c r="AB420" s="11"/>
      <c r="AD420" s="16"/>
      <c r="AE420" s="17"/>
      <c r="AF420" s="37" t="str">
        <f t="shared" si="479"/>
        <v/>
      </c>
      <c r="AG420" s="17"/>
      <c r="AH420" s="17" t="str">
        <f t="shared" si="480"/>
        <v/>
      </c>
      <c r="AI420" s="84"/>
      <c r="AJ420" s="17" t="str">
        <f t="shared" si="494"/>
        <v/>
      </c>
      <c r="AK420" s="85"/>
      <c r="AL420" s="114" t="str">
        <f t="shared" si="482"/>
        <v/>
      </c>
      <c r="AM420" s="37" t="str">
        <f t="shared" si="483"/>
        <v/>
      </c>
      <c r="AN420" s="17" t="str">
        <f t="shared" si="484"/>
        <v/>
      </c>
      <c r="AO420" s="18" t="str">
        <f t="shared" si="485"/>
        <v/>
      </c>
      <c r="AP420" s="11"/>
      <c r="AR420" s="16"/>
      <c r="AS420" s="17"/>
      <c r="AT420" s="37" t="str">
        <f t="shared" si="486"/>
        <v/>
      </c>
      <c r="AU420" s="17"/>
      <c r="AV420" s="17" t="str">
        <f t="shared" si="487"/>
        <v/>
      </c>
      <c r="AW420" s="84"/>
      <c r="AX420" s="17" t="str">
        <f t="shared" si="488"/>
        <v/>
      </c>
      <c r="AY420" s="85"/>
      <c r="AZ420" s="114" t="str">
        <f t="shared" si="462"/>
        <v/>
      </c>
      <c r="BA420" s="37" t="str">
        <f t="shared" si="489"/>
        <v/>
      </c>
      <c r="BB420" s="17" t="str">
        <f t="shared" si="490"/>
        <v/>
      </c>
      <c r="BC420" s="18" t="str">
        <f t="shared" si="491"/>
        <v/>
      </c>
      <c r="BD420" s="11"/>
    </row>
    <row r="421" spans="1:56" ht="15" customHeight="1" thickTop="1" x14ac:dyDescent="0.2">
      <c r="A421" s="71"/>
      <c r="B421" s="61">
        <f>SUM(D421:D424)+SUM(R421:R424)+SUM(AF421:AF424)+SUM(AT421:AT424)</f>
        <v>0</v>
      </c>
      <c r="C421" s="33"/>
      <c r="D421" s="33" t="str">
        <f t="shared" si="466"/>
        <v/>
      </c>
      <c r="E421" s="33"/>
      <c r="F421" s="20" t="str">
        <f t="shared" si="473"/>
        <v/>
      </c>
      <c r="G421" s="33"/>
      <c r="H421" s="33" t="str">
        <f t="shared" si="468"/>
        <v/>
      </c>
      <c r="I421" s="33"/>
      <c r="J421" s="112" t="str">
        <f t="shared" si="471"/>
        <v/>
      </c>
      <c r="K421" s="40" t="str">
        <f t="shared" si="472"/>
        <v/>
      </c>
      <c r="L421" s="20" t="str">
        <f t="shared" si="469"/>
        <v/>
      </c>
      <c r="M421" s="21" t="str">
        <f t="shared" si="470"/>
        <v/>
      </c>
      <c r="N421" s="11"/>
      <c r="P421" s="47" t="str">
        <f>IF($A$421="","",$A$421)</f>
        <v/>
      </c>
      <c r="Q421" s="33"/>
      <c r="R421" s="33" t="str">
        <f t="shared" si="474"/>
        <v/>
      </c>
      <c r="S421" s="33"/>
      <c r="T421" s="20" t="str">
        <f t="shared" si="475"/>
        <v/>
      </c>
      <c r="U421" s="33"/>
      <c r="V421" s="33" t="str">
        <f t="shared" si="476"/>
        <v/>
      </c>
      <c r="W421" s="33"/>
      <c r="X421" s="112" t="str">
        <f t="shared" si="492"/>
        <v/>
      </c>
      <c r="Y421" s="40" t="str">
        <f t="shared" si="493"/>
        <v/>
      </c>
      <c r="Z421" s="20" t="str">
        <f t="shared" si="477"/>
        <v/>
      </c>
      <c r="AA421" s="21" t="str">
        <f t="shared" si="478"/>
        <v/>
      </c>
      <c r="AB421" s="11"/>
      <c r="AD421" s="47" t="str">
        <f>IF($A$421="","",$A$421)</f>
        <v/>
      </c>
      <c r="AE421" s="33"/>
      <c r="AF421" s="33" t="str">
        <f t="shared" si="479"/>
        <v/>
      </c>
      <c r="AG421" s="33"/>
      <c r="AH421" s="20" t="str">
        <f t="shared" si="480"/>
        <v/>
      </c>
      <c r="AI421" s="33"/>
      <c r="AJ421" s="33" t="str">
        <f t="shared" si="494"/>
        <v/>
      </c>
      <c r="AK421" s="33"/>
      <c r="AL421" s="112" t="str">
        <f t="shared" si="482"/>
        <v/>
      </c>
      <c r="AM421" s="40" t="str">
        <f t="shared" si="483"/>
        <v/>
      </c>
      <c r="AN421" s="20" t="str">
        <f t="shared" si="484"/>
        <v/>
      </c>
      <c r="AO421" s="21" t="str">
        <f t="shared" si="485"/>
        <v/>
      </c>
      <c r="AP421" s="11"/>
      <c r="AR421" s="47" t="str">
        <f>IF($A$421="","",$A$421)</f>
        <v/>
      </c>
      <c r="AS421" s="33"/>
      <c r="AT421" s="33" t="str">
        <f t="shared" si="486"/>
        <v/>
      </c>
      <c r="AU421" s="33"/>
      <c r="AV421" s="20" t="str">
        <f t="shared" si="487"/>
        <v/>
      </c>
      <c r="AW421" s="33"/>
      <c r="AX421" s="33" t="str">
        <f t="shared" si="488"/>
        <v/>
      </c>
      <c r="AY421" s="33"/>
      <c r="AZ421" s="112" t="str">
        <f t="shared" si="462"/>
        <v/>
      </c>
      <c r="BA421" s="40" t="str">
        <f t="shared" si="489"/>
        <v/>
      </c>
      <c r="BB421" s="20" t="str">
        <f t="shared" si="490"/>
        <v/>
      </c>
      <c r="BC421" s="21" t="str">
        <f t="shared" si="491"/>
        <v/>
      </c>
      <c r="BD421" s="11"/>
    </row>
    <row r="422" spans="1:56" ht="15" customHeight="1" x14ac:dyDescent="0.2">
      <c r="A422" s="72"/>
      <c r="B422" s="8"/>
      <c r="C422" s="9"/>
      <c r="D422" s="9" t="str">
        <f t="shared" si="466"/>
        <v/>
      </c>
      <c r="E422" s="9"/>
      <c r="F422" s="9" t="str">
        <f t="shared" si="473"/>
        <v/>
      </c>
      <c r="G422" s="9"/>
      <c r="H422" s="9" t="str">
        <f t="shared" si="468"/>
        <v/>
      </c>
      <c r="I422" s="9"/>
      <c r="J422" s="113" t="str">
        <f t="shared" si="471"/>
        <v/>
      </c>
      <c r="K422" s="34" t="str">
        <f t="shared" si="472"/>
        <v/>
      </c>
      <c r="L422" s="9" t="str">
        <f t="shared" si="469"/>
        <v/>
      </c>
      <c r="M422" s="10" t="str">
        <f t="shared" si="470"/>
        <v/>
      </c>
      <c r="N422" s="11"/>
      <c r="P422" s="12"/>
      <c r="Q422" s="9"/>
      <c r="R422" s="9" t="str">
        <f t="shared" si="474"/>
        <v/>
      </c>
      <c r="S422" s="9"/>
      <c r="T422" s="9" t="str">
        <f t="shared" si="475"/>
        <v/>
      </c>
      <c r="U422" s="9"/>
      <c r="V422" s="9" t="str">
        <f t="shared" si="476"/>
        <v/>
      </c>
      <c r="W422" s="9"/>
      <c r="X422" s="113" t="str">
        <f t="shared" si="492"/>
        <v/>
      </c>
      <c r="Y422" s="34" t="str">
        <f t="shared" si="493"/>
        <v/>
      </c>
      <c r="Z422" s="9" t="str">
        <f t="shared" si="477"/>
        <v/>
      </c>
      <c r="AA422" s="10" t="str">
        <f t="shared" si="478"/>
        <v/>
      </c>
      <c r="AB422" s="11"/>
      <c r="AD422" s="12"/>
      <c r="AE422" s="9"/>
      <c r="AF422" s="9" t="str">
        <f t="shared" si="479"/>
        <v/>
      </c>
      <c r="AG422" s="9"/>
      <c r="AH422" s="9" t="str">
        <f t="shared" si="480"/>
        <v/>
      </c>
      <c r="AI422" s="9"/>
      <c r="AJ422" s="9" t="str">
        <f t="shared" si="494"/>
        <v/>
      </c>
      <c r="AK422" s="9"/>
      <c r="AL422" s="113" t="str">
        <f t="shared" si="482"/>
        <v/>
      </c>
      <c r="AM422" s="34" t="str">
        <f t="shared" si="483"/>
        <v/>
      </c>
      <c r="AN422" s="9" t="str">
        <f t="shared" si="484"/>
        <v/>
      </c>
      <c r="AO422" s="10" t="str">
        <f t="shared" si="485"/>
        <v/>
      </c>
      <c r="AP422" s="11"/>
      <c r="AR422" s="12"/>
      <c r="AS422" s="9"/>
      <c r="AT422" s="9" t="str">
        <f t="shared" si="486"/>
        <v/>
      </c>
      <c r="AU422" s="9"/>
      <c r="AV422" s="9" t="str">
        <f t="shared" si="487"/>
        <v/>
      </c>
      <c r="AW422" s="9"/>
      <c r="AX422" s="9" t="str">
        <f t="shared" si="488"/>
        <v/>
      </c>
      <c r="AY422" s="9"/>
      <c r="AZ422" s="113" t="str">
        <f t="shared" si="462"/>
        <v/>
      </c>
      <c r="BA422" s="34" t="str">
        <f t="shared" si="489"/>
        <v/>
      </c>
      <c r="BB422" s="9" t="str">
        <f t="shared" si="490"/>
        <v/>
      </c>
      <c r="BC422" s="10" t="str">
        <f t="shared" si="491"/>
        <v/>
      </c>
      <c r="BD422" s="11"/>
    </row>
    <row r="423" spans="1:56" ht="15" customHeight="1" x14ac:dyDescent="0.2">
      <c r="A423" s="72"/>
      <c r="B423" s="8"/>
      <c r="C423" s="9"/>
      <c r="D423" s="9" t="str">
        <f t="shared" si="466"/>
        <v/>
      </c>
      <c r="E423" s="9"/>
      <c r="F423" s="9" t="str">
        <f t="shared" si="473"/>
        <v/>
      </c>
      <c r="G423" s="9"/>
      <c r="H423" s="9" t="str">
        <f t="shared" si="468"/>
        <v/>
      </c>
      <c r="I423" s="9"/>
      <c r="J423" s="113" t="str">
        <f t="shared" si="471"/>
        <v/>
      </c>
      <c r="K423" s="9" t="str">
        <f t="shared" si="472"/>
        <v/>
      </c>
      <c r="L423" s="9" t="str">
        <f t="shared" si="469"/>
        <v/>
      </c>
      <c r="M423" s="10" t="str">
        <f t="shared" si="470"/>
        <v/>
      </c>
      <c r="N423" s="11"/>
      <c r="P423" s="12"/>
      <c r="Q423" s="9"/>
      <c r="R423" s="9" t="str">
        <f t="shared" si="474"/>
        <v/>
      </c>
      <c r="S423" s="9"/>
      <c r="T423" s="9" t="str">
        <f t="shared" si="475"/>
        <v/>
      </c>
      <c r="U423" s="9"/>
      <c r="V423" s="9" t="str">
        <f t="shared" si="476"/>
        <v/>
      </c>
      <c r="W423" s="9"/>
      <c r="X423" s="113" t="str">
        <f t="shared" si="492"/>
        <v/>
      </c>
      <c r="Y423" s="9" t="str">
        <f t="shared" si="493"/>
        <v/>
      </c>
      <c r="Z423" s="9" t="str">
        <f t="shared" si="477"/>
        <v/>
      </c>
      <c r="AA423" s="10" t="str">
        <f t="shared" si="478"/>
        <v/>
      </c>
      <c r="AB423" s="11"/>
      <c r="AD423" s="12"/>
      <c r="AE423" s="9"/>
      <c r="AF423" s="9" t="str">
        <f t="shared" si="479"/>
        <v/>
      </c>
      <c r="AG423" s="9"/>
      <c r="AH423" s="9" t="str">
        <f t="shared" si="480"/>
        <v/>
      </c>
      <c r="AI423" s="9"/>
      <c r="AJ423" s="9" t="str">
        <f t="shared" si="494"/>
        <v/>
      </c>
      <c r="AK423" s="9"/>
      <c r="AL423" s="113" t="str">
        <f t="shared" si="482"/>
        <v/>
      </c>
      <c r="AM423" s="9" t="str">
        <f t="shared" si="483"/>
        <v/>
      </c>
      <c r="AN423" s="9" t="str">
        <f t="shared" si="484"/>
        <v/>
      </c>
      <c r="AO423" s="10" t="str">
        <f t="shared" si="485"/>
        <v/>
      </c>
      <c r="AP423" s="11"/>
      <c r="AR423" s="12"/>
      <c r="AS423" s="9"/>
      <c r="AT423" s="9" t="str">
        <f t="shared" si="486"/>
        <v/>
      </c>
      <c r="AU423" s="9"/>
      <c r="AV423" s="9" t="str">
        <f t="shared" si="487"/>
        <v/>
      </c>
      <c r="AW423" s="9"/>
      <c r="AX423" s="9" t="str">
        <f t="shared" si="488"/>
        <v/>
      </c>
      <c r="AY423" s="9"/>
      <c r="AZ423" s="113" t="str">
        <f t="shared" si="462"/>
        <v/>
      </c>
      <c r="BA423" s="9" t="str">
        <f t="shared" si="489"/>
        <v/>
      </c>
      <c r="BB423" s="9" t="str">
        <f t="shared" si="490"/>
        <v/>
      </c>
      <c r="BC423" s="10" t="str">
        <f t="shared" si="491"/>
        <v/>
      </c>
      <c r="BD423" s="11"/>
    </row>
    <row r="424" spans="1:56" ht="15" customHeight="1" thickBot="1" x14ac:dyDescent="0.25">
      <c r="A424" s="75"/>
      <c r="B424" s="67"/>
      <c r="C424" s="17"/>
      <c r="D424" s="17" t="str">
        <f t="shared" si="466"/>
        <v/>
      </c>
      <c r="E424" s="17"/>
      <c r="F424" s="17" t="str">
        <f t="shared" si="473"/>
        <v/>
      </c>
      <c r="G424" s="17"/>
      <c r="H424" s="17"/>
      <c r="I424" s="17"/>
      <c r="J424" s="114" t="str">
        <f t="shared" si="471"/>
        <v/>
      </c>
      <c r="K424" s="37" t="str">
        <f t="shared" si="472"/>
        <v/>
      </c>
      <c r="L424" s="17" t="str">
        <f t="shared" si="469"/>
        <v/>
      </c>
      <c r="M424" s="18" t="str">
        <f t="shared" si="470"/>
        <v/>
      </c>
      <c r="N424" s="11"/>
      <c r="P424" s="16"/>
      <c r="Q424" s="17"/>
      <c r="R424" s="17" t="str">
        <f t="shared" si="474"/>
        <v/>
      </c>
      <c r="S424" s="17"/>
      <c r="T424" s="17" t="str">
        <f t="shared" si="475"/>
        <v/>
      </c>
      <c r="U424" s="17"/>
      <c r="V424" s="17" t="str">
        <f t="shared" si="476"/>
        <v/>
      </c>
      <c r="W424" s="17"/>
      <c r="X424" s="114" t="str">
        <f t="shared" si="492"/>
        <v/>
      </c>
      <c r="Y424" s="37" t="str">
        <f t="shared" si="493"/>
        <v/>
      </c>
      <c r="Z424" s="17" t="str">
        <f t="shared" si="477"/>
        <v/>
      </c>
      <c r="AA424" s="18" t="str">
        <f t="shared" si="478"/>
        <v/>
      </c>
      <c r="AB424" s="11"/>
      <c r="AD424" s="16"/>
      <c r="AE424" s="17"/>
      <c r="AF424" s="17" t="str">
        <f t="shared" si="479"/>
        <v/>
      </c>
      <c r="AG424" s="17"/>
      <c r="AH424" s="17" t="str">
        <f t="shared" si="480"/>
        <v/>
      </c>
      <c r="AI424" s="17"/>
      <c r="AJ424" s="17" t="str">
        <f t="shared" si="494"/>
        <v/>
      </c>
      <c r="AK424" s="17"/>
      <c r="AL424" s="114" t="str">
        <f t="shared" si="482"/>
        <v/>
      </c>
      <c r="AM424" s="37" t="str">
        <f t="shared" si="483"/>
        <v/>
      </c>
      <c r="AN424" s="17" t="str">
        <f t="shared" si="484"/>
        <v/>
      </c>
      <c r="AO424" s="18" t="str">
        <f t="shared" si="485"/>
        <v/>
      </c>
      <c r="AP424" s="11"/>
      <c r="AR424" s="16"/>
      <c r="AS424" s="17"/>
      <c r="AT424" s="17" t="str">
        <f t="shared" si="486"/>
        <v/>
      </c>
      <c r="AU424" s="17"/>
      <c r="AV424" s="17" t="str">
        <f t="shared" si="487"/>
        <v/>
      </c>
      <c r="AW424" s="17"/>
      <c r="AX424" s="17" t="str">
        <f t="shared" si="488"/>
        <v/>
      </c>
      <c r="AY424" s="17"/>
      <c r="AZ424" s="114" t="str">
        <f t="shared" si="462"/>
        <v/>
      </c>
      <c r="BA424" s="37" t="str">
        <f t="shared" si="489"/>
        <v/>
      </c>
      <c r="BB424" s="17" t="str">
        <f t="shared" si="490"/>
        <v/>
      </c>
      <c r="BC424" s="18" t="str">
        <f t="shared" si="491"/>
        <v/>
      </c>
      <c r="BD424" s="11"/>
    </row>
    <row r="425" spans="1:56" ht="15" customHeight="1" thickTop="1" x14ac:dyDescent="0.2">
      <c r="A425" s="71"/>
      <c r="B425" s="61">
        <f>SUM(D425:D428)+SUM(R425:R428)+SUM(AF425:AF428)+SUM(AT425:AT428)</f>
        <v>0</v>
      </c>
      <c r="C425" s="33"/>
      <c r="D425" s="33" t="str">
        <f t="shared" si="466"/>
        <v/>
      </c>
      <c r="E425" s="33"/>
      <c r="F425" s="33" t="str">
        <f t="shared" si="473"/>
        <v/>
      </c>
      <c r="G425" s="33"/>
      <c r="H425" s="33" t="str">
        <f>IF(G425="","",G421+I421-G425)</f>
        <v/>
      </c>
      <c r="I425" s="33"/>
      <c r="J425" s="112" t="str">
        <f t="shared" si="471"/>
        <v/>
      </c>
      <c r="K425" s="33" t="str">
        <f t="shared" si="472"/>
        <v/>
      </c>
      <c r="L425" s="33" t="str">
        <f t="shared" si="469"/>
        <v/>
      </c>
      <c r="M425" s="33" t="str">
        <f t="shared" si="470"/>
        <v/>
      </c>
      <c r="N425" s="11"/>
      <c r="P425" s="47" t="str">
        <f>IF($A$425="","",$A$425)</f>
        <v/>
      </c>
      <c r="Q425" s="33"/>
      <c r="R425" s="33" t="str">
        <f t="shared" si="474"/>
        <v/>
      </c>
      <c r="S425" s="33"/>
      <c r="T425" s="33" t="str">
        <f t="shared" si="475"/>
        <v/>
      </c>
      <c r="U425" s="33"/>
      <c r="V425" s="33" t="str">
        <f t="shared" si="476"/>
        <v/>
      </c>
      <c r="W425" s="33"/>
      <c r="X425" s="112" t="str">
        <f t="shared" si="492"/>
        <v/>
      </c>
      <c r="Y425" s="33" t="str">
        <f t="shared" si="493"/>
        <v/>
      </c>
      <c r="Z425" s="33" t="str">
        <f t="shared" si="477"/>
        <v/>
      </c>
      <c r="AA425" s="33" t="str">
        <f t="shared" si="478"/>
        <v/>
      </c>
      <c r="AB425" s="11"/>
      <c r="AD425" s="47" t="str">
        <f>IF($A$425="","",$A$425)</f>
        <v/>
      </c>
      <c r="AE425" s="33"/>
      <c r="AF425" s="33" t="str">
        <f t="shared" si="479"/>
        <v/>
      </c>
      <c r="AG425" s="33"/>
      <c r="AH425" s="33" t="str">
        <f t="shared" si="480"/>
        <v/>
      </c>
      <c r="AI425" s="33"/>
      <c r="AJ425" s="33" t="str">
        <f t="shared" si="494"/>
        <v/>
      </c>
      <c r="AK425" s="33"/>
      <c r="AL425" s="112" t="str">
        <f t="shared" si="482"/>
        <v/>
      </c>
      <c r="AM425" s="33" t="str">
        <f t="shared" si="483"/>
        <v/>
      </c>
      <c r="AN425" s="33" t="str">
        <f t="shared" si="484"/>
        <v/>
      </c>
      <c r="AO425" s="33" t="str">
        <f t="shared" si="485"/>
        <v/>
      </c>
      <c r="AP425" s="11"/>
      <c r="AR425" s="47" t="str">
        <f>IF($A$425="","",$A$425)</f>
        <v/>
      </c>
      <c r="AS425" s="33"/>
      <c r="AT425" s="33" t="str">
        <f t="shared" si="486"/>
        <v/>
      </c>
      <c r="AU425" s="33"/>
      <c r="AV425" s="33" t="str">
        <f t="shared" si="487"/>
        <v/>
      </c>
      <c r="AW425" s="33"/>
      <c r="AX425" s="33" t="str">
        <f t="shared" si="488"/>
        <v/>
      </c>
      <c r="AY425" s="33"/>
      <c r="AZ425" s="112" t="str">
        <f t="shared" si="462"/>
        <v/>
      </c>
      <c r="BA425" s="33" t="str">
        <f t="shared" si="489"/>
        <v/>
      </c>
      <c r="BB425" s="33" t="str">
        <f t="shared" si="490"/>
        <v/>
      </c>
      <c r="BC425" s="33" t="str">
        <f t="shared" si="491"/>
        <v/>
      </c>
      <c r="BD425" s="11"/>
    </row>
    <row r="426" spans="1:56" ht="15" customHeight="1" x14ac:dyDescent="0.2">
      <c r="A426" s="71"/>
      <c r="B426" s="61"/>
      <c r="C426" s="33"/>
      <c r="D426" s="33" t="str">
        <f t="shared" si="466"/>
        <v/>
      </c>
      <c r="E426" s="33"/>
      <c r="F426" s="33" t="str">
        <f t="shared" si="473"/>
        <v/>
      </c>
      <c r="G426" s="33"/>
      <c r="H426" s="33" t="str">
        <f>IF(G426="","",G422+I422-G426)</f>
        <v/>
      </c>
      <c r="I426" s="33"/>
      <c r="J426" s="112" t="str">
        <f t="shared" si="471"/>
        <v/>
      </c>
      <c r="K426" s="33" t="str">
        <f t="shared" si="472"/>
        <v/>
      </c>
      <c r="L426" s="33" t="str">
        <f t="shared" si="469"/>
        <v/>
      </c>
      <c r="M426" s="33" t="str">
        <f t="shared" si="470"/>
        <v/>
      </c>
      <c r="N426" s="11"/>
      <c r="P426" s="42"/>
      <c r="Q426" s="33"/>
      <c r="R426" s="33" t="str">
        <f t="shared" si="474"/>
        <v/>
      </c>
      <c r="S426" s="33"/>
      <c r="T426" s="33" t="str">
        <f t="shared" si="475"/>
        <v/>
      </c>
      <c r="U426" s="33"/>
      <c r="V426" s="33" t="str">
        <f t="shared" si="476"/>
        <v/>
      </c>
      <c r="W426" s="33"/>
      <c r="X426" s="112" t="str">
        <f t="shared" si="492"/>
        <v/>
      </c>
      <c r="Y426" s="33" t="str">
        <f t="shared" si="493"/>
        <v/>
      </c>
      <c r="Z426" s="33" t="str">
        <f t="shared" si="477"/>
        <v/>
      </c>
      <c r="AA426" s="33" t="str">
        <f t="shared" si="478"/>
        <v/>
      </c>
      <c r="AB426" s="11"/>
      <c r="AD426" s="42"/>
      <c r="AE426" s="33"/>
      <c r="AF426" s="33" t="str">
        <f t="shared" si="479"/>
        <v/>
      </c>
      <c r="AG426" s="33"/>
      <c r="AH426" s="33" t="str">
        <f t="shared" si="480"/>
        <v/>
      </c>
      <c r="AI426" s="33"/>
      <c r="AJ426" s="33" t="str">
        <f t="shared" si="494"/>
        <v/>
      </c>
      <c r="AK426" s="33"/>
      <c r="AL426" s="112" t="str">
        <f t="shared" si="482"/>
        <v/>
      </c>
      <c r="AM426" s="33" t="str">
        <f t="shared" si="483"/>
        <v/>
      </c>
      <c r="AN426" s="33" t="str">
        <f t="shared" si="484"/>
        <v/>
      </c>
      <c r="AO426" s="33" t="str">
        <f t="shared" si="485"/>
        <v/>
      </c>
      <c r="AP426" s="11"/>
      <c r="AR426" s="42"/>
      <c r="AS426" s="33"/>
      <c r="AT426" s="33" t="str">
        <f t="shared" si="486"/>
        <v/>
      </c>
      <c r="AU426" s="33"/>
      <c r="AV426" s="33" t="str">
        <f t="shared" si="487"/>
        <v/>
      </c>
      <c r="AW426" s="33"/>
      <c r="AX426" s="33" t="str">
        <f t="shared" si="488"/>
        <v/>
      </c>
      <c r="AY426" s="33"/>
      <c r="AZ426" s="112" t="str">
        <f t="shared" si="462"/>
        <v/>
      </c>
      <c r="BA426" s="33" t="str">
        <f t="shared" si="489"/>
        <v/>
      </c>
      <c r="BB426" s="33" t="str">
        <f t="shared" si="490"/>
        <v/>
      </c>
      <c r="BC426" s="33" t="str">
        <f t="shared" si="491"/>
        <v/>
      </c>
      <c r="BD426" s="11"/>
    </row>
    <row r="427" spans="1:56" ht="15" customHeight="1" x14ac:dyDescent="0.2">
      <c r="A427" s="4"/>
      <c r="B427" s="64"/>
      <c r="C427" s="38"/>
      <c r="D427" s="38" t="str">
        <f t="shared" si="466"/>
        <v/>
      </c>
      <c r="E427" s="38"/>
      <c r="F427" s="38" t="str">
        <f t="shared" si="473"/>
        <v/>
      </c>
      <c r="G427" s="38"/>
      <c r="H427" s="38" t="str">
        <f>IF(G427="","",G423+I423-G427)</f>
        <v/>
      </c>
      <c r="I427" s="38"/>
      <c r="J427" s="116" t="str">
        <f t="shared" si="471"/>
        <v/>
      </c>
      <c r="K427" s="38" t="str">
        <f t="shared" si="472"/>
        <v/>
      </c>
      <c r="L427" s="38" t="str">
        <f t="shared" si="469"/>
        <v/>
      </c>
      <c r="M427" s="38" t="str">
        <f t="shared" si="470"/>
        <v/>
      </c>
      <c r="N427" s="26"/>
      <c r="P427" s="53"/>
      <c r="Q427" s="38"/>
      <c r="R427" s="38" t="str">
        <f t="shared" si="474"/>
        <v/>
      </c>
      <c r="S427" s="38"/>
      <c r="T427" s="38" t="str">
        <f t="shared" si="475"/>
        <v/>
      </c>
      <c r="U427" s="38"/>
      <c r="V427" s="38" t="str">
        <f t="shared" si="476"/>
        <v/>
      </c>
      <c r="W427" s="38"/>
      <c r="X427" s="116" t="str">
        <f t="shared" si="492"/>
        <v/>
      </c>
      <c r="Y427" s="38" t="str">
        <f t="shared" si="493"/>
        <v/>
      </c>
      <c r="Z427" s="38" t="str">
        <f t="shared" si="477"/>
        <v/>
      </c>
      <c r="AA427" s="38" t="str">
        <f t="shared" si="478"/>
        <v/>
      </c>
      <c r="AB427" s="26"/>
      <c r="AD427" s="53"/>
      <c r="AE427" s="38"/>
      <c r="AF427" s="38" t="str">
        <f t="shared" si="479"/>
        <v/>
      </c>
      <c r="AG427" s="38"/>
      <c r="AH427" s="38" t="str">
        <f t="shared" si="480"/>
        <v/>
      </c>
      <c r="AI427" s="38"/>
      <c r="AJ427" s="38" t="str">
        <f t="shared" si="494"/>
        <v/>
      </c>
      <c r="AK427" s="38"/>
      <c r="AL427" s="116" t="str">
        <f t="shared" si="482"/>
        <v/>
      </c>
      <c r="AM427" s="38" t="str">
        <f t="shared" si="483"/>
        <v/>
      </c>
      <c r="AN427" s="38" t="str">
        <f t="shared" si="484"/>
        <v/>
      </c>
      <c r="AO427" s="38" t="str">
        <f t="shared" si="485"/>
        <v/>
      </c>
      <c r="AP427" s="26"/>
      <c r="AR427" s="53"/>
      <c r="AS427" s="38"/>
      <c r="AT427" s="38" t="str">
        <f t="shared" si="486"/>
        <v/>
      </c>
      <c r="AU427" s="38"/>
      <c r="AV427" s="38" t="str">
        <f t="shared" si="487"/>
        <v/>
      </c>
      <c r="AW427" s="38"/>
      <c r="AX427" s="38" t="str">
        <f t="shared" si="488"/>
        <v/>
      </c>
      <c r="AY427" s="38"/>
      <c r="AZ427" s="116" t="str">
        <f t="shared" si="462"/>
        <v/>
      </c>
      <c r="BA427" s="38" t="str">
        <f t="shared" si="489"/>
        <v/>
      </c>
      <c r="BB427" s="38" t="str">
        <f t="shared" si="490"/>
        <v/>
      </c>
      <c r="BC427" s="38" t="str">
        <f t="shared" si="491"/>
        <v/>
      </c>
      <c r="BD427" s="26"/>
    </row>
    <row r="428" spans="1:56" ht="15" customHeight="1" thickBot="1" x14ac:dyDescent="0.25">
      <c r="A428" s="58"/>
      <c r="B428" s="65"/>
      <c r="C428" s="36"/>
      <c r="D428" s="36" t="str">
        <f t="shared" si="466"/>
        <v/>
      </c>
      <c r="E428" s="36"/>
      <c r="F428" s="36" t="str">
        <f t="shared" si="473"/>
        <v/>
      </c>
      <c r="G428" s="36"/>
      <c r="H428" s="36" t="str">
        <f>IF(G428="","",G424+I424-G428)</f>
        <v/>
      </c>
      <c r="I428" s="36"/>
      <c r="J428" s="117" t="str">
        <f t="shared" si="471"/>
        <v/>
      </c>
      <c r="K428" s="36" t="str">
        <f t="shared" si="472"/>
        <v/>
      </c>
      <c r="L428" s="36" t="str">
        <f t="shared" si="469"/>
        <v/>
      </c>
      <c r="M428" s="36" t="str">
        <f t="shared" si="470"/>
        <v/>
      </c>
      <c r="N428" s="52"/>
      <c r="P428" s="51"/>
      <c r="Q428" s="36"/>
      <c r="R428" s="36" t="str">
        <f t="shared" si="474"/>
        <v/>
      </c>
      <c r="S428" s="36"/>
      <c r="T428" s="36" t="str">
        <f t="shared" si="475"/>
        <v/>
      </c>
      <c r="U428" s="36"/>
      <c r="V428" s="36" t="str">
        <f t="shared" si="476"/>
        <v/>
      </c>
      <c r="W428" s="36"/>
      <c r="X428" s="117" t="str">
        <f t="shared" si="492"/>
        <v/>
      </c>
      <c r="Y428" s="36" t="str">
        <f t="shared" si="493"/>
        <v/>
      </c>
      <c r="Z428" s="36" t="str">
        <f t="shared" si="477"/>
        <v/>
      </c>
      <c r="AA428" s="36" t="str">
        <f t="shared" si="478"/>
        <v/>
      </c>
      <c r="AB428" s="52"/>
      <c r="AD428" s="51"/>
      <c r="AE428" s="36"/>
      <c r="AF428" s="36" t="str">
        <f t="shared" si="479"/>
        <v/>
      </c>
      <c r="AG428" s="36"/>
      <c r="AH428" s="36" t="str">
        <f t="shared" si="480"/>
        <v/>
      </c>
      <c r="AI428" s="36"/>
      <c r="AJ428" s="36" t="str">
        <f t="shared" si="494"/>
        <v/>
      </c>
      <c r="AK428" s="36"/>
      <c r="AL428" s="117" t="str">
        <f t="shared" si="482"/>
        <v/>
      </c>
      <c r="AM428" s="36" t="str">
        <f t="shared" si="483"/>
        <v/>
      </c>
      <c r="AN428" s="36" t="str">
        <f t="shared" si="484"/>
        <v/>
      </c>
      <c r="AO428" s="36" t="str">
        <f t="shared" si="485"/>
        <v/>
      </c>
      <c r="AP428" s="52"/>
      <c r="AR428" s="51"/>
      <c r="AS428" s="36"/>
      <c r="AT428" s="36" t="str">
        <f t="shared" si="486"/>
        <v/>
      </c>
      <c r="AU428" s="36"/>
      <c r="AV428" s="36" t="str">
        <f t="shared" si="487"/>
        <v/>
      </c>
      <c r="AW428" s="36"/>
      <c r="AX428" s="36" t="str">
        <f t="shared" si="488"/>
        <v/>
      </c>
      <c r="AY428" s="36"/>
      <c r="AZ428" s="117" t="str">
        <f t="shared" si="462"/>
        <v/>
      </c>
      <c r="BA428" s="36" t="str">
        <f t="shared" si="489"/>
        <v/>
      </c>
      <c r="BB428" s="36" t="str">
        <f t="shared" si="490"/>
        <v/>
      </c>
      <c r="BC428" s="36" t="str">
        <f t="shared" si="491"/>
        <v/>
      </c>
      <c r="BD428" s="52"/>
    </row>
    <row r="429" spans="1:56" ht="15" customHeight="1" thickTop="1" x14ac:dyDescent="0.2">
      <c r="A429" s="42"/>
      <c r="B429" s="61"/>
      <c r="C429" s="50" t="s">
        <v>22</v>
      </c>
      <c r="D429" s="33">
        <f>SUM(D373:D425)*100</f>
        <v>267300</v>
      </c>
      <c r="E429" s="70" t="s">
        <v>23</v>
      </c>
      <c r="F429" s="33"/>
      <c r="G429" s="50"/>
      <c r="H429" s="33"/>
      <c r="I429" s="33"/>
      <c r="J429" s="149" t="s">
        <v>24</v>
      </c>
      <c r="K429" s="149"/>
      <c r="L429" s="33">
        <f>SUM(L373:L425)</f>
        <v>48194</v>
      </c>
      <c r="M429" s="33"/>
      <c r="N429" s="45"/>
      <c r="P429" s="42"/>
      <c r="Q429" s="50" t="s">
        <v>22</v>
      </c>
      <c r="R429" s="33">
        <f>SUM(R373:R425)*100</f>
        <v>288400</v>
      </c>
      <c r="S429" s="70" t="s">
        <v>23</v>
      </c>
      <c r="T429" s="33"/>
      <c r="U429" s="50"/>
      <c r="V429" s="33"/>
      <c r="W429" s="33"/>
      <c r="X429" s="149" t="s">
        <v>24</v>
      </c>
      <c r="Y429" s="149"/>
      <c r="Z429" s="33">
        <f>SUM(Z373:Z425)</f>
        <v>25950</v>
      </c>
      <c r="AA429" s="33"/>
      <c r="AB429" s="45"/>
      <c r="AD429" s="42"/>
      <c r="AE429" s="50" t="s">
        <v>22</v>
      </c>
      <c r="AF429" s="33">
        <f>SUM(AF373:AF425)*100</f>
        <v>168100</v>
      </c>
      <c r="AG429" s="70" t="s">
        <v>23</v>
      </c>
      <c r="AH429" s="33"/>
      <c r="AI429" s="50"/>
      <c r="AJ429" s="33"/>
      <c r="AK429" s="33"/>
      <c r="AL429" s="149" t="s">
        <v>24</v>
      </c>
      <c r="AM429" s="149"/>
      <c r="AN429" s="33">
        <f>SUM(AN373:AN425)</f>
        <v>15384</v>
      </c>
      <c r="AO429" s="33"/>
      <c r="AP429" s="45"/>
      <c r="AR429" s="42"/>
      <c r="AS429" s="50" t="s">
        <v>22</v>
      </c>
      <c r="AT429" s="33">
        <f>SUM(AT373:AT425)*100</f>
        <v>172500</v>
      </c>
      <c r="AU429" s="70" t="s">
        <v>23</v>
      </c>
      <c r="AV429" s="33"/>
      <c r="AW429" s="50"/>
      <c r="AX429" s="33"/>
      <c r="AY429" s="33"/>
      <c r="AZ429" s="149" t="s">
        <v>24</v>
      </c>
      <c r="BA429" s="149"/>
      <c r="BB429" s="33">
        <f>SUM(BB373:BB425)</f>
        <v>20586</v>
      </c>
      <c r="BC429" s="33"/>
      <c r="BD429" s="45"/>
    </row>
    <row r="430" spans="1:56" ht="15" customHeight="1" x14ac:dyDescent="0.2">
      <c r="A430" s="22"/>
      <c r="B430" s="66"/>
      <c r="C430" s="5" t="s">
        <v>25</v>
      </c>
      <c r="D430" s="9">
        <f>D429/A434</f>
        <v>7425</v>
      </c>
      <c r="E430" s="9">
        <f>D430*A433</f>
        <v>267300</v>
      </c>
      <c r="F430" s="9"/>
      <c r="G430" s="5"/>
      <c r="H430" s="9"/>
      <c r="I430" s="9"/>
      <c r="J430" s="144" t="s">
        <v>26</v>
      </c>
      <c r="K430" s="144"/>
      <c r="L430" s="9"/>
      <c r="M430" s="24">
        <f>L429/D429</f>
        <v>0.18029928918817809</v>
      </c>
      <c r="N430" s="11"/>
      <c r="P430" s="31"/>
      <c r="Q430" s="5" t="s">
        <v>25</v>
      </c>
      <c r="R430" s="9">
        <f>R429/A434</f>
        <v>8011.1111111111113</v>
      </c>
      <c r="S430" s="9">
        <f>R430*A433</f>
        <v>288400</v>
      </c>
      <c r="T430" s="9"/>
      <c r="U430" s="5"/>
      <c r="V430" s="9"/>
      <c r="W430" s="9"/>
      <c r="X430" s="144" t="s">
        <v>26</v>
      </c>
      <c r="Y430" s="144"/>
      <c r="Z430" s="9"/>
      <c r="AA430" s="24">
        <f>Z429/R429</f>
        <v>8.9979195561719835E-2</v>
      </c>
      <c r="AB430" s="11"/>
      <c r="AD430" s="31"/>
      <c r="AE430" s="5" t="s">
        <v>25</v>
      </c>
      <c r="AF430" s="9">
        <f>AF429/A434</f>
        <v>4669.4444444444443</v>
      </c>
      <c r="AG430" s="9">
        <f>AF430*A433</f>
        <v>168100</v>
      </c>
      <c r="AH430" s="9"/>
      <c r="AI430" s="5"/>
      <c r="AJ430" s="9"/>
      <c r="AK430" s="9"/>
      <c r="AL430" s="144" t="s">
        <v>26</v>
      </c>
      <c r="AM430" s="144"/>
      <c r="AN430" s="9"/>
      <c r="AO430" s="24">
        <f>AN429/AF429</f>
        <v>9.1516954193932187E-2</v>
      </c>
      <c r="AP430" s="11"/>
      <c r="AR430" s="31"/>
      <c r="AS430" s="5" t="s">
        <v>25</v>
      </c>
      <c r="AT430" s="9">
        <f>AT429/A434</f>
        <v>4791.666666666667</v>
      </c>
      <c r="AU430" s="9">
        <f>AT430*A433</f>
        <v>172500</v>
      </c>
      <c r="AV430" s="9"/>
      <c r="AW430" s="5"/>
      <c r="AX430" s="9"/>
      <c r="AY430" s="9"/>
      <c r="AZ430" s="144" t="s">
        <v>26</v>
      </c>
      <c r="BA430" s="144"/>
      <c r="BB430" s="9"/>
      <c r="BC430" s="24">
        <f>BB429/AT429</f>
        <v>0.11933913043478261</v>
      </c>
      <c r="BD430" s="11"/>
    </row>
    <row r="431" spans="1:56" ht="15" customHeight="1" x14ac:dyDescent="0.2">
      <c r="A431" s="12"/>
      <c r="B431" s="68"/>
      <c r="C431" s="39" t="s">
        <v>27</v>
      </c>
      <c r="D431" s="9">
        <f>D429*0.6</f>
        <v>160380</v>
      </c>
      <c r="E431" s="9"/>
      <c r="F431" s="9"/>
      <c r="G431" s="5"/>
      <c r="H431" s="9"/>
      <c r="I431" s="9"/>
      <c r="J431" s="144" t="s">
        <v>28</v>
      </c>
      <c r="K431" s="144"/>
      <c r="L431" s="9">
        <f>D431-L429</f>
        <v>112186</v>
      </c>
      <c r="M431" s="24">
        <f>L431/D429</f>
        <v>0.41970071081182192</v>
      </c>
      <c r="N431" s="11"/>
      <c r="P431" s="12"/>
      <c r="Q431" s="39" t="s">
        <v>27</v>
      </c>
      <c r="R431" s="9">
        <f>R429*0.6</f>
        <v>173040</v>
      </c>
      <c r="S431" s="9"/>
      <c r="T431" s="9"/>
      <c r="U431" s="5"/>
      <c r="V431" s="9"/>
      <c r="W431" s="9"/>
      <c r="X431" s="144" t="s">
        <v>28</v>
      </c>
      <c r="Y431" s="144"/>
      <c r="Z431" s="9">
        <f>R431-Z429</f>
        <v>147090</v>
      </c>
      <c r="AA431" s="24">
        <f>Z431/R429</f>
        <v>0.51002080443828013</v>
      </c>
      <c r="AB431" s="11"/>
      <c r="AD431" s="12"/>
      <c r="AE431" s="39" t="s">
        <v>27</v>
      </c>
      <c r="AF431" s="9">
        <f>AF429*0.6</f>
        <v>100860</v>
      </c>
      <c r="AG431" s="9"/>
      <c r="AH431" s="9"/>
      <c r="AI431" s="5"/>
      <c r="AJ431" s="9"/>
      <c r="AK431" s="9"/>
      <c r="AL431" s="144" t="s">
        <v>28</v>
      </c>
      <c r="AM431" s="144"/>
      <c r="AN431" s="9">
        <f>AF431-AN429</f>
        <v>85476</v>
      </c>
      <c r="AO431" s="24">
        <f>AN431/AF429</f>
        <v>0.50848304580606785</v>
      </c>
      <c r="AP431" s="11"/>
      <c r="AR431" s="12"/>
      <c r="AS431" s="39" t="s">
        <v>27</v>
      </c>
      <c r="AT431" s="9">
        <f>AT429*0.6</f>
        <v>103500</v>
      </c>
      <c r="AU431" s="9"/>
      <c r="AV431" s="9"/>
      <c r="AW431" s="5"/>
      <c r="AX431" s="9"/>
      <c r="AY431" s="9"/>
      <c r="AZ431" s="144" t="s">
        <v>28</v>
      </c>
      <c r="BA431" s="144"/>
      <c r="BB431" s="9">
        <f>AT431-BB429</f>
        <v>82914</v>
      </c>
      <c r="BC431" s="24">
        <f>BB431/AT429</f>
        <v>0.48066086956521742</v>
      </c>
      <c r="BD431" s="11"/>
    </row>
    <row r="432" spans="1:56" ht="15" customHeight="1" x14ac:dyDescent="0.2">
      <c r="A432" s="42"/>
      <c r="B432" s="61"/>
      <c r="C432" s="5" t="s">
        <v>29</v>
      </c>
      <c r="D432" s="9"/>
      <c r="E432" s="9"/>
      <c r="F432" s="9"/>
      <c r="G432" s="5"/>
      <c r="H432" s="9"/>
      <c r="I432" s="15"/>
      <c r="J432" s="145" t="s">
        <v>30</v>
      </c>
      <c r="K432" s="145"/>
      <c r="L432" s="33">
        <f>(G397+I397)*K397+(G398+I398)*K398+(G399+I399)*K399+(G400+I400)*K400</f>
        <v>53690</v>
      </c>
      <c r="M432" s="10"/>
      <c r="N432" s="11"/>
      <c r="P432" s="42"/>
      <c r="Q432" s="5" t="s">
        <v>29</v>
      </c>
      <c r="R432" s="9"/>
      <c r="S432" s="9"/>
      <c r="T432" s="9"/>
      <c r="U432" s="5"/>
      <c r="V432" s="9"/>
      <c r="W432" s="15"/>
      <c r="X432" s="145" t="s">
        <v>30</v>
      </c>
      <c r="Y432" s="145"/>
      <c r="Z432" s="33">
        <f>(U397+W397)*Y397+(U398+W398)*Y398+(U399+W399)*Y399+(U400+W400)*Y400</f>
        <v>27572</v>
      </c>
      <c r="AA432" s="10"/>
      <c r="AB432" s="11"/>
      <c r="AD432" s="42"/>
      <c r="AE432" s="5" t="s">
        <v>29</v>
      </c>
      <c r="AF432" s="9"/>
      <c r="AG432" s="9"/>
      <c r="AH432" s="9"/>
      <c r="AI432" s="5"/>
      <c r="AJ432" s="9"/>
      <c r="AK432" s="15"/>
      <c r="AL432" s="145" t="s">
        <v>30</v>
      </c>
      <c r="AM432" s="145"/>
      <c r="AN432" s="33">
        <f>(AI397+AK397)*AM397+(AI398+AK398)*AM398+(AI399+AK399)*AM399+(AI400+AK400)*AM400</f>
        <v>39540</v>
      </c>
      <c r="AO432" s="10"/>
      <c r="AP432" s="11"/>
      <c r="AR432" s="42"/>
      <c r="AS432" s="5" t="s">
        <v>29</v>
      </c>
      <c r="AT432" s="9"/>
      <c r="AU432" s="9"/>
      <c r="AV432" s="9"/>
      <c r="AW432" s="5"/>
      <c r="AX432" s="9"/>
      <c r="AY432" s="15"/>
      <c r="AZ432" s="145" t="s">
        <v>30</v>
      </c>
      <c r="BA432" s="145"/>
      <c r="BB432" s="33">
        <f>(AW397+AY397)*BA397+(AW398+AY398)*BA398+(AW399+AY399)*BA399+(AW400+AY400)*BA400</f>
        <v>55056</v>
      </c>
      <c r="BC432" s="10"/>
      <c r="BD432" s="11"/>
    </row>
    <row r="433" spans="1:56" ht="15" customHeight="1" x14ac:dyDescent="0.2">
      <c r="A433" s="4">
        <v>36</v>
      </c>
      <c r="B433" s="80">
        <f>SUM(B373:B425)*100</f>
        <v>896300</v>
      </c>
      <c r="C433" s="5"/>
      <c r="D433" s="9"/>
      <c r="E433" s="9"/>
      <c r="F433" s="9"/>
      <c r="G433" s="5"/>
      <c r="H433" s="9"/>
      <c r="I433" s="15"/>
      <c r="J433" s="118"/>
      <c r="K433" s="56"/>
      <c r="L433" s="40"/>
      <c r="M433" s="10"/>
      <c r="N433" s="11"/>
      <c r="P433" s="42"/>
      <c r="Q433" s="5"/>
      <c r="R433" s="9"/>
      <c r="S433" s="9"/>
      <c r="T433" s="9"/>
      <c r="U433" s="5"/>
      <c r="V433" s="9"/>
      <c r="W433" s="15"/>
      <c r="X433" s="118"/>
      <c r="Y433" s="56"/>
      <c r="Z433" s="40"/>
      <c r="AA433" s="10"/>
      <c r="AB433" s="11"/>
      <c r="AD433" s="42"/>
      <c r="AE433" s="5"/>
      <c r="AF433" s="9"/>
      <c r="AG433" s="9"/>
      <c r="AH433" s="9"/>
      <c r="AI433" s="5"/>
      <c r="AJ433" s="9"/>
      <c r="AK433" s="15"/>
      <c r="AL433" s="118"/>
      <c r="AM433" s="56"/>
      <c r="AN433" s="40"/>
      <c r="AO433" s="10"/>
      <c r="AP433" s="11"/>
      <c r="AR433" s="42"/>
      <c r="AS433" s="5"/>
      <c r="AT433" s="9"/>
      <c r="AU433" s="9"/>
      <c r="AV433" s="9"/>
      <c r="AW433" s="5"/>
      <c r="AX433" s="9"/>
      <c r="AY433" s="15"/>
      <c r="AZ433" s="118"/>
      <c r="BA433" s="56"/>
      <c r="BB433" s="40"/>
      <c r="BC433" s="10"/>
      <c r="BD433" s="11"/>
    </row>
    <row r="434" spans="1:56" ht="15" customHeight="1" x14ac:dyDescent="0.2">
      <c r="A434" s="55">
        <f>DATEDIF(A$459,A405,"d")</f>
        <v>36</v>
      </c>
      <c r="B434" s="61"/>
      <c r="C434" s="5"/>
      <c r="D434" s="9"/>
      <c r="E434" s="23"/>
      <c r="F434" s="9"/>
      <c r="G434" s="5"/>
      <c r="H434" s="9"/>
      <c r="I434" s="15"/>
      <c r="J434" s="118"/>
      <c r="K434" s="56"/>
      <c r="L434" s="40"/>
      <c r="M434" s="10"/>
      <c r="N434" s="11"/>
      <c r="P434" s="42"/>
      <c r="Q434" s="5"/>
      <c r="R434" s="9"/>
      <c r="S434" s="9"/>
      <c r="T434" s="9"/>
      <c r="U434" s="5"/>
      <c r="V434" s="9"/>
      <c r="W434" s="15"/>
      <c r="X434" s="118"/>
      <c r="Y434" s="56"/>
      <c r="Z434" s="40"/>
      <c r="AA434" s="10"/>
      <c r="AB434" s="11"/>
      <c r="AD434" s="42"/>
      <c r="AE434" s="5"/>
      <c r="AF434" s="9"/>
      <c r="AG434" s="9"/>
      <c r="AH434" s="9"/>
      <c r="AI434" s="5"/>
      <c r="AJ434" s="9"/>
      <c r="AK434" s="15"/>
      <c r="AL434" s="118"/>
      <c r="AM434" s="56"/>
      <c r="AN434" s="40"/>
      <c r="AO434" s="10"/>
      <c r="AP434" s="11"/>
      <c r="AR434" s="42"/>
      <c r="AS434" s="5"/>
      <c r="AT434" s="9"/>
      <c r="AU434" s="9"/>
      <c r="AV434" s="9"/>
      <c r="AW434" s="5"/>
      <c r="AX434" s="9"/>
      <c r="AY434" s="15"/>
      <c r="AZ434" s="118"/>
      <c r="BA434" s="56"/>
      <c r="BB434" s="40"/>
      <c r="BC434" s="10"/>
      <c r="BD434" s="11"/>
    </row>
    <row r="435" spans="1:56" x14ac:dyDescent="0.2">
      <c r="A435" s="142" t="s">
        <v>31</v>
      </c>
      <c r="B435" s="142"/>
      <c r="C435" s="142"/>
      <c r="D435" s="25">
        <f>SUM(D373,D377,D381,D385,D389,D393,D397,D401,D405,D409,D413,D417,D421)*100</f>
        <v>44000</v>
      </c>
      <c r="E435" s="34"/>
      <c r="F435" s="9"/>
      <c r="G435" s="5">
        <f>D435/H435</f>
        <v>3142.8571428571427</v>
      </c>
      <c r="H435" s="25">
        <f>SUM(H373,H377,H381,H385,H389,H393,H398,H401,H405,H409,H413,H417,H421)</f>
        <v>14</v>
      </c>
      <c r="I435" s="9"/>
      <c r="J435" s="112" t="str">
        <f t="shared" ref="J435:K435" si="495">J373</f>
        <v>サンリオトイカメラ</v>
      </c>
      <c r="K435" s="40">
        <f t="shared" si="495"/>
        <v>1015</v>
      </c>
      <c r="L435" s="25">
        <f>SUM(L373,L377,L381,L385,L389,L393,L398,L401,L405,L409,L413,L417,L421)</f>
        <v>13090</v>
      </c>
      <c r="M435" s="24">
        <f>L435/D435</f>
        <v>0.29749999999999999</v>
      </c>
      <c r="N435" s="11"/>
      <c r="O435" s="14"/>
      <c r="P435" s="142" t="s">
        <v>31</v>
      </c>
      <c r="Q435" s="142"/>
      <c r="R435" s="25">
        <f>SUM(R373,R377,R381,R385,R389,R393,R397,R401,R405,R409,R413,R417,R421)*100</f>
        <v>44500</v>
      </c>
      <c r="S435" s="34"/>
      <c r="T435" s="9"/>
      <c r="U435" s="5">
        <f>R435/V435</f>
        <v>5562.5</v>
      </c>
      <c r="V435" s="25">
        <f>SUM(V373,V377,V381,V385,V389,V393,V398,V401,V405,V409,V413,V417,V421)</f>
        <v>8</v>
      </c>
      <c r="W435" s="9"/>
      <c r="X435" s="112" t="str">
        <f t="shared" ref="X435:Y435" si="496">X373</f>
        <v>香水coach</v>
      </c>
      <c r="Y435" s="40">
        <f t="shared" si="496"/>
        <v>1100</v>
      </c>
      <c r="Z435" s="25">
        <f>SUM(Z373,Z377,Z381,Z385,Z389,Z393,Z398,Z401,Z405,Z409,Z413,Z417,Z421)</f>
        <v>5000</v>
      </c>
      <c r="AA435" s="24">
        <f>Z435/R435</f>
        <v>0.11235955056179775</v>
      </c>
      <c r="AB435" s="11"/>
      <c r="AD435" s="142" t="s">
        <v>31</v>
      </c>
      <c r="AE435" s="142"/>
      <c r="AF435" s="25">
        <f>SUM(AF373,AF377,AF381,AF385,AF389,AF393,AF397,AF401,AF405,AF409,AF413,AF417,AF421)*100</f>
        <v>22500</v>
      </c>
      <c r="AG435" s="34"/>
      <c r="AH435" s="9"/>
      <c r="AI435" s="5">
        <f>AF435/AJ435</f>
        <v>2812.5</v>
      </c>
      <c r="AJ435" s="25">
        <f>SUM(AJ373,AJ377,AJ381,AJ385,AJ389,AJ393,AJ398,AJ401,AJ405,AJ409,AJ413,AJ417,AJ421)</f>
        <v>8</v>
      </c>
      <c r="AK435" s="9"/>
      <c r="AL435" s="112" t="str">
        <f t="shared" ref="AL435:AM435" si="497">AL373</f>
        <v>スティッチキーケース</v>
      </c>
      <c r="AM435" s="40">
        <f t="shared" si="497"/>
        <v>550</v>
      </c>
      <c r="AN435" s="25">
        <f>SUM(AN373,AN377,AN381,AN385,AN389,AN393,AN398,AN401,AN405,AN409,AN413,AN417,AN421)</f>
        <v>3492</v>
      </c>
      <c r="AO435" s="24">
        <f>AN435/AF435</f>
        <v>0.1552</v>
      </c>
      <c r="AP435" s="11"/>
      <c r="AR435" s="142" t="s">
        <v>31</v>
      </c>
      <c r="AS435" s="142"/>
      <c r="AT435" s="25">
        <f>SUM(AT373,AT377,AT381,AT385,AT389,AT393,AT397,AT401,AT405,AT409,AT413,AT417,AT421)*100</f>
        <v>63900</v>
      </c>
      <c r="AU435" s="34"/>
      <c r="AV435" s="9"/>
      <c r="AW435" s="5">
        <f>AT435/AX435</f>
        <v>4915.3846153846152</v>
      </c>
      <c r="AX435" s="25">
        <f>SUM(AX373,AX377,AX381,AX385,AX389,AX393,AX398,AX401,AX405,AX409,AX413,AX417,AX421)</f>
        <v>13</v>
      </c>
      <c r="AY435" s="9"/>
      <c r="AZ435" s="112" t="str">
        <f t="shared" ref="AZ435:BA435" si="498">AZ373</f>
        <v>デジタルミニカメラ</v>
      </c>
      <c r="BA435" s="40">
        <f t="shared" si="498"/>
        <v>722</v>
      </c>
      <c r="BB435" s="25">
        <f>SUM(BB373,BB377,BB381,BB385,BB389,BB393,BB398,BB401,BB405,BB409,BB413,BB417,BB421)</f>
        <v>7220</v>
      </c>
      <c r="BC435" s="24">
        <f>BB435/AT435</f>
        <v>0.11298904538341158</v>
      </c>
      <c r="BD435" s="11"/>
    </row>
    <row r="436" spans="1:56" x14ac:dyDescent="0.2">
      <c r="A436" s="142" t="s">
        <v>31</v>
      </c>
      <c r="B436" s="142"/>
      <c r="C436" s="142"/>
      <c r="D436" s="25">
        <f>SUM(D374,D378,D382,D386,D390,D394,D398,D402,D406,D410,D414,D418,D422)*100</f>
        <v>54500</v>
      </c>
      <c r="E436" s="34"/>
      <c r="F436" s="9"/>
      <c r="G436" s="5">
        <f>D436/H436</f>
        <v>1135.4166666666667</v>
      </c>
      <c r="H436" s="25">
        <f>SUM(H374,H378,H382,H386,H390,H394,H397,H402,H406,H410,H414,H418,H422)</f>
        <v>48</v>
      </c>
      <c r="I436" s="9"/>
      <c r="J436" s="112" t="str">
        <f t="shared" ref="J436:K436" si="499">J374</f>
        <v>電ブル</v>
      </c>
      <c r="K436" s="40">
        <f t="shared" si="499"/>
        <v>275</v>
      </c>
      <c r="L436" s="25">
        <f>SUM(L374,L378,L382,L386,L390,L394,L397,L402,L406,L410,L414,L418,L422)</f>
        <v>14800</v>
      </c>
      <c r="M436" s="24">
        <f>L436/D436</f>
        <v>0.27155963302752295</v>
      </c>
      <c r="N436" s="11"/>
      <c r="O436" s="1"/>
      <c r="P436" s="142" t="s">
        <v>31</v>
      </c>
      <c r="Q436" s="142"/>
      <c r="R436" s="25">
        <f>SUM(R374,R378,R382,R386,R390,R394,R398,R402,R406,R410,R414,R418,R422)*100</f>
        <v>50400</v>
      </c>
      <c r="S436" s="34"/>
      <c r="T436" s="9"/>
      <c r="U436" s="5">
        <f>R436/V436</f>
        <v>3600</v>
      </c>
      <c r="V436" s="25">
        <f>SUM(V374,V378,V382,V386,V390,V394,V397,V402,V406,V410,V414,V418,V422)</f>
        <v>14</v>
      </c>
      <c r="W436" s="9"/>
      <c r="X436" s="112" t="str">
        <f t="shared" ref="X436:Y436" si="500">X374</f>
        <v>サンリオミニリュックチャーム付</v>
      </c>
      <c r="Y436" s="40">
        <f t="shared" si="500"/>
        <v>600</v>
      </c>
      <c r="Z436" s="25">
        <f>SUM(Z374,Z378,Z382,Z386,Z390,Z394,Z397,Z402,Z406,Z410,Z414,Z418,Z422)</f>
        <v>7200</v>
      </c>
      <c r="AA436" s="24">
        <f>Z436/R436</f>
        <v>0.14285714285714285</v>
      </c>
      <c r="AB436" s="11"/>
      <c r="AD436" s="142" t="s">
        <v>31</v>
      </c>
      <c r="AE436" s="142"/>
      <c r="AF436" s="25">
        <f>SUM(AF374,AF378,AF382,AF386,AF390,AF394,AF398,AF402,AF406,AF410,AF414,AF418,AF422)*100</f>
        <v>67700</v>
      </c>
      <c r="AG436" s="34"/>
      <c r="AH436" s="9"/>
      <c r="AI436" s="5">
        <f>AF436/AJ436</f>
        <v>9671.4285714285706</v>
      </c>
      <c r="AJ436" s="25">
        <f>SUM(AJ374,AJ378,AJ382,AJ386,AJ390,AJ394,AJ397,AJ402,AJ406,AJ410,AJ414,AJ418,AJ422)</f>
        <v>7</v>
      </c>
      <c r="AK436" s="9"/>
      <c r="AL436" s="112" t="str">
        <f t="shared" ref="AL436:AM436" si="501">AL374</f>
        <v>ジャグラーサウンドフラッシュ</v>
      </c>
      <c r="AM436" s="40">
        <f t="shared" si="501"/>
        <v>748</v>
      </c>
      <c r="AN436" s="25">
        <f>SUM(AN374,AN378,AN382,AN386,AN390,AN394,AN397,AN402,AN406,AN410,AN414,AN418,AN422)</f>
        <v>2992</v>
      </c>
      <c r="AO436" s="24">
        <f>AN436/AF436</f>
        <v>4.419497784342688E-2</v>
      </c>
      <c r="AP436" s="11"/>
      <c r="AR436" s="142" t="s">
        <v>31</v>
      </c>
      <c r="AS436" s="142"/>
      <c r="AT436" s="25">
        <f>SUM(AT374,AT378,AT382,AT386,AT390,AT394,AT398,AT402,AT406,AT410,AT414,AT418,AT422)*100</f>
        <v>50100</v>
      </c>
      <c r="AU436" s="34"/>
      <c r="AV436" s="9"/>
      <c r="AW436" s="5">
        <f>AT436/AX436</f>
        <v>8350</v>
      </c>
      <c r="AX436" s="25">
        <f>SUM(AX374,AX378,AX382,AX386,AX390,AX394,AX397,AX402,AX406,AX410,AX414,AX418,AX422)</f>
        <v>6</v>
      </c>
      <c r="AY436" s="9"/>
      <c r="AZ436" s="112" t="str">
        <f t="shared" ref="AZ436:BA436" si="502">AZ374</f>
        <v>クーリッシュイヤホン</v>
      </c>
      <c r="BA436" s="40">
        <f t="shared" si="502"/>
        <v>1100</v>
      </c>
      <c r="BB436" s="25">
        <f>SUM(BB374,BB378,BB382,BB386,BB390,BB394,BB397,BB402,BB406,BB410,BB414,BB418,BB422)</f>
        <v>5122</v>
      </c>
      <c r="BC436" s="24">
        <f>BB436/AT436</f>
        <v>0.10223552894211577</v>
      </c>
      <c r="BD436" s="11"/>
    </row>
    <row r="437" spans="1:56" x14ac:dyDescent="0.2">
      <c r="A437" s="142" t="s">
        <v>31</v>
      </c>
      <c r="B437" s="142"/>
      <c r="C437" s="142"/>
      <c r="D437" s="25">
        <f>SUM(D375,D379,D383,D387,D391,D395,D399,D403,D407,D411,D415,D419,D423)*100</f>
        <v>131800</v>
      </c>
      <c r="E437" s="34"/>
      <c r="F437" s="9"/>
      <c r="G437" s="5">
        <f>D437/H437</f>
        <v>5069.2307692307695</v>
      </c>
      <c r="H437" s="25">
        <f>SUM(H375,H379,H383,H388,H391,H395,H399,H403,H407,H411,H415,H419,H423)</f>
        <v>26</v>
      </c>
      <c r="I437" s="9"/>
      <c r="J437" s="112" t="str">
        <f t="shared" ref="J437:K437" si="503">J375</f>
        <v>サンリオファン</v>
      </c>
      <c r="K437" s="40">
        <f t="shared" si="503"/>
        <v>1100</v>
      </c>
      <c r="L437" s="25">
        <f>SUM(L375,L379,L383,L388,L391,L395,L399,L403,L407,L411,L415,L419,L423)</f>
        <v>14096</v>
      </c>
      <c r="M437" s="24">
        <f>L437/D437</f>
        <v>0.10694992412746586</v>
      </c>
      <c r="N437" s="11"/>
      <c r="O437" s="1"/>
      <c r="P437" s="142" t="s">
        <v>31</v>
      </c>
      <c r="Q437" s="142"/>
      <c r="R437" s="25">
        <f>SUM(R375,R379,R383,R387,R391,R395,R399,R403,R407,R411,R415,R419,R423)*100</f>
        <v>105000</v>
      </c>
      <c r="S437" s="34"/>
      <c r="T437" s="9"/>
      <c r="U437" s="5">
        <f>R437/V437</f>
        <v>2234.0425531914893</v>
      </c>
      <c r="V437" s="25">
        <f>SUM(V375,V379,V383,V388,V391,V395,V399,V403,V407,V411,V415,V419,V423)</f>
        <v>47</v>
      </c>
      <c r="W437" s="9"/>
      <c r="X437" s="112" t="str">
        <f t="shared" ref="X437:Y437" si="504">X375</f>
        <v>AIラバー</v>
      </c>
      <c r="Y437" s="40">
        <f t="shared" si="504"/>
        <v>198</v>
      </c>
      <c r="Z437" s="25">
        <f>SUM(Z375,Z379,Z383,Z388,Z391,Z395,Z399,Z403,Z407,Z411,Z415,Z419,Z423)</f>
        <v>9218</v>
      </c>
      <c r="AA437" s="24">
        <f>Z437/R437</f>
        <v>8.7790476190476197E-2</v>
      </c>
      <c r="AB437" s="11"/>
      <c r="AD437" s="142" t="s">
        <v>31</v>
      </c>
      <c r="AE437" s="142"/>
      <c r="AF437" s="25">
        <f>SUM(AF375,AF379,AF383,AF387,AF391,AF395,AF399,AF403,AF407,AF411,AF415,AF419,AF423)*100</f>
        <v>27100</v>
      </c>
      <c r="AG437" s="34"/>
      <c r="AH437" s="9"/>
      <c r="AI437" s="5">
        <f>AF437/AJ437</f>
        <v>27100</v>
      </c>
      <c r="AJ437" s="25">
        <f>SUM(AJ375,AJ379,AJ383,AJ388,AJ391,AJ395,AJ399,AJ403,AJ407,AJ411,AJ415,AJ419,AJ423)</f>
        <v>1</v>
      </c>
      <c r="AK437" s="9"/>
      <c r="AL437" s="112" t="str">
        <f t="shared" ref="AL437:AM437" si="505">AL375</f>
        <v>サンリオギャルキーケース</v>
      </c>
      <c r="AM437" s="40">
        <f t="shared" si="505"/>
        <v>700</v>
      </c>
      <c r="AN437" s="25">
        <f>SUM(AN375,AN379,AN383,AN388,AN391,AN395,AN399,AN403,AN407,AN411,AN415,AN419,AN423)</f>
        <v>700</v>
      </c>
      <c r="AO437" s="24">
        <f>AN437/AF437</f>
        <v>2.5830258302583026E-2</v>
      </c>
      <c r="AP437" s="11"/>
      <c r="AR437" s="142" t="s">
        <v>31</v>
      </c>
      <c r="AS437" s="142"/>
      <c r="AT437" s="25">
        <f>SUM(AT375,AT379,AT383,AT387,AT391,AT395,AT399,AT403,AT407,AT411,AT415,AT419,AT423)*100</f>
        <v>36100</v>
      </c>
      <c r="AU437" s="34"/>
      <c r="AV437" s="9"/>
      <c r="AW437" s="5">
        <f>AT437/AX437</f>
        <v>6016.666666666667</v>
      </c>
      <c r="AX437" s="25">
        <f>SUM(AX375,AX379,AX383,AX388,AX391,AX395,AX399,AX403,AX407,AX411,AX415,AX419,AX423)</f>
        <v>6</v>
      </c>
      <c r="AY437" s="9"/>
      <c r="AZ437" s="112" t="str">
        <f t="shared" ref="AZ437:BA437" si="506">AZ375</f>
        <v>モンチッチマスコット</v>
      </c>
      <c r="BA437" s="40">
        <f t="shared" si="506"/>
        <v>528</v>
      </c>
      <c r="BB437" s="25">
        <f>SUM(BB375,BB379,BB383,BB388,BB391,BB395,BB399,BB403,BB407,BB411,BB415,BB419,BB423)</f>
        <v>3756</v>
      </c>
      <c r="BC437" s="24">
        <f>BB437/AT437</f>
        <v>0.10404432132963989</v>
      </c>
      <c r="BD437" s="11"/>
    </row>
    <row r="438" spans="1:56" x14ac:dyDescent="0.2">
      <c r="A438" s="142" t="s">
        <v>31</v>
      </c>
      <c r="B438" s="142"/>
      <c r="C438" s="142"/>
      <c r="D438" s="25">
        <f>SUM(D376,D380,D384,D388,D392,D396,D400,D404,D408,D412,D416,D420,D424)*100</f>
        <v>37000</v>
      </c>
      <c r="E438" s="34"/>
      <c r="F438" s="9"/>
      <c r="G438" s="5">
        <f>D438/H438</f>
        <v>4625</v>
      </c>
      <c r="H438" s="25">
        <f>SUM(H376,H380,H384,H387,H392,H396,H400,H404,H408,H412,H416,H420,H424)</f>
        <v>8</v>
      </c>
      <c r="I438" s="9"/>
      <c r="J438" s="112" t="str">
        <f t="shared" ref="J438:K438" si="507">J376</f>
        <v>サンリオヘアパッチンピン</v>
      </c>
      <c r="K438" s="40">
        <f t="shared" si="507"/>
        <v>660</v>
      </c>
      <c r="L438" s="25">
        <f>SUM(L376,L380,L384,L387,L392,L396,L400,L404,L408,L412,L416,L420,L424)</f>
        <v>6208</v>
      </c>
      <c r="M438" s="24">
        <f>L438/D438</f>
        <v>0.16778378378378378</v>
      </c>
      <c r="N438" s="11"/>
      <c r="O438" s="1"/>
      <c r="P438" s="142" t="s">
        <v>31</v>
      </c>
      <c r="Q438" s="142"/>
      <c r="R438" s="25">
        <f>SUM(R376,R380,R384,R388,R392,R396,R400,R404,R408,R412,R416,R420,R424)*100</f>
        <v>88500</v>
      </c>
      <c r="S438" s="34"/>
      <c r="T438" s="9"/>
      <c r="U438" s="5">
        <f>R438/V438</f>
        <v>4916.666666666667</v>
      </c>
      <c r="V438" s="25">
        <f>SUM(V376,V380,V384,V387,V392,V396,V400,V404,V408,V412,V416,V420,V424)</f>
        <v>18</v>
      </c>
      <c r="W438" s="9"/>
      <c r="X438" s="112" t="str">
        <f t="shared" ref="X438:Y438" si="508">X376</f>
        <v>AIマスコット</v>
      </c>
      <c r="Y438" s="40">
        <f t="shared" si="508"/>
        <v>286</v>
      </c>
      <c r="Z438" s="25">
        <f>SUM(Z376,Z380,Z384,Z387,Z392,Z396,Z400,Z404,Z408,Z412,Z416,Z420,Z424)</f>
        <v>4532</v>
      </c>
      <c r="AA438" s="24">
        <f>Z438/R438</f>
        <v>5.1209039548022597E-2</v>
      </c>
      <c r="AB438" s="11"/>
      <c r="AD438" s="142" t="s">
        <v>31</v>
      </c>
      <c r="AE438" s="142"/>
      <c r="AF438" s="25">
        <f>SUM(AF376,AF380,AF384,AF388,AF392,AF396,AF400,AF404,AF408,AF412,AF416,AF420,AF424)*100</f>
        <v>50800</v>
      </c>
      <c r="AG438" s="34"/>
      <c r="AH438" s="9"/>
      <c r="AI438" s="5">
        <f>AF438/AJ438</f>
        <v>2988.2352941176468</v>
      </c>
      <c r="AJ438" s="25">
        <f>SUM(AJ376,AJ380,AJ384,AJ387,AJ392,AJ396,AJ400,AJ404,AJ408,AJ412,AJ416,AJ420,AJ424)</f>
        <v>17</v>
      </c>
      <c r="AK438" s="9"/>
      <c r="AL438" s="112" t="str">
        <f t="shared" ref="AL438:AM438" si="509">AL376</f>
        <v>ピクミンマスコット</v>
      </c>
      <c r="AM438" s="40">
        <f t="shared" si="509"/>
        <v>748</v>
      </c>
      <c r="AN438" s="25">
        <f>SUM(AN376,AN380,AN384,AN387,AN392,AN396,AN400,AN404,AN408,AN412,AN416,AN420,AN424)</f>
        <v>8200</v>
      </c>
      <c r="AO438" s="24">
        <f>AN438/AF438</f>
        <v>0.16141732283464566</v>
      </c>
      <c r="AP438" s="11"/>
      <c r="AR438" s="142" t="s">
        <v>31</v>
      </c>
      <c r="AS438" s="142"/>
      <c r="AT438" s="25">
        <f>SUM(AT376,AT380,AT384,AT388,AT392,AT396,AT400,AT404,AT408,AT412,AT416,AT420,AT424)*100</f>
        <v>22400</v>
      </c>
      <c r="AU438" s="34"/>
      <c r="AV438" s="9"/>
      <c r="AW438" s="5">
        <f>AT438/AX438</f>
        <v>3200</v>
      </c>
      <c r="AX438" s="25">
        <f>SUM(AX376,AX380,AX384,AX387,AX392,AX396,AX400,AX404,AX408,AX412,AX416,AX420,AX424)</f>
        <v>7</v>
      </c>
      <c r="AY438" s="9"/>
      <c r="AZ438" s="112" t="str">
        <f t="shared" ref="AZ438:BA438" si="510">AZ376</f>
        <v>ジョージファン</v>
      </c>
      <c r="BA438" s="40">
        <f t="shared" si="510"/>
        <v>900</v>
      </c>
      <c r="BB438" s="25">
        <f>SUM(BB376,BB380,BB384,BB387,BB392,BB396,BB400,BB404,BB408,BB412,BB416,BB420,BB424)</f>
        <v>4488</v>
      </c>
      <c r="BC438" s="24">
        <f>BB438/AT438</f>
        <v>0.20035714285714284</v>
      </c>
      <c r="BD438" s="11"/>
    </row>
    <row r="439" spans="1:56" x14ac:dyDescent="0.2">
      <c r="A439" s="12"/>
      <c r="B439" s="8"/>
      <c r="C439" s="5" t="s">
        <v>22</v>
      </c>
      <c r="D439" s="9">
        <f>SUM(D435:D438)</f>
        <v>267300</v>
      </c>
      <c r="E439" s="34"/>
      <c r="F439" s="9"/>
      <c r="G439" s="9"/>
      <c r="H439" s="9">
        <f>SUM(H435:H438)</f>
        <v>96</v>
      </c>
      <c r="I439" s="9"/>
      <c r="J439" s="143" t="s">
        <v>32</v>
      </c>
      <c r="K439" s="143"/>
      <c r="L439" s="33">
        <f>SUM(L435:L438)</f>
        <v>48194</v>
      </c>
      <c r="M439" s="44">
        <f>L439/D439</f>
        <v>0.18029928918817809</v>
      </c>
      <c r="N439" s="45"/>
      <c r="O439" s="1"/>
      <c r="P439" s="12"/>
      <c r="Q439" s="5" t="s">
        <v>22</v>
      </c>
      <c r="R439" s="9">
        <f>SUM(R435:R438)</f>
        <v>288400</v>
      </c>
      <c r="S439" s="34"/>
      <c r="T439" s="9"/>
      <c r="U439" s="9"/>
      <c r="V439" s="9">
        <f>SUM(V435:V438)</f>
        <v>87</v>
      </c>
      <c r="W439" s="9"/>
      <c r="X439" s="143" t="s">
        <v>32</v>
      </c>
      <c r="Y439" s="143"/>
      <c r="Z439" s="33">
        <f>SUM(Z435:Z438)</f>
        <v>25950</v>
      </c>
      <c r="AA439" s="44">
        <f>Z439/R439</f>
        <v>8.9979195561719835E-2</v>
      </c>
      <c r="AB439" s="11"/>
      <c r="AD439" s="12"/>
      <c r="AE439" s="5" t="s">
        <v>22</v>
      </c>
      <c r="AF439" s="9">
        <f>SUM(AF435:AF438)</f>
        <v>168100</v>
      </c>
      <c r="AG439" s="34"/>
      <c r="AH439" s="9"/>
      <c r="AI439" s="9"/>
      <c r="AJ439" s="9">
        <f>SUM(AJ435:AJ438)</f>
        <v>33</v>
      </c>
      <c r="AK439" s="9"/>
      <c r="AL439" s="143" t="s">
        <v>32</v>
      </c>
      <c r="AM439" s="143"/>
      <c r="AN439" s="33">
        <f>SUM(AN435:AN438)</f>
        <v>15384</v>
      </c>
      <c r="AO439" s="44">
        <f>AN439/AF439</f>
        <v>9.1516954193932187E-2</v>
      </c>
      <c r="AP439" s="11"/>
      <c r="AR439" s="12"/>
      <c r="AS439" s="5" t="s">
        <v>22</v>
      </c>
      <c r="AT439" s="9">
        <f>SUM(AT435:AT438)</f>
        <v>172500</v>
      </c>
      <c r="AU439" s="34"/>
      <c r="AV439" s="9"/>
      <c r="AW439" s="9"/>
      <c r="AX439" s="9">
        <f>SUM(AX435:AX438)</f>
        <v>32</v>
      </c>
      <c r="AY439" s="9"/>
      <c r="AZ439" s="143" t="s">
        <v>32</v>
      </c>
      <c r="BA439" s="143"/>
      <c r="BB439" s="33">
        <f>SUM(BB435:BB438)</f>
        <v>20586</v>
      </c>
      <c r="BC439" s="44">
        <f>BB439/AT439</f>
        <v>0.11933913043478261</v>
      </c>
      <c r="BD439" s="11"/>
    </row>
    <row r="440" spans="1:56" x14ac:dyDescent="0.2">
      <c r="A440" s="28"/>
      <c r="B440" s="27"/>
      <c r="C440" s="2"/>
      <c r="D440" s="2"/>
      <c r="E440" s="2"/>
      <c r="F440" s="2"/>
      <c r="G440" s="2"/>
      <c r="H440" s="2"/>
      <c r="I440" s="2"/>
      <c r="J440" s="119"/>
      <c r="K440" s="2"/>
      <c r="L440" s="2"/>
      <c r="M440" s="2"/>
      <c r="N440" s="32"/>
      <c r="O440" s="1"/>
      <c r="P440" s="28"/>
      <c r="Q440" s="2"/>
      <c r="R440" s="2"/>
      <c r="S440" s="2"/>
      <c r="T440" s="2"/>
      <c r="U440" s="2"/>
      <c r="V440" s="2"/>
      <c r="W440" s="2"/>
      <c r="X440" s="119"/>
      <c r="Y440" s="2"/>
      <c r="Z440" s="2"/>
      <c r="AA440" s="2"/>
      <c r="AB440" s="32"/>
      <c r="AD440" s="28"/>
      <c r="AE440" s="2"/>
      <c r="AF440" s="2"/>
      <c r="AG440" s="2"/>
      <c r="AH440" s="2"/>
      <c r="AI440" s="2"/>
      <c r="AJ440" s="2"/>
      <c r="AK440" s="2"/>
      <c r="AL440" s="119"/>
      <c r="AM440" s="2"/>
      <c r="AN440" s="2"/>
      <c r="AO440" s="2"/>
      <c r="AP440" s="32"/>
      <c r="AR440" s="28"/>
      <c r="AS440" s="2"/>
      <c r="AT440" s="2"/>
      <c r="AU440" s="2"/>
      <c r="AV440" s="2"/>
      <c r="AW440" s="2"/>
      <c r="AX440" s="2"/>
      <c r="AY440" s="2"/>
      <c r="AZ440" s="119"/>
      <c r="BA440" s="2"/>
      <c r="BB440" s="2"/>
      <c r="BC440" s="2"/>
      <c r="BD440" s="32"/>
    </row>
    <row r="441" spans="1:56" ht="15" customHeight="1" x14ac:dyDescent="0.2">
      <c r="C441" s="152" t="s">
        <v>33</v>
      </c>
      <c r="D441" s="152"/>
      <c r="E441" s="153" t="s">
        <v>34</v>
      </c>
      <c r="F441" s="153"/>
      <c r="G441" s="153" t="s">
        <v>35</v>
      </c>
      <c r="H441" s="153"/>
      <c r="K441"/>
    </row>
    <row r="442" spans="1:56" x14ac:dyDescent="0.2">
      <c r="C442" s="154">
        <f>E430+S430+AG430+AU430</f>
        <v>896300</v>
      </c>
      <c r="D442" s="154"/>
      <c r="E442" s="155">
        <f>L429+Z429</f>
        <v>74144</v>
      </c>
      <c r="F442" s="155"/>
      <c r="G442" s="155">
        <f>L432+Z432</f>
        <v>81262</v>
      </c>
      <c r="H442" s="155"/>
      <c r="K442"/>
    </row>
    <row r="443" spans="1:56" x14ac:dyDescent="0.2">
      <c r="C443" s="54"/>
      <c r="D443" s="54"/>
      <c r="E443" s="69" t="s">
        <v>36</v>
      </c>
      <c r="F443" s="57">
        <f>E442/B433</f>
        <v>8.2722302800401645E-2</v>
      </c>
      <c r="G443" s="9"/>
      <c r="H443" s="9"/>
      <c r="K443"/>
    </row>
    <row r="444" spans="1:56" x14ac:dyDescent="0.2">
      <c r="E444" s="81"/>
      <c r="F444" s="82"/>
      <c r="G444" s="1"/>
      <c r="H444" s="1"/>
      <c r="K444"/>
    </row>
    <row r="445" spans="1:56" ht="18.75" x14ac:dyDescent="0.2">
      <c r="A445" s="150" t="s">
        <v>53</v>
      </c>
      <c r="B445" s="150"/>
      <c r="C445" s="150"/>
      <c r="D445" s="150"/>
      <c r="E445" s="151" t="s">
        <v>0</v>
      </c>
      <c r="F445" s="151"/>
      <c r="G445" s="86"/>
      <c r="H445" s="86"/>
      <c r="I445" s="86"/>
      <c r="J445" s="108"/>
      <c r="K445" s="86"/>
      <c r="L445" s="86"/>
      <c r="M445" s="86"/>
      <c r="N445" s="87"/>
      <c r="O445" s="88"/>
      <c r="P445" s="150" t="s">
        <v>53</v>
      </c>
      <c r="Q445" s="150"/>
      <c r="R445" s="150"/>
      <c r="S445" s="151" t="s">
        <v>1</v>
      </c>
      <c r="T445" s="151"/>
      <c r="U445" s="86"/>
      <c r="V445" s="86"/>
      <c r="W445" s="86"/>
      <c r="X445" s="108"/>
      <c r="Y445" s="86"/>
      <c r="Z445" s="86"/>
      <c r="AA445" s="86"/>
      <c r="AB445" s="87"/>
      <c r="AD445" s="150" t="s">
        <v>53</v>
      </c>
      <c r="AE445" s="150"/>
      <c r="AF445" s="150"/>
      <c r="AG445" s="151" t="s">
        <v>54</v>
      </c>
      <c r="AH445" s="151"/>
      <c r="AI445" s="86"/>
      <c r="AJ445" s="86"/>
      <c r="AK445" s="86"/>
      <c r="AL445" s="108"/>
      <c r="AM445" s="86"/>
      <c r="AN445" s="86"/>
      <c r="AO445" s="86"/>
      <c r="AP445" s="87"/>
      <c r="AR445" s="150" t="s">
        <v>53</v>
      </c>
      <c r="AS445" s="150"/>
      <c r="AT445" s="150"/>
      <c r="AU445" s="151" t="s">
        <v>55</v>
      </c>
      <c r="AV445" s="151"/>
      <c r="AW445" s="86"/>
      <c r="AX445" s="86"/>
      <c r="AY445" s="86"/>
      <c r="AZ445" s="108"/>
      <c r="BA445" s="86"/>
      <c r="BB445" s="86"/>
      <c r="BC445" s="86"/>
      <c r="BD445" s="87"/>
    </row>
    <row r="446" spans="1:56" x14ac:dyDescent="0.2">
      <c r="A446" s="7" t="s">
        <v>2</v>
      </c>
      <c r="B446" s="60" t="s">
        <v>3</v>
      </c>
      <c r="C446" s="5" t="s">
        <v>4</v>
      </c>
      <c r="D446" s="5" t="s">
        <v>5</v>
      </c>
      <c r="E446" s="6" t="s">
        <v>6</v>
      </c>
      <c r="F446" s="5" t="s">
        <v>5</v>
      </c>
      <c r="G446" s="5" t="s">
        <v>7</v>
      </c>
      <c r="H446" s="5" t="s">
        <v>8</v>
      </c>
      <c r="I446" s="5" t="s">
        <v>9</v>
      </c>
      <c r="J446" s="92" t="s">
        <v>10</v>
      </c>
      <c r="K446" s="5" t="s">
        <v>11</v>
      </c>
      <c r="L446" s="5" t="s">
        <v>8</v>
      </c>
      <c r="M446" s="5" t="s">
        <v>12</v>
      </c>
      <c r="N446" s="5" t="s">
        <v>13</v>
      </c>
      <c r="O446" s="3"/>
      <c r="P446" s="7" t="s">
        <v>2</v>
      </c>
      <c r="Q446" s="5" t="s">
        <v>4</v>
      </c>
      <c r="R446" s="5" t="s">
        <v>5</v>
      </c>
      <c r="S446" s="6" t="s">
        <v>6</v>
      </c>
      <c r="T446" s="5" t="s">
        <v>5</v>
      </c>
      <c r="U446" s="5" t="s">
        <v>7</v>
      </c>
      <c r="V446" s="5" t="s">
        <v>8</v>
      </c>
      <c r="W446" s="5" t="s">
        <v>9</v>
      </c>
      <c r="X446" s="92" t="s">
        <v>10</v>
      </c>
      <c r="Y446" s="5" t="s">
        <v>11</v>
      </c>
      <c r="Z446" s="5" t="s">
        <v>8</v>
      </c>
      <c r="AA446" s="5" t="s">
        <v>12</v>
      </c>
      <c r="AB446" s="5" t="s">
        <v>13</v>
      </c>
      <c r="AD446" s="7" t="s">
        <v>2</v>
      </c>
      <c r="AE446" s="5" t="s">
        <v>4</v>
      </c>
      <c r="AF446" s="5" t="s">
        <v>5</v>
      </c>
      <c r="AG446" s="6" t="s">
        <v>6</v>
      </c>
      <c r="AH446" s="5" t="s">
        <v>5</v>
      </c>
      <c r="AI446" s="5" t="s">
        <v>7</v>
      </c>
      <c r="AJ446" s="5" t="s">
        <v>8</v>
      </c>
      <c r="AK446" s="5" t="s">
        <v>9</v>
      </c>
      <c r="AL446" s="92" t="s">
        <v>10</v>
      </c>
      <c r="AM446" s="5" t="s">
        <v>11</v>
      </c>
      <c r="AN446" s="5" t="s">
        <v>8</v>
      </c>
      <c r="AO446" s="5" t="s">
        <v>12</v>
      </c>
      <c r="AP446" s="5" t="s">
        <v>13</v>
      </c>
      <c r="AR446" s="7" t="s">
        <v>2</v>
      </c>
      <c r="AS446" s="5" t="s">
        <v>4</v>
      </c>
      <c r="AT446" s="5" t="s">
        <v>5</v>
      </c>
      <c r="AU446" s="6" t="s">
        <v>6</v>
      </c>
      <c r="AV446" s="5" t="s">
        <v>5</v>
      </c>
      <c r="AW446" s="5" t="s">
        <v>7</v>
      </c>
      <c r="AX446" s="5" t="s">
        <v>8</v>
      </c>
      <c r="AY446" s="5" t="s">
        <v>9</v>
      </c>
      <c r="AZ446" s="92" t="s">
        <v>10</v>
      </c>
      <c r="BA446" s="5" t="s">
        <v>11</v>
      </c>
      <c r="BB446" s="5" t="s">
        <v>8</v>
      </c>
      <c r="BC446" s="5" t="s">
        <v>12</v>
      </c>
      <c r="BD446" s="5" t="s">
        <v>13</v>
      </c>
    </row>
    <row r="447" spans="1:56" x14ac:dyDescent="0.2">
      <c r="A447" s="12">
        <v>45901</v>
      </c>
      <c r="B447" s="61">
        <v>2461</v>
      </c>
      <c r="C447" s="33">
        <v>13739</v>
      </c>
      <c r="D447" s="33">
        <f>C447-C521</f>
        <v>0</v>
      </c>
      <c r="E447" s="33">
        <v>1015</v>
      </c>
      <c r="F447" s="33">
        <f>E447-E521</f>
        <v>6</v>
      </c>
      <c r="G447" s="33">
        <v>5</v>
      </c>
      <c r="H447" s="33">
        <f>E447-E521</f>
        <v>6</v>
      </c>
      <c r="I447" s="33">
        <v>5</v>
      </c>
      <c r="J447" s="109" t="s">
        <v>65</v>
      </c>
      <c r="K447" s="40">
        <v>1015</v>
      </c>
      <c r="L447" s="33">
        <v>1496</v>
      </c>
      <c r="M447" s="41">
        <v>0.14666666666666667</v>
      </c>
      <c r="N447" s="11"/>
      <c r="O447" s="1"/>
      <c r="P447" s="12">
        <v>45901</v>
      </c>
      <c r="Q447" s="33">
        <v>12860</v>
      </c>
      <c r="R447" s="33">
        <f>Q447-Q521</f>
        <v>0</v>
      </c>
      <c r="S447" s="33">
        <v>1365</v>
      </c>
      <c r="T447" s="33">
        <f>S447-S521</f>
        <v>5</v>
      </c>
      <c r="U447" s="33">
        <v>15</v>
      </c>
      <c r="V447" s="33">
        <f>S447-S521</f>
        <v>5</v>
      </c>
      <c r="W447" s="33">
        <v>0</v>
      </c>
      <c r="X447" s="109" t="s">
        <v>66</v>
      </c>
      <c r="Y447" s="40">
        <v>1100</v>
      </c>
      <c r="Z447" s="33">
        <v>825</v>
      </c>
      <c r="AA447" s="41">
        <v>9.7058823529411767E-2</v>
      </c>
      <c r="AB447" s="11"/>
      <c r="AD447" s="12">
        <v>45901</v>
      </c>
      <c r="AE447" s="33">
        <v>11481</v>
      </c>
      <c r="AF447" s="33">
        <v>0</v>
      </c>
      <c r="AG447" s="33">
        <v>883</v>
      </c>
      <c r="AH447" s="33">
        <v>0</v>
      </c>
      <c r="AI447" s="33">
        <v>10</v>
      </c>
      <c r="AJ447" s="33">
        <v>0</v>
      </c>
      <c r="AK447" s="33">
        <v>0</v>
      </c>
      <c r="AL447" s="109" t="s">
        <v>57</v>
      </c>
      <c r="AM447" s="40">
        <v>490</v>
      </c>
      <c r="AN447" s="33"/>
      <c r="AO447" s="41"/>
      <c r="AP447" s="11" t="s">
        <v>67</v>
      </c>
      <c r="AR447" s="12">
        <v>45901</v>
      </c>
      <c r="AS447" s="33">
        <v>7598</v>
      </c>
      <c r="AT447" s="33">
        <v>0</v>
      </c>
      <c r="AU447" s="33">
        <v>453</v>
      </c>
      <c r="AV447" s="33">
        <v>0</v>
      </c>
      <c r="AW447" s="33">
        <v>9</v>
      </c>
      <c r="AX447" s="33">
        <v>0</v>
      </c>
      <c r="AY447" s="33">
        <v>0</v>
      </c>
      <c r="AZ447" s="109" t="s">
        <v>40</v>
      </c>
      <c r="BA447" s="40">
        <v>729</v>
      </c>
      <c r="BB447" s="33"/>
      <c r="BC447" s="41"/>
      <c r="BD447" s="11" t="s">
        <v>68</v>
      </c>
    </row>
    <row r="448" spans="1:56" x14ac:dyDescent="0.2">
      <c r="A448" s="59"/>
      <c r="B448" s="8"/>
      <c r="C448" s="33">
        <v>15415</v>
      </c>
      <c r="D448" s="9">
        <f>C448-C522</f>
        <v>0</v>
      </c>
      <c r="E448" s="33">
        <v>492</v>
      </c>
      <c r="F448" s="9">
        <f>E448-E522</f>
        <v>11</v>
      </c>
      <c r="G448" s="9">
        <v>21</v>
      </c>
      <c r="H448" s="9">
        <f>E448-E522</f>
        <v>11</v>
      </c>
      <c r="I448" s="9">
        <v>0</v>
      </c>
      <c r="J448" s="109" t="s">
        <v>69</v>
      </c>
      <c r="K448" s="33">
        <v>275</v>
      </c>
      <c r="L448" s="9">
        <f>IF(G448="","",H448*K448)</f>
        <v>3025</v>
      </c>
      <c r="M448" s="10" t="e">
        <f>IF(H448="","",L448/(D448*100))</f>
        <v>#DIV/0!</v>
      </c>
      <c r="N448" s="11"/>
      <c r="O448" s="1"/>
      <c r="P448" s="12"/>
      <c r="Q448" s="33">
        <v>12512</v>
      </c>
      <c r="R448" s="9">
        <f>Q448-Q522</f>
        <v>0</v>
      </c>
      <c r="S448" s="33">
        <v>471</v>
      </c>
      <c r="T448" s="9">
        <f>S448-S522</f>
        <v>6</v>
      </c>
      <c r="U448" s="9">
        <v>5</v>
      </c>
      <c r="V448" s="9">
        <f>S448-S522</f>
        <v>6</v>
      </c>
      <c r="W448" s="9">
        <v>1</v>
      </c>
      <c r="X448" s="121" t="s">
        <v>70</v>
      </c>
      <c r="Y448" s="34">
        <v>660</v>
      </c>
      <c r="Z448" s="9">
        <v>3300</v>
      </c>
      <c r="AA448" s="10">
        <v>0.29729729729729731</v>
      </c>
      <c r="AB448" s="11"/>
      <c r="AD448" s="12"/>
      <c r="AE448" s="33">
        <v>10516</v>
      </c>
      <c r="AF448" s="9">
        <v>0</v>
      </c>
      <c r="AG448" s="33">
        <v>755</v>
      </c>
      <c r="AH448" s="9">
        <v>0</v>
      </c>
      <c r="AI448" s="9">
        <v>14</v>
      </c>
      <c r="AJ448" s="9">
        <v>0</v>
      </c>
      <c r="AK448" s="9">
        <v>0</v>
      </c>
      <c r="AL448" s="121" t="s">
        <v>59</v>
      </c>
      <c r="AM448" s="34">
        <v>748</v>
      </c>
      <c r="AN448" s="9"/>
      <c r="AO448" s="10"/>
      <c r="AP448" s="11" t="s">
        <v>71</v>
      </c>
      <c r="AR448" s="12"/>
      <c r="AS448" s="33">
        <v>9395</v>
      </c>
      <c r="AT448" s="9">
        <v>0</v>
      </c>
      <c r="AU448" s="33">
        <v>500</v>
      </c>
      <c r="AV448" s="9">
        <v>0</v>
      </c>
      <c r="AW448" s="9">
        <v>13</v>
      </c>
      <c r="AX448" s="9">
        <v>0</v>
      </c>
      <c r="AY448" s="9">
        <v>0</v>
      </c>
      <c r="AZ448" s="121" t="s">
        <v>60</v>
      </c>
      <c r="BA448" s="34">
        <v>1100</v>
      </c>
      <c r="BB448" s="9"/>
      <c r="BC448" s="10"/>
      <c r="BD448" s="11" t="s">
        <v>72</v>
      </c>
    </row>
    <row r="449" spans="1:56" x14ac:dyDescent="0.2">
      <c r="A449" s="12"/>
      <c r="B449" s="8"/>
      <c r="C449" s="33">
        <v>13337</v>
      </c>
      <c r="D449" s="9">
        <f>C449-C523</f>
        <v>0</v>
      </c>
      <c r="E449" s="33">
        <v>560</v>
      </c>
      <c r="F449" s="9">
        <f>E449-E523</f>
        <v>4</v>
      </c>
      <c r="G449" s="9">
        <v>9</v>
      </c>
      <c r="H449" s="9">
        <f>E449-E523</f>
        <v>4</v>
      </c>
      <c r="I449" s="9">
        <v>0</v>
      </c>
      <c r="J449" s="110" t="s">
        <v>41</v>
      </c>
      <c r="K449" s="34">
        <v>1100</v>
      </c>
      <c r="L449" s="9">
        <f>IF(G449="","",H449*K449)</f>
        <v>4400</v>
      </c>
      <c r="M449" s="10" t="e">
        <f>IF(H449="","",L449/(D449*100))</f>
        <v>#DIV/0!</v>
      </c>
      <c r="N449" s="11"/>
      <c r="O449" s="1"/>
      <c r="P449" s="12"/>
      <c r="Q449" s="33">
        <v>11667</v>
      </c>
      <c r="R449" s="9">
        <f>Q449-Q523</f>
        <v>0</v>
      </c>
      <c r="S449" s="33">
        <v>831</v>
      </c>
      <c r="T449" s="9">
        <f>S449-S523</f>
        <v>4</v>
      </c>
      <c r="U449" s="9">
        <v>47</v>
      </c>
      <c r="V449" s="9">
        <f>S449-S523</f>
        <v>4</v>
      </c>
      <c r="W449" s="9">
        <v>31</v>
      </c>
      <c r="X449" s="121" t="s">
        <v>51</v>
      </c>
      <c r="Y449" s="34">
        <v>198</v>
      </c>
      <c r="Z449" s="9">
        <v>1452</v>
      </c>
      <c r="AA449" s="10">
        <v>0.25928571428571429</v>
      </c>
      <c r="AB449" s="11"/>
      <c r="AD449" s="12"/>
      <c r="AE449" s="33">
        <v>13785</v>
      </c>
      <c r="AF449" s="9">
        <v>0</v>
      </c>
      <c r="AG449" s="33">
        <v>2381</v>
      </c>
      <c r="AH449" s="9">
        <v>0</v>
      </c>
      <c r="AI449" s="9">
        <v>10</v>
      </c>
      <c r="AJ449" s="9">
        <v>0</v>
      </c>
      <c r="AK449" s="9">
        <v>0</v>
      </c>
      <c r="AL449" s="121" t="s">
        <v>61</v>
      </c>
      <c r="AM449" s="34">
        <v>660</v>
      </c>
      <c r="AN449" s="9"/>
      <c r="AO449" s="10"/>
      <c r="AP449" s="11" t="s">
        <v>73</v>
      </c>
      <c r="AR449" s="12"/>
      <c r="AS449" s="33">
        <v>11963</v>
      </c>
      <c r="AT449" s="9">
        <v>0</v>
      </c>
      <c r="AU449" s="33">
        <v>726</v>
      </c>
      <c r="AV449" s="9">
        <v>0</v>
      </c>
      <c r="AW449" s="9">
        <v>10</v>
      </c>
      <c r="AX449" s="9">
        <v>0</v>
      </c>
      <c r="AY449" s="9">
        <v>0</v>
      </c>
      <c r="AZ449" s="121" t="s">
        <v>20</v>
      </c>
      <c r="BA449" s="34">
        <v>528</v>
      </c>
      <c r="BB449" s="9"/>
      <c r="BC449" s="10"/>
      <c r="BD449" s="11" t="s">
        <v>74</v>
      </c>
    </row>
    <row r="450" spans="1:56" ht="15" customHeight="1" thickBot="1" x14ac:dyDescent="0.25">
      <c r="A450" s="16"/>
      <c r="B450" s="62"/>
      <c r="C450" s="36">
        <v>10481</v>
      </c>
      <c r="D450" s="36">
        <f>C450-C524</f>
        <v>0</v>
      </c>
      <c r="E450" s="36">
        <v>1137</v>
      </c>
      <c r="F450" s="17">
        <f>E450-E524</f>
        <v>11</v>
      </c>
      <c r="G450" s="17">
        <v>4</v>
      </c>
      <c r="H450" s="17">
        <f>E450-E524</f>
        <v>11</v>
      </c>
      <c r="I450" s="17">
        <v>8</v>
      </c>
      <c r="J450" s="111" t="s">
        <v>75</v>
      </c>
      <c r="K450" s="17">
        <v>770</v>
      </c>
      <c r="L450" s="17">
        <v>572</v>
      </c>
      <c r="M450" s="18">
        <v>7.6266666666666663E-2</v>
      </c>
      <c r="N450" s="11"/>
      <c r="O450" s="1"/>
      <c r="P450" s="16"/>
      <c r="Q450" s="36">
        <v>10171</v>
      </c>
      <c r="R450" s="36">
        <f>Q450-Q524</f>
        <v>0</v>
      </c>
      <c r="S450" s="36">
        <v>1019</v>
      </c>
      <c r="T450" s="17">
        <f>S450-S524</f>
        <v>20</v>
      </c>
      <c r="U450" s="17">
        <v>10</v>
      </c>
      <c r="V450" s="17">
        <f>S450-S524</f>
        <v>20</v>
      </c>
      <c r="W450" s="17">
        <v>0</v>
      </c>
      <c r="X450" s="122" t="s">
        <v>52</v>
      </c>
      <c r="Y450" s="17">
        <v>286</v>
      </c>
      <c r="Z450" s="17">
        <f t="shared" ref="Z450:Z481" si="511">IF(U450="","",V450*Y450)</f>
        <v>5720</v>
      </c>
      <c r="AA450" s="18" t="e">
        <f t="shared" ref="AA450:AA481" si="512">IF(V450="","",Z450/(R450*100))</f>
        <v>#DIV/0!</v>
      </c>
      <c r="AB450" s="11"/>
      <c r="AD450" s="16"/>
      <c r="AE450" s="36">
        <v>13049</v>
      </c>
      <c r="AF450" s="36">
        <v>0</v>
      </c>
      <c r="AG450" s="36">
        <v>1503</v>
      </c>
      <c r="AH450" s="17">
        <v>0</v>
      </c>
      <c r="AI450" s="17">
        <v>9</v>
      </c>
      <c r="AJ450" s="17">
        <v>0</v>
      </c>
      <c r="AK450" s="17">
        <v>0</v>
      </c>
      <c r="AL450" s="122" t="s">
        <v>64</v>
      </c>
      <c r="AM450" s="17">
        <v>748</v>
      </c>
      <c r="AN450" s="17"/>
      <c r="AO450" s="18"/>
      <c r="AP450" s="11" t="s">
        <v>76</v>
      </c>
      <c r="AR450" s="16"/>
      <c r="AS450" s="36">
        <v>10004</v>
      </c>
      <c r="AT450" s="36">
        <v>0</v>
      </c>
      <c r="AU450" s="36">
        <v>783</v>
      </c>
      <c r="AV450" s="17">
        <v>0</v>
      </c>
      <c r="AW450" s="17">
        <v>7</v>
      </c>
      <c r="AX450" s="17">
        <v>0</v>
      </c>
      <c r="AY450" s="17">
        <v>0</v>
      </c>
      <c r="AZ450" s="122" t="s">
        <v>42</v>
      </c>
      <c r="BA450" s="17">
        <v>1100</v>
      </c>
      <c r="BB450" s="17"/>
      <c r="BC450" s="18"/>
      <c r="BD450" s="11" t="s">
        <v>77</v>
      </c>
    </row>
    <row r="451" spans="1:56" ht="15" customHeight="1" thickTop="1" x14ac:dyDescent="0.2">
      <c r="A451" s="47">
        <v>45905</v>
      </c>
      <c r="B451" s="61">
        <f>SUM(D451:D454)+SUM(R451:R454)+SUM(AF451:AF454)+SUM(AT451:AT454)</f>
        <v>2893</v>
      </c>
      <c r="C451" s="33">
        <v>14036</v>
      </c>
      <c r="D451" s="33">
        <f t="shared" ref="D451:D482" si="513">IF(C451="","",C451-C447)</f>
        <v>297</v>
      </c>
      <c r="E451" s="33">
        <v>1018</v>
      </c>
      <c r="F451" s="20">
        <f t="shared" ref="F451:F462" si="514">IF(E451="","",E451-E447)</f>
        <v>3</v>
      </c>
      <c r="G451" s="33">
        <v>7</v>
      </c>
      <c r="H451" s="33">
        <f t="shared" ref="H451:H497" si="515">IF(G451="","",G447+I447-G451)</f>
        <v>3</v>
      </c>
      <c r="I451" s="43">
        <v>1</v>
      </c>
      <c r="J451" s="113" t="s">
        <v>49</v>
      </c>
      <c r="K451" s="34">
        <f>IF(D451="","",K447)</f>
        <v>1015</v>
      </c>
      <c r="L451" s="20">
        <f t="shared" ref="L451:L482" si="516">IF(G451="","",H451*K451)</f>
        <v>3045</v>
      </c>
      <c r="M451" s="21">
        <f t="shared" ref="M451:M482" si="517">IF(H451="","",L451/(D451*100))</f>
        <v>0.10252525252525252</v>
      </c>
      <c r="N451" s="11"/>
      <c r="O451" s="1"/>
      <c r="P451" s="47">
        <f>IF($A$451="","",$A$451)</f>
        <v>45905</v>
      </c>
      <c r="Q451" s="33">
        <v>13130</v>
      </c>
      <c r="R451" s="33">
        <f t="shared" ref="R451:R482" si="518">IF(Q451="","",Q451-Q447)</f>
        <v>270</v>
      </c>
      <c r="S451" s="33">
        <v>1365</v>
      </c>
      <c r="T451" s="20">
        <f t="shared" ref="T451:T482" si="519">IF(S451="","",S451-S447)</f>
        <v>0</v>
      </c>
      <c r="U451" s="33">
        <v>15</v>
      </c>
      <c r="V451" s="33">
        <f t="shared" ref="V451:V482" si="520">IF(U451="","",U447+W447-U451)</f>
        <v>0</v>
      </c>
      <c r="W451" s="43">
        <v>-3</v>
      </c>
      <c r="X451" s="113" t="str">
        <f>IF(Q451="","",X447)</f>
        <v>香水coach</v>
      </c>
      <c r="Y451" s="34">
        <f>IF(R451="","",Y447)</f>
        <v>1100</v>
      </c>
      <c r="Z451" s="20">
        <f t="shared" si="511"/>
        <v>0</v>
      </c>
      <c r="AA451" s="21">
        <f t="shared" si="512"/>
        <v>0</v>
      </c>
      <c r="AB451" s="11"/>
      <c r="AD451" s="47">
        <f>IF($A$451="","",$A$451)</f>
        <v>45905</v>
      </c>
      <c r="AE451" s="33">
        <v>11481</v>
      </c>
      <c r="AF451" s="33">
        <f>IF(AE451="","",AE451-AE447)</f>
        <v>0</v>
      </c>
      <c r="AG451" s="33">
        <v>883</v>
      </c>
      <c r="AH451" s="20">
        <f>IF(AG451="","",AG451-AG447)</f>
        <v>0</v>
      </c>
      <c r="AI451" s="33">
        <v>10</v>
      </c>
      <c r="AJ451" s="33">
        <f>IF(AI451="","",AI447+AK447-AI451)</f>
        <v>0</v>
      </c>
      <c r="AK451" s="43">
        <v>0</v>
      </c>
      <c r="AL451" s="112" t="str">
        <f t="shared" ref="AL451:AL482" si="521">IF(AE451="","",AL447)</f>
        <v>スティッチキーケース</v>
      </c>
      <c r="AM451" s="40">
        <f t="shared" ref="AM451:AM482" si="522">IF(AF451="","",AM447)</f>
        <v>490</v>
      </c>
      <c r="AN451" s="20">
        <f t="shared" ref="AN451:AN482" si="523">IF(AI451="","",AJ451*AM451)</f>
        <v>0</v>
      </c>
      <c r="AO451" s="21" t="e">
        <f t="shared" ref="AO451:AO482" si="524">IF(AJ451="","",AN451/(AF451*100))</f>
        <v>#DIV/0!</v>
      </c>
      <c r="AP451" s="11"/>
      <c r="AR451" s="47">
        <f>IF($A$451="","",$A$451)</f>
        <v>45905</v>
      </c>
      <c r="AS451" s="33">
        <v>7598</v>
      </c>
      <c r="AT451" s="33">
        <f>IF(AS451="","",AS451-AS447)</f>
        <v>0</v>
      </c>
      <c r="AU451" s="33">
        <v>453</v>
      </c>
      <c r="AV451" s="20">
        <f>IF(AU451="","",AU451-AU447)</f>
        <v>0</v>
      </c>
      <c r="AW451" s="33">
        <v>9</v>
      </c>
      <c r="AX451" s="33">
        <f>IF(AW451="","",AW447+AY447-AW451)</f>
        <v>0</v>
      </c>
      <c r="AY451" s="43">
        <v>0</v>
      </c>
      <c r="AZ451" s="112" t="str">
        <f t="shared" ref="AZ451:AZ482" si="525">IF(AS451="","",AZ447)</f>
        <v>デジタルミニカメラ</v>
      </c>
      <c r="BA451" s="40">
        <f t="shared" ref="BA451:BA482" si="526">IF(AT451="","",BA447)</f>
        <v>729</v>
      </c>
      <c r="BB451" s="20">
        <f t="shared" ref="BB451:BB482" si="527">IF(AW451="","",AX451*BA451)</f>
        <v>0</v>
      </c>
      <c r="BC451" s="21" t="e">
        <f t="shared" ref="BC451:BC482" si="528">IF(AX451="","",BB451/(AT451*100))</f>
        <v>#DIV/0!</v>
      </c>
      <c r="BD451" s="11"/>
    </row>
    <row r="452" spans="1:56" x14ac:dyDescent="0.2">
      <c r="A452" s="48"/>
      <c r="B452" s="63"/>
      <c r="C452" s="9">
        <v>15710</v>
      </c>
      <c r="D452" s="9">
        <f t="shared" si="513"/>
        <v>295</v>
      </c>
      <c r="E452" s="9">
        <v>493</v>
      </c>
      <c r="F452" s="9">
        <f t="shared" si="514"/>
        <v>1</v>
      </c>
      <c r="G452" s="9">
        <v>15</v>
      </c>
      <c r="H452" s="9">
        <f t="shared" si="515"/>
        <v>6</v>
      </c>
      <c r="I452" s="13">
        <v>16</v>
      </c>
      <c r="J452" s="113" t="str">
        <f>IF(C452="","",J448)</f>
        <v>電ブル</v>
      </c>
      <c r="K452" s="34">
        <f>IF(D452="","",K448)</f>
        <v>275</v>
      </c>
      <c r="L452" s="9">
        <f t="shared" si="516"/>
        <v>1650</v>
      </c>
      <c r="M452" s="10">
        <f t="shared" si="517"/>
        <v>5.5932203389830508E-2</v>
      </c>
      <c r="N452" s="11"/>
      <c r="O452" s="1"/>
      <c r="P452" s="48"/>
      <c r="Q452" s="9">
        <v>12826</v>
      </c>
      <c r="R452" s="9">
        <f t="shared" si="518"/>
        <v>314</v>
      </c>
      <c r="S452" s="9">
        <v>471</v>
      </c>
      <c r="T452" s="9">
        <f t="shared" si="519"/>
        <v>0</v>
      </c>
      <c r="U452" s="9">
        <v>6</v>
      </c>
      <c r="V452" s="9">
        <f t="shared" si="520"/>
        <v>0</v>
      </c>
      <c r="W452" s="13">
        <v>0</v>
      </c>
      <c r="X452" s="113" t="s">
        <v>58</v>
      </c>
      <c r="Y452" s="34">
        <v>600</v>
      </c>
      <c r="Z452" s="9">
        <f t="shared" si="511"/>
        <v>0</v>
      </c>
      <c r="AA452" s="10">
        <f t="shared" si="512"/>
        <v>0</v>
      </c>
      <c r="AB452" s="11"/>
      <c r="AD452" s="48"/>
      <c r="AE452" s="9">
        <v>10516</v>
      </c>
      <c r="AF452" s="9">
        <f>IF(AE452="","",AE452-AE448)</f>
        <v>0</v>
      </c>
      <c r="AG452" s="9">
        <v>755</v>
      </c>
      <c r="AH452" s="9">
        <f>IF(AG452="","",AG452-AG448)</f>
        <v>0</v>
      </c>
      <c r="AI452" s="9">
        <v>14</v>
      </c>
      <c r="AJ452" s="9">
        <f>IF(AI452="","",AI448+AK448-AI452)</f>
        <v>0</v>
      </c>
      <c r="AK452" s="13">
        <v>0</v>
      </c>
      <c r="AL452" s="113" t="str">
        <f t="shared" si="521"/>
        <v>ジャグラーサウンドフラッシュ</v>
      </c>
      <c r="AM452" s="34">
        <f t="shared" si="522"/>
        <v>748</v>
      </c>
      <c r="AN452" s="9">
        <f t="shared" si="523"/>
        <v>0</v>
      </c>
      <c r="AO452" s="10" t="e">
        <f t="shared" si="524"/>
        <v>#DIV/0!</v>
      </c>
      <c r="AP452" s="11"/>
      <c r="AR452" s="48"/>
      <c r="AS452" s="33">
        <v>9395</v>
      </c>
      <c r="AT452" s="9">
        <f>IF(AS452="","",AS452-AS448)</f>
        <v>0</v>
      </c>
      <c r="AU452" s="33">
        <v>500</v>
      </c>
      <c r="AV452" s="9">
        <f>IF(AU452="","",AU452-AU448)</f>
        <v>0</v>
      </c>
      <c r="AW452" s="9">
        <v>13</v>
      </c>
      <c r="AX452" s="9">
        <f>IF(AW452="","",AW448+AY448-AW452)</f>
        <v>0</v>
      </c>
      <c r="AY452" s="13">
        <v>0</v>
      </c>
      <c r="AZ452" s="113" t="str">
        <f t="shared" si="525"/>
        <v>クーリッシュイヤホン</v>
      </c>
      <c r="BA452" s="34">
        <f t="shared" si="526"/>
        <v>1100</v>
      </c>
      <c r="BB452" s="9">
        <f t="shared" si="527"/>
        <v>0</v>
      </c>
      <c r="BC452" s="10" t="e">
        <f t="shared" si="528"/>
        <v>#DIV/0!</v>
      </c>
      <c r="BD452" s="11"/>
    </row>
    <row r="453" spans="1:56" x14ac:dyDescent="0.2">
      <c r="A453" s="48"/>
      <c r="B453" s="63"/>
      <c r="C453" s="9">
        <v>14032</v>
      </c>
      <c r="D453" s="9">
        <f t="shared" si="513"/>
        <v>695</v>
      </c>
      <c r="E453" s="9">
        <v>561</v>
      </c>
      <c r="F453" s="9">
        <f t="shared" si="514"/>
        <v>1</v>
      </c>
      <c r="G453" s="9">
        <v>3</v>
      </c>
      <c r="H453" s="9">
        <f t="shared" si="515"/>
        <v>6</v>
      </c>
      <c r="I453" s="13">
        <v>1</v>
      </c>
      <c r="J453" s="113" t="str">
        <f>IF(C453="","",J449)</f>
        <v>サンリオファン</v>
      </c>
      <c r="K453" s="34">
        <f>IF(D453="","",K449)</f>
        <v>1100</v>
      </c>
      <c r="L453" s="9">
        <f t="shared" si="516"/>
        <v>6600</v>
      </c>
      <c r="M453" s="10">
        <f t="shared" si="517"/>
        <v>9.4964028776978418E-2</v>
      </c>
      <c r="N453" s="11"/>
      <c r="O453" s="1"/>
      <c r="P453" s="48"/>
      <c r="Q453" s="9">
        <v>12089</v>
      </c>
      <c r="R453" s="9">
        <f t="shared" si="518"/>
        <v>422</v>
      </c>
      <c r="S453" s="9">
        <v>831</v>
      </c>
      <c r="T453" s="9">
        <f t="shared" si="519"/>
        <v>0</v>
      </c>
      <c r="U453" s="9">
        <v>78</v>
      </c>
      <c r="V453" s="9">
        <f t="shared" si="520"/>
        <v>0</v>
      </c>
      <c r="W453" s="13">
        <v>0</v>
      </c>
      <c r="X453" s="113" t="str">
        <f t="shared" ref="X453:X484" si="529">IF(Q453="","",X449)</f>
        <v>AIラバー</v>
      </c>
      <c r="Y453" s="34">
        <f t="shared" ref="Y453:Y484" si="530">IF(R453="","",Y449)</f>
        <v>198</v>
      </c>
      <c r="Z453" s="9">
        <f t="shared" si="511"/>
        <v>0</v>
      </c>
      <c r="AA453" s="10">
        <f t="shared" si="512"/>
        <v>0</v>
      </c>
      <c r="AB453" s="11"/>
      <c r="AD453" s="48"/>
      <c r="AE453" s="9">
        <v>13785</v>
      </c>
      <c r="AF453" s="9">
        <f>IF(AE453="","",AE453-AE449)</f>
        <v>0</v>
      </c>
      <c r="AG453" s="9">
        <v>2381</v>
      </c>
      <c r="AH453" s="9">
        <f>IF(AG453="","",AG453-AG449)</f>
        <v>0</v>
      </c>
      <c r="AI453" s="9">
        <v>10</v>
      </c>
      <c r="AJ453" s="9">
        <f>IF(AI453="","",AI449+AK449-AI453)</f>
        <v>0</v>
      </c>
      <c r="AK453" s="13">
        <v>0</v>
      </c>
      <c r="AL453" s="113" t="str">
        <f t="shared" si="521"/>
        <v>サンリオギャルキーケース</v>
      </c>
      <c r="AM453" s="9">
        <f t="shared" si="522"/>
        <v>660</v>
      </c>
      <c r="AN453" s="9">
        <f t="shared" si="523"/>
        <v>0</v>
      </c>
      <c r="AO453" s="10" t="e">
        <f t="shared" si="524"/>
        <v>#DIV/0!</v>
      </c>
      <c r="AP453" s="11"/>
      <c r="AR453" s="48"/>
      <c r="AS453" s="33">
        <v>11963</v>
      </c>
      <c r="AT453" s="9">
        <f>IF(AS453="","",AS453-AS449)</f>
        <v>0</v>
      </c>
      <c r="AU453" s="33">
        <v>726</v>
      </c>
      <c r="AV453" s="9">
        <f>IF(AU453="","",AU453-AU449)</f>
        <v>0</v>
      </c>
      <c r="AW453" s="9">
        <v>10</v>
      </c>
      <c r="AX453" s="9">
        <f>IF(AW453="","",AW449+AY449-AW453)</f>
        <v>0</v>
      </c>
      <c r="AY453" s="13">
        <v>0</v>
      </c>
      <c r="AZ453" s="113" t="str">
        <f t="shared" si="525"/>
        <v>モンチッチマスコット</v>
      </c>
      <c r="BA453" s="9">
        <f t="shared" si="526"/>
        <v>528</v>
      </c>
      <c r="BB453" s="9">
        <f t="shared" si="527"/>
        <v>0</v>
      </c>
      <c r="BC453" s="10" t="e">
        <f t="shared" si="528"/>
        <v>#DIV/0!</v>
      </c>
      <c r="BD453" s="11"/>
    </row>
    <row r="454" spans="1:56" ht="15" customHeight="1" thickBot="1" x14ac:dyDescent="0.25">
      <c r="A454" s="49"/>
      <c r="B454" s="62"/>
      <c r="C454" s="79">
        <v>10798</v>
      </c>
      <c r="D454" s="37">
        <f t="shared" si="513"/>
        <v>317</v>
      </c>
      <c r="E454" s="37">
        <v>1140</v>
      </c>
      <c r="F454" s="17">
        <f t="shared" si="514"/>
        <v>3</v>
      </c>
      <c r="G454" s="17">
        <v>9</v>
      </c>
      <c r="H454" s="17">
        <f t="shared" si="515"/>
        <v>3</v>
      </c>
      <c r="I454" s="29">
        <v>4</v>
      </c>
      <c r="J454" s="114" t="s">
        <v>62</v>
      </c>
      <c r="K454" s="37">
        <v>660</v>
      </c>
      <c r="L454" s="17">
        <f t="shared" si="516"/>
        <v>1980</v>
      </c>
      <c r="M454" s="18">
        <f t="shared" si="517"/>
        <v>6.2460567823343846E-2</v>
      </c>
      <c r="N454" s="11"/>
      <c r="O454" s="1"/>
      <c r="P454" s="49"/>
      <c r="Q454" s="79">
        <v>10454</v>
      </c>
      <c r="R454" s="37">
        <f t="shared" si="518"/>
        <v>283</v>
      </c>
      <c r="S454" s="37">
        <v>1021</v>
      </c>
      <c r="T454" s="17">
        <f t="shared" si="519"/>
        <v>2</v>
      </c>
      <c r="U454" s="17">
        <v>7</v>
      </c>
      <c r="V454" s="17">
        <f t="shared" si="520"/>
        <v>3</v>
      </c>
      <c r="W454" s="29">
        <v>3</v>
      </c>
      <c r="X454" s="114" t="str">
        <f t="shared" si="529"/>
        <v>AIマスコット</v>
      </c>
      <c r="Y454" s="37">
        <f t="shared" si="530"/>
        <v>286</v>
      </c>
      <c r="Z454" s="17">
        <f t="shared" si="511"/>
        <v>858</v>
      </c>
      <c r="AA454" s="18">
        <f t="shared" si="512"/>
        <v>3.0318021201413428E-2</v>
      </c>
      <c r="AB454" s="11"/>
      <c r="AD454" s="49"/>
      <c r="AE454" s="79">
        <v>13049</v>
      </c>
      <c r="AF454" s="37">
        <f>IF(AE454="","",AE454-AE450)</f>
        <v>0</v>
      </c>
      <c r="AG454" s="37">
        <v>1503</v>
      </c>
      <c r="AH454" s="17">
        <f>IF(AG454="","",AG454-AG450)</f>
        <v>0</v>
      </c>
      <c r="AI454" s="17">
        <v>9</v>
      </c>
      <c r="AJ454" s="17">
        <f>IF(AI454="","",AI450+AK450-AI454)</f>
        <v>0</v>
      </c>
      <c r="AK454" s="29">
        <v>0</v>
      </c>
      <c r="AL454" s="114" t="str">
        <f t="shared" si="521"/>
        <v>ピクミンマスコット</v>
      </c>
      <c r="AM454" s="37">
        <f t="shared" si="522"/>
        <v>748</v>
      </c>
      <c r="AN454" s="17">
        <f t="shared" si="523"/>
        <v>0</v>
      </c>
      <c r="AO454" s="18" t="e">
        <f t="shared" si="524"/>
        <v>#DIV/0!</v>
      </c>
      <c r="AP454" s="11"/>
      <c r="AR454" s="49"/>
      <c r="AS454" s="36">
        <v>10004</v>
      </c>
      <c r="AT454" s="37">
        <f>IF(AS454="","",AS454-AS450)</f>
        <v>0</v>
      </c>
      <c r="AU454" s="36">
        <v>783</v>
      </c>
      <c r="AV454" s="17">
        <f>IF(AU454="","",AU454-AU450)</f>
        <v>0</v>
      </c>
      <c r="AW454" s="17">
        <v>7</v>
      </c>
      <c r="AX454" s="17">
        <f>IF(AW454="","",AW450+AY450-AW454)</f>
        <v>0</v>
      </c>
      <c r="AY454" s="29">
        <v>0</v>
      </c>
      <c r="AZ454" s="114" t="str">
        <f t="shared" si="525"/>
        <v>ジョージファン</v>
      </c>
      <c r="BA454" s="37">
        <f t="shared" si="526"/>
        <v>1100</v>
      </c>
      <c r="BB454" s="17">
        <f t="shared" si="527"/>
        <v>0</v>
      </c>
      <c r="BC454" s="18" t="e">
        <f t="shared" si="528"/>
        <v>#DIV/0!</v>
      </c>
      <c r="BD454" s="11"/>
    </row>
    <row r="455" spans="1:56" ht="15" customHeight="1" thickTop="1" x14ac:dyDescent="0.2">
      <c r="A455" s="71">
        <v>45909</v>
      </c>
      <c r="B455" s="61">
        <f>SUM(D455:D458)+SUM(R455:R458)+SUM(AF455:AF458)+SUM(AT455:AT458)</f>
        <v>597</v>
      </c>
      <c r="C455" s="33">
        <v>14095</v>
      </c>
      <c r="D455" s="33">
        <f t="shared" si="513"/>
        <v>59</v>
      </c>
      <c r="E455" s="33">
        <v>1020</v>
      </c>
      <c r="F455" s="20">
        <f t="shared" si="514"/>
        <v>2</v>
      </c>
      <c r="G455" s="33">
        <v>6</v>
      </c>
      <c r="H455" s="33">
        <f t="shared" si="515"/>
        <v>2</v>
      </c>
      <c r="I455" s="43">
        <v>0</v>
      </c>
      <c r="J455" s="112" t="str">
        <f t="shared" ref="J455:J502" si="531">IF(C455="","",J451)</f>
        <v>サンリオトイカメラ</v>
      </c>
      <c r="K455" s="40">
        <f t="shared" ref="K455:K502" si="532">IF(D455="","",K451)</f>
        <v>1015</v>
      </c>
      <c r="L455" s="20">
        <f t="shared" si="516"/>
        <v>2030</v>
      </c>
      <c r="M455" s="21">
        <f t="shared" si="517"/>
        <v>0.34406779661016951</v>
      </c>
      <c r="N455" s="11"/>
      <c r="O455" s="1"/>
      <c r="P455" s="47">
        <f>IF($A$455="","",$A$455)</f>
        <v>45909</v>
      </c>
      <c r="Q455" s="33">
        <v>13193</v>
      </c>
      <c r="R455" s="33">
        <f t="shared" si="518"/>
        <v>63</v>
      </c>
      <c r="S455" s="33">
        <v>1366</v>
      </c>
      <c r="T455" s="20">
        <f t="shared" si="519"/>
        <v>1</v>
      </c>
      <c r="U455" s="33">
        <v>11</v>
      </c>
      <c r="V455" s="33">
        <f t="shared" si="520"/>
        <v>1</v>
      </c>
      <c r="W455" s="43"/>
      <c r="X455" s="112" t="str">
        <f t="shared" si="529"/>
        <v>香水coach</v>
      </c>
      <c r="Y455" s="40">
        <f t="shared" si="530"/>
        <v>1100</v>
      </c>
      <c r="Z455" s="20">
        <f t="shared" si="511"/>
        <v>1100</v>
      </c>
      <c r="AA455" s="21">
        <f t="shared" si="512"/>
        <v>0.17460317460317459</v>
      </c>
      <c r="AB455" s="11"/>
      <c r="AD455" s="47">
        <f>IF($A$455="","",$A$455)</f>
        <v>45909</v>
      </c>
      <c r="AE455" s="33">
        <v>11481</v>
      </c>
      <c r="AF455" s="33">
        <v>0</v>
      </c>
      <c r="AG455" s="33">
        <v>883</v>
      </c>
      <c r="AH455" s="20">
        <v>0</v>
      </c>
      <c r="AI455" s="33">
        <v>10</v>
      </c>
      <c r="AJ455" s="33">
        <v>0</v>
      </c>
      <c r="AK455" s="43">
        <v>0</v>
      </c>
      <c r="AL455" s="112" t="str">
        <f t="shared" si="521"/>
        <v>スティッチキーケース</v>
      </c>
      <c r="AM455" s="40">
        <f t="shared" si="522"/>
        <v>490</v>
      </c>
      <c r="AN455" s="20">
        <f t="shared" si="523"/>
        <v>0</v>
      </c>
      <c r="AO455" s="21" t="e">
        <f t="shared" si="524"/>
        <v>#DIV/0!</v>
      </c>
      <c r="AP455" s="11"/>
      <c r="AR455" s="47">
        <f>IF($A$455="","",$A$455)</f>
        <v>45909</v>
      </c>
      <c r="AS455" s="33">
        <v>7598</v>
      </c>
      <c r="AT455" s="33">
        <v>0</v>
      </c>
      <c r="AU455" s="33">
        <v>453</v>
      </c>
      <c r="AV455" s="20">
        <v>0</v>
      </c>
      <c r="AW455" s="33">
        <v>9</v>
      </c>
      <c r="AX455" s="33">
        <v>0</v>
      </c>
      <c r="AY455" s="43">
        <v>0</v>
      </c>
      <c r="AZ455" s="112" t="str">
        <f t="shared" si="525"/>
        <v>デジタルミニカメラ</v>
      </c>
      <c r="BA455" s="40">
        <f t="shared" si="526"/>
        <v>729</v>
      </c>
      <c r="BB455" s="20">
        <f t="shared" si="527"/>
        <v>0</v>
      </c>
      <c r="BC455" s="21" t="e">
        <f t="shared" si="528"/>
        <v>#DIV/0!</v>
      </c>
      <c r="BD455" s="11"/>
    </row>
    <row r="456" spans="1:56" x14ac:dyDescent="0.2">
      <c r="A456" s="72"/>
      <c r="B456" s="61"/>
      <c r="C456" s="33">
        <v>15780</v>
      </c>
      <c r="D456" s="9">
        <f t="shared" si="513"/>
        <v>70</v>
      </c>
      <c r="E456" s="9">
        <v>501</v>
      </c>
      <c r="F456" s="9">
        <f t="shared" si="514"/>
        <v>8</v>
      </c>
      <c r="G456" s="9">
        <v>23</v>
      </c>
      <c r="H456" s="9">
        <f t="shared" si="515"/>
        <v>8</v>
      </c>
      <c r="I456" s="13"/>
      <c r="J456" s="113" t="str">
        <f t="shared" si="531"/>
        <v>電ブル</v>
      </c>
      <c r="K456" s="34">
        <f t="shared" si="532"/>
        <v>275</v>
      </c>
      <c r="L456" s="9">
        <f t="shared" si="516"/>
        <v>2200</v>
      </c>
      <c r="M456" s="10">
        <f t="shared" si="517"/>
        <v>0.31428571428571428</v>
      </c>
      <c r="N456" s="11"/>
      <c r="O456" s="1"/>
      <c r="P456" s="12"/>
      <c r="Q456" s="33">
        <v>12889</v>
      </c>
      <c r="R456" s="9">
        <f t="shared" si="518"/>
        <v>63</v>
      </c>
      <c r="S456" s="9">
        <v>472</v>
      </c>
      <c r="T456" s="9">
        <f t="shared" si="519"/>
        <v>1</v>
      </c>
      <c r="U456" s="9">
        <v>5</v>
      </c>
      <c r="V456" s="9">
        <f t="shared" si="520"/>
        <v>1</v>
      </c>
      <c r="W456" s="13"/>
      <c r="X456" s="113" t="str">
        <f t="shared" si="529"/>
        <v>サンリオミニリュックチャーム付</v>
      </c>
      <c r="Y456" s="34">
        <f t="shared" si="530"/>
        <v>600</v>
      </c>
      <c r="Z456" s="9">
        <f t="shared" si="511"/>
        <v>600</v>
      </c>
      <c r="AA456" s="10">
        <f t="shared" si="512"/>
        <v>9.5238095238095233E-2</v>
      </c>
      <c r="AB456" s="11"/>
      <c r="AD456" s="12"/>
      <c r="AE456" s="33">
        <v>10516</v>
      </c>
      <c r="AF456" s="9">
        <v>0</v>
      </c>
      <c r="AG456" s="9">
        <v>755</v>
      </c>
      <c r="AH456" s="9">
        <v>0</v>
      </c>
      <c r="AI456" s="9">
        <v>14</v>
      </c>
      <c r="AJ456" s="9">
        <v>0</v>
      </c>
      <c r="AK456" s="13">
        <v>0</v>
      </c>
      <c r="AL456" s="113" t="str">
        <f t="shared" si="521"/>
        <v>ジャグラーサウンドフラッシュ</v>
      </c>
      <c r="AM456" s="34">
        <f t="shared" si="522"/>
        <v>748</v>
      </c>
      <c r="AN456" s="9">
        <f t="shared" si="523"/>
        <v>0</v>
      </c>
      <c r="AO456" s="10" t="e">
        <f t="shared" si="524"/>
        <v>#DIV/0!</v>
      </c>
      <c r="AP456" s="11"/>
      <c r="AR456" s="12"/>
      <c r="AS456" s="33">
        <v>9395</v>
      </c>
      <c r="AT456" s="9">
        <v>0</v>
      </c>
      <c r="AU456" s="33">
        <v>500</v>
      </c>
      <c r="AV456" s="9">
        <v>0</v>
      </c>
      <c r="AW456" s="9">
        <v>13</v>
      </c>
      <c r="AX456" s="9">
        <v>0</v>
      </c>
      <c r="AY456" s="13">
        <v>0</v>
      </c>
      <c r="AZ456" s="113" t="str">
        <f t="shared" si="525"/>
        <v>クーリッシュイヤホン</v>
      </c>
      <c r="BA456" s="34">
        <f t="shared" si="526"/>
        <v>1100</v>
      </c>
      <c r="BB456" s="9">
        <f t="shared" si="527"/>
        <v>0</v>
      </c>
      <c r="BC456" s="10" t="e">
        <f t="shared" si="528"/>
        <v>#DIV/0!</v>
      </c>
      <c r="BD456" s="11"/>
    </row>
    <row r="457" spans="1:56" x14ac:dyDescent="0.2">
      <c r="A457" s="72"/>
      <c r="B457" s="64"/>
      <c r="C457" s="38">
        <v>14146</v>
      </c>
      <c r="D457" s="9">
        <f t="shared" si="513"/>
        <v>114</v>
      </c>
      <c r="E457" s="9">
        <v>562</v>
      </c>
      <c r="F457" s="9">
        <f t="shared" si="514"/>
        <v>1</v>
      </c>
      <c r="G457" s="9">
        <v>3</v>
      </c>
      <c r="H457" s="9">
        <f t="shared" si="515"/>
        <v>1</v>
      </c>
      <c r="I457" s="13">
        <v>2</v>
      </c>
      <c r="J457" s="113" t="str">
        <f t="shared" si="531"/>
        <v>サンリオファン</v>
      </c>
      <c r="K457" s="9">
        <f t="shared" si="532"/>
        <v>1100</v>
      </c>
      <c r="L457" s="9">
        <f t="shared" si="516"/>
        <v>1100</v>
      </c>
      <c r="M457" s="10">
        <f t="shared" si="517"/>
        <v>9.6491228070175433E-2</v>
      </c>
      <c r="N457" s="11"/>
      <c r="O457" s="1"/>
      <c r="P457" s="12"/>
      <c r="Q457" s="38">
        <v>12188</v>
      </c>
      <c r="R457" s="9">
        <f t="shared" si="518"/>
        <v>99</v>
      </c>
      <c r="S457" s="9">
        <v>833</v>
      </c>
      <c r="T457" s="9">
        <f t="shared" si="519"/>
        <v>2</v>
      </c>
      <c r="U457" s="9">
        <v>76</v>
      </c>
      <c r="V457" s="9">
        <f t="shared" si="520"/>
        <v>2</v>
      </c>
      <c r="W457" s="13"/>
      <c r="X457" s="113" t="str">
        <f t="shared" si="529"/>
        <v>AIラバー</v>
      </c>
      <c r="Y457" s="9">
        <f t="shared" si="530"/>
        <v>198</v>
      </c>
      <c r="Z457" s="9">
        <f t="shared" si="511"/>
        <v>396</v>
      </c>
      <c r="AA457" s="10">
        <f t="shared" si="512"/>
        <v>0.04</v>
      </c>
      <c r="AB457" s="11"/>
      <c r="AD457" s="12"/>
      <c r="AE457" s="38">
        <v>13785</v>
      </c>
      <c r="AF457" s="9">
        <v>0</v>
      </c>
      <c r="AG457" s="9">
        <v>2381</v>
      </c>
      <c r="AH457" s="9">
        <v>0</v>
      </c>
      <c r="AI457" s="9">
        <v>10</v>
      </c>
      <c r="AJ457" s="9">
        <v>0</v>
      </c>
      <c r="AK457" s="13">
        <v>0</v>
      </c>
      <c r="AL457" s="113" t="str">
        <f t="shared" si="521"/>
        <v>サンリオギャルキーケース</v>
      </c>
      <c r="AM457" s="9">
        <f t="shared" si="522"/>
        <v>660</v>
      </c>
      <c r="AN457" s="9">
        <f t="shared" si="523"/>
        <v>0</v>
      </c>
      <c r="AO457" s="10" t="e">
        <f t="shared" si="524"/>
        <v>#DIV/0!</v>
      </c>
      <c r="AP457" s="11"/>
      <c r="AR457" s="12"/>
      <c r="AS457" s="33">
        <v>11963</v>
      </c>
      <c r="AT457" s="9">
        <v>0</v>
      </c>
      <c r="AU457" s="33">
        <v>726</v>
      </c>
      <c r="AV457" s="9">
        <v>0</v>
      </c>
      <c r="AW457" s="9">
        <v>10</v>
      </c>
      <c r="AX457" s="9">
        <v>0</v>
      </c>
      <c r="AY457" s="13">
        <v>0</v>
      </c>
      <c r="AZ457" s="113" t="str">
        <f t="shared" si="525"/>
        <v>モンチッチマスコット</v>
      </c>
      <c r="BA457" s="9">
        <f t="shared" si="526"/>
        <v>528</v>
      </c>
      <c r="BB457" s="9">
        <f t="shared" si="527"/>
        <v>0</v>
      </c>
      <c r="BC457" s="10" t="e">
        <f t="shared" si="528"/>
        <v>#DIV/0!</v>
      </c>
      <c r="BD457" s="11"/>
    </row>
    <row r="458" spans="1:56" ht="15" customHeight="1" thickBot="1" x14ac:dyDescent="0.25">
      <c r="A458" s="73"/>
      <c r="B458" s="65"/>
      <c r="C458" s="36">
        <v>10856</v>
      </c>
      <c r="D458" s="37">
        <f t="shared" si="513"/>
        <v>58</v>
      </c>
      <c r="E458" s="17">
        <v>1145</v>
      </c>
      <c r="F458" s="17">
        <f t="shared" si="514"/>
        <v>5</v>
      </c>
      <c r="G458" s="17">
        <v>8</v>
      </c>
      <c r="H458" s="17">
        <f t="shared" si="515"/>
        <v>5</v>
      </c>
      <c r="I458" s="29">
        <v>4</v>
      </c>
      <c r="J458" s="114" t="str">
        <f t="shared" si="531"/>
        <v>サンリオヘアパッチンピン</v>
      </c>
      <c r="K458" s="37">
        <f t="shared" si="532"/>
        <v>660</v>
      </c>
      <c r="L458" s="17">
        <f t="shared" si="516"/>
        <v>3300</v>
      </c>
      <c r="M458" s="18">
        <f t="shared" si="517"/>
        <v>0.56896551724137934</v>
      </c>
      <c r="N458" s="11"/>
      <c r="O458" s="1"/>
      <c r="P458" s="49"/>
      <c r="Q458" s="36">
        <v>10525</v>
      </c>
      <c r="R458" s="37">
        <f t="shared" si="518"/>
        <v>71</v>
      </c>
      <c r="S458" s="17">
        <v>1022</v>
      </c>
      <c r="T458" s="17">
        <f t="shared" si="519"/>
        <v>1</v>
      </c>
      <c r="U458" s="17">
        <v>9</v>
      </c>
      <c r="V458" s="17">
        <f t="shared" si="520"/>
        <v>1</v>
      </c>
      <c r="W458" s="29"/>
      <c r="X458" s="114" t="str">
        <f t="shared" si="529"/>
        <v>AIマスコット</v>
      </c>
      <c r="Y458" s="37">
        <f t="shared" si="530"/>
        <v>286</v>
      </c>
      <c r="Z458" s="17">
        <f t="shared" si="511"/>
        <v>286</v>
      </c>
      <c r="AA458" s="18">
        <f t="shared" si="512"/>
        <v>4.0281690140845074E-2</v>
      </c>
      <c r="AB458" s="11"/>
      <c r="AD458" s="49"/>
      <c r="AE458" s="36">
        <v>13049</v>
      </c>
      <c r="AF458" s="37">
        <v>0</v>
      </c>
      <c r="AG458" s="17">
        <v>1503</v>
      </c>
      <c r="AH458" s="17">
        <v>0</v>
      </c>
      <c r="AI458" s="17">
        <v>9</v>
      </c>
      <c r="AJ458" s="17">
        <v>0</v>
      </c>
      <c r="AK458" s="29">
        <v>0</v>
      </c>
      <c r="AL458" s="114" t="str">
        <f t="shared" si="521"/>
        <v>ピクミンマスコット</v>
      </c>
      <c r="AM458" s="37">
        <f t="shared" si="522"/>
        <v>748</v>
      </c>
      <c r="AN458" s="17">
        <f t="shared" si="523"/>
        <v>0</v>
      </c>
      <c r="AO458" s="18" t="e">
        <f t="shared" si="524"/>
        <v>#DIV/0!</v>
      </c>
      <c r="AP458" s="11"/>
      <c r="AR458" s="49"/>
      <c r="AS458" s="36">
        <v>10004</v>
      </c>
      <c r="AT458" s="37">
        <v>0</v>
      </c>
      <c r="AU458" s="36">
        <v>783</v>
      </c>
      <c r="AV458" s="17">
        <v>0</v>
      </c>
      <c r="AW458" s="17">
        <v>7</v>
      </c>
      <c r="AX458" s="17">
        <v>0</v>
      </c>
      <c r="AY458" s="29">
        <v>0</v>
      </c>
      <c r="AZ458" s="114" t="str">
        <f t="shared" si="525"/>
        <v>ジョージファン</v>
      </c>
      <c r="BA458" s="37">
        <f t="shared" si="526"/>
        <v>1100</v>
      </c>
      <c r="BB458" s="17">
        <f t="shared" si="527"/>
        <v>0</v>
      </c>
      <c r="BC458" s="18" t="e">
        <f t="shared" si="528"/>
        <v>#DIV/0!</v>
      </c>
      <c r="BD458" s="11"/>
    </row>
    <row r="459" spans="1:56" ht="15" customHeight="1" thickTop="1" x14ac:dyDescent="0.2">
      <c r="A459" s="71">
        <v>45912</v>
      </c>
      <c r="B459" s="61">
        <f>SUM(D459:D462)+SUM(R459:R462)+SUM(AF459:AF462)+SUM(AT459:AT462)</f>
        <v>644</v>
      </c>
      <c r="C459" s="33">
        <v>14112</v>
      </c>
      <c r="D459" s="94">
        <f t="shared" si="513"/>
        <v>17</v>
      </c>
      <c r="E459" s="33">
        <v>1020</v>
      </c>
      <c r="F459" s="20">
        <f t="shared" si="514"/>
        <v>0</v>
      </c>
      <c r="G459" s="33">
        <v>6</v>
      </c>
      <c r="H459" s="33">
        <f t="shared" si="515"/>
        <v>0</v>
      </c>
      <c r="I459" s="43"/>
      <c r="J459" s="112" t="str">
        <f t="shared" si="531"/>
        <v>サンリオトイカメラ</v>
      </c>
      <c r="K459" s="40">
        <f t="shared" si="532"/>
        <v>1015</v>
      </c>
      <c r="L459" s="20">
        <f t="shared" si="516"/>
        <v>0</v>
      </c>
      <c r="M459" s="21">
        <f t="shared" si="517"/>
        <v>0</v>
      </c>
      <c r="N459" s="11"/>
      <c r="O459" s="1"/>
      <c r="P459" s="76">
        <f>IF($A$459="","",$A$459)</f>
        <v>45912</v>
      </c>
      <c r="Q459" s="33">
        <v>13203</v>
      </c>
      <c r="R459" s="94">
        <f t="shared" si="518"/>
        <v>10</v>
      </c>
      <c r="S459" s="33">
        <v>1366</v>
      </c>
      <c r="T459" s="20">
        <f t="shared" si="519"/>
        <v>0</v>
      </c>
      <c r="U459" s="33">
        <v>11</v>
      </c>
      <c r="V459" s="33">
        <f t="shared" si="520"/>
        <v>0</v>
      </c>
      <c r="W459" s="43">
        <v>5</v>
      </c>
      <c r="X459" s="112" t="str">
        <f t="shared" si="529"/>
        <v>香水coach</v>
      </c>
      <c r="Y459" s="40">
        <f t="shared" si="530"/>
        <v>1100</v>
      </c>
      <c r="Z459" s="20">
        <f t="shared" si="511"/>
        <v>0</v>
      </c>
      <c r="AA459" s="21">
        <f t="shared" si="512"/>
        <v>0</v>
      </c>
      <c r="AB459" s="11"/>
      <c r="AD459" s="76">
        <f>IF($A$459="","",$A$459)</f>
        <v>45912</v>
      </c>
      <c r="AE459" s="33">
        <v>11490</v>
      </c>
      <c r="AF459" s="94">
        <f t="shared" ref="AF459:AF502" si="533">IF(AE459="","",AE459-AE455)</f>
        <v>9</v>
      </c>
      <c r="AG459" s="33">
        <v>884</v>
      </c>
      <c r="AH459" s="20">
        <f t="shared" ref="AH459:AH502" si="534">IF(AG459="","",AG459-AG455)</f>
        <v>1</v>
      </c>
      <c r="AI459" s="33">
        <v>9</v>
      </c>
      <c r="AJ459" s="33">
        <f t="shared" ref="AJ459:AJ502" si="535">IF(AI459="","",AI455+AK455-AI459)</f>
        <v>1</v>
      </c>
      <c r="AK459" s="43">
        <v>1</v>
      </c>
      <c r="AL459" s="112" t="str">
        <f t="shared" si="521"/>
        <v>スティッチキーケース</v>
      </c>
      <c r="AM459" s="40">
        <f t="shared" si="522"/>
        <v>490</v>
      </c>
      <c r="AN459" s="20">
        <f t="shared" si="523"/>
        <v>490</v>
      </c>
      <c r="AO459" s="21">
        <f t="shared" si="524"/>
        <v>0.5444444444444444</v>
      </c>
      <c r="AP459" s="11"/>
      <c r="AR459" s="76">
        <f>IF($A$459="","",$A$459)</f>
        <v>45912</v>
      </c>
      <c r="AS459" s="33">
        <v>7685</v>
      </c>
      <c r="AT459" s="33">
        <f t="shared" ref="AT459:AT502" si="536">IF(AS459="","",AS459-AS455)</f>
        <v>87</v>
      </c>
      <c r="AU459" s="33">
        <v>454</v>
      </c>
      <c r="AV459" s="20">
        <f t="shared" ref="AV459:AV502" si="537">IF(AU459="","",AU459-AU455)</f>
        <v>1</v>
      </c>
      <c r="AW459" s="33">
        <v>8</v>
      </c>
      <c r="AX459" s="33">
        <f t="shared" ref="AX459:AX502" si="538">IF(AW459="","",AW455+AY455-AW459)</f>
        <v>1</v>
      </c>
      <c r="AY459" s="43">
        <v>0</v>
      </c>
      <c r="AZ459" s="112" t="str">
        <f t="shared" si="525"/>
        <v>デジタルミニカメラ</v>
      </c>
      <c r="BA459" s="40">
        <f t="shared" si="526"/>
        <v>729</v>
      </c>
      <c r="BB459" s="20">
        <f t="shared" si="527"/>
        <v>729</v>
      </c>
      <c r="BC459" s="21">
        <f t="shared" si="528"/>
        <v>8.3793103448275869E-2</v>
      </c>
      <c r="BD459" s="11"/>
    </row>
    <row r="460" spans="1:56" x14ac:dyDescent="0.2">
      <c r="A460" s="72"/>
      <c r="B460" s="8"/>
      <c r="C460" s="9">
        <v>15818</v>
      </c>
      <c r="D460" s="9">
        <f t="shared" si="513"/>
        <v>38</v>
      </c>
      <c r="E460" s="9">
        <v>507</v>
      </c>
      <c r="F460" s="9">
        <f t="shared" si="514"/>
        <v>6</v>
      </c>
      <c r="G460" s="9">
        <v>16</v>
      </c>
      <c r="H460" s="9">
        <f t="shared" si="515"/>
        <v>7</v>
      </c>
      <c r="I460" s="13"/>
      <c r="J460" s="113" t="str">
        <f t="shared" si="531"/>
        <v>電ブル</v>
      </c>
      <c r="K460" s="34">
        <f t="shared" si="532"/>
        <v>275</v>
      </c>
      <c r="L460" s="9">
        <f t="shared" si="516"/>
        <v>1925</v>
      </c>
      <c r="M460" s="10">
        <f t="shared" si="517"/>
        <v>0.50657894736842102</v>
      </c>
      <c r="N460" s="11"/>
      <c r="O460" s="1"/>
      <c r="P460" s="72"/>
      <c r="Q460" s="9">
        <v>12957</v>
      </c>
      <c r="R460" s="9">
        <f t="shared" si="518"/>
        <v>68</v>
      </c>
      <c r="S460" s="9">
        <v>473</v>
      </c>
      <c r="T460" s="9">
        <f t="shared" si="519"/>
        <v>1</v>
      </c>
      <c r="U460" s="9">
        <v>7</v>
      </c>
      <c r="V460" s="9">
        <f t="shared" si="520"/>
        <v>-2</v>
      </c>
      <c r="W460" s="13">
        <v>2</v>
      </c>
      <c r="X460" s="113" t="str">
        <f t="shared" si="529"/>
        <v>サンリオミニリュックチャーム付</v>
      </c>
      <c r="Y460" s="34">
        <f t="shared" si="530"/>
        <v>600</v>
      </c>
      <c r="Z460" s="9">
        <f t="shared" si="511"/>
        <v>-1200</v>
      </c>
      <c r="AA460" s="10">
        <f t="shared" si="512"/>
        <v>-0.17647058823529413</v>
      </c>
      <c r="AB460" s="11"/>
      <c r="AD460" s="72"/>
      <c r="AE460" s="9">
        <v>10553</v>
      </c>
      <c r="AF460" s="9">
        <f t="shared" si="533"/>
        <v>37</v>
      </c>
      <c r="AG460" s="9">
        <v>756</v>
      </c>
      <c r="AH460" s="9">
        <f t="shared" si="534"/>
        <v>1</v>
      </c>
      <c r="AI460" s="9">
        <v>13</v>
      </c>
      <c r="AJ460" s="9">
        <f t="shared" si="535"/>
        <v>1</v>
      </c>
      <c r="AK460" s="13">
        <v>1</v>
      </c>
      <c r="AL460" s="113" t="str">
        <f t="shared" si="521"/>
        <v>ジャグラーサウンドフラッシュ</v>
      </c>
      <c r="AM460" s="34">
        <f t="shared" si="522"/>
        <v>748</v>
      </c>
      <c r="AN460" s="9">
        <f t="shared" si="523"/>
        <v>748</v>
      </c>
      <c r="AO460" s="10">
        <f t="shared" si="524"/>
        <v>0.20216216216216215</v>
      </c>
      <c r="AP460" s="11"/>
      <c r="AR460" s="72"/>
      <c r="AS460" s="9">
        <v>9418</v>
      </c>
      <c r="AT460" s="9">
        <f t="shared" si="536"/>
        <v>23</v>
      </c>
      <c r="AU460" s="9">
        <v>502</v>
      </c>
      <c r="AV460" s="9">
        <f t="shared" si="537"/>
        <v>2</v>
      </c>
      <c r="AW460" s="9">
        <v>11</v>
      </c>
      <c r="AX460" s="9">
        <f t="shared" si="538"/>
        <v>2</v>
      </c>
      <c r="AY460" s="13">
        <v>0</v>
      </c>
      <c r="AZ460" s="113" t="str">
        <f t="shared" si="525"/>
        <v>クーリッシュイヤホン</v>
      </c>
      <c r="BA460" s="34">
        <f t="shared" si="526"/>
        <v>1100</v>
      </c>
      <c r="BB460" s="9">
        <f t="shared" si="527"/>
        <v>2200</v>
      </c>
      <c r="BC460" s="10">
        <f t="shared" si="528"/>
        <v>0.95652173913043481</v>
      </c>
      <c r="BD460" s="11"/>
    </row>
    <row r="461" spans="1:56" x14ac:dyDescent="0.2">
      <c r="A461" s="95" t="s">
        <v>19</v>
      </c>
      <c r="B461" s="66"/>
      <c r="C461" s="23">
        <v>14186</v>
      </c>
      <c r="D461" s="9">
        <f t="shared" si="513"/>
        <v>40</v>
      </c>
      <c r="E461" s="9">
        <v>562</v>
      </c>
      <c r="F461" s="9">
        <f t="shared" si="514"/>
        <v>0</v>
      </c>
      <c r="G461" s="23">
        <v>4</v>
      </c>
      <c r="H461" s="9">
        <f t="shared" si="515"/>
        <v>1</v>
      </c>
      <c r="I461" s="30">
        <v>1</v>
      </c>
      <c r="J461" s="113" t="str">
        <f t="shared" si="531"/>
        <v>サンリオファン</v>
      </c>
      <c r="K461" s="9">
        <f t="shared" si="532"/>
        <v>1100</v>
      </c>
      <c r="L461" s="9">
        <f t="shared" si="516"/>
        <v>1100</v>
      </c>
      <c r="M461" s="10">
        <f t="shared" si="517"/>
        <v>0.27500000000000002</v>
      </c>
      <c r="N461" s="11"/>
      <c r="P461" s="74"/>
      <c r="Q461" s="23">
        <v>12372</v>
      </c>
      <c r="R461" s="9">
        <f t="shared" si="518"/>
        <v>184</v>
      </c>
      <c r="S461" s="9">
        <v>838</v>
      </c>
      <c r="T461" s="9">
        <f t="shared" si="519"/>
        <v>5</v>
      </c>
      <c r="U461" s="23">
        <v>70</v>
      </c>
      <c r="V461" s="9">
        <f t="shared" si="520"/>
        <v>6</v>
      </c>
      <c r="W461" s="30">
        <v>15</v>
      </c>
      <c r="X461" s="113" t="str">
        <f t="shared" si="529"/>
        <v>AIラバー</v>
      </c>
      <c r="Y461" s="9">
        <f t="shared" si="530"/>
        <v>198</v>
      </c>
      <c r="Z461" s="9">
        <f t="shared" si="511"/>
        <v>1188</v>
      </c>
      <c r="AA461" s="10">
        <f t="shared" si="512"/>
        <v>6.4565217391304344E-2</v>
      </c>
      <c r="AB461" s="11"/>
      <c r="AD461" s="74"/>
      <c r="AE461" s="23">
        <v>13795</v>
      </c>
      <c r="AF461" s="77">
        <f t="shared" si="533"/>
        <v>10</v>
      </c>
      <c r="AG461" s="9">
        <v>2381</v>
      </c>
      <c r="AH461" s="9">
        <f t="shared" si="534"/>
        <v>0</v>
      </c>
      <c r="AI461" s="23">
        <v>10</v>
      </c>
      <c r="AJ461" s="9">
        <f t="shared" si="535"/>
        <v>0</v>
      </c>
      <c r="AK461" s="30">
        <v>0</v>
      </c>
      <c r="AL461" s="113" t="str">
        <f t="shared" si="521"/>
        <v>サンリオギャルキーケース</v>
      </c>
      <c r="AM461" s="9">
        <f t="shared" si="522"/>
        <v>660</v>
      </c>
      <c r="AN461" s="9">
        <f t="shared" si="523"/>
        <v>0</v>
      </c>
      <c r="AO461" s="10">
        <f t="shared" si="524"/>
        <v>0</v>
      </c>
      <c r="AP461" s="11"/>
      <c r="AR461" s="74"/>
      <c r="AS461" s="23">
        <v>11975</v>
      </c>
      <c r="AT461" s="77">
        <f t="shared" si="536"/>
        <v>12</v>
      </c>
      <c r="AU461" s="9">
        <v>726</v>
      </c>
      <c r="AV461" s="9">
        <f t="shared" si="537"/>
        <v>0</v>
      </c>
      <c r="AW461" s="23">
        <v>10</v>
      </c>
      <c r="AX461" s="9">
        <f t="shared" si="538"/>
        <v>0</v>
      </c>
      <c r="AY461" s="30">
        <v>0</v>
      </c>
      <c r="AZ461" s="113" t="str">
        <f t="shared" si="525"/>
        <v>モンチッチマスコット</v>
      </c>
      <c r="BA461" s="9">
        <f t="shared" si="526"/>
        <v>528</v>
      </c>
      <c r="BB461" s="9">
        <f t="shared" si="527"/>
        <v>0</v>
      </c>
      <c r="BC461" s="10">
        <f t="shared" si="528"/>
        <v>0</v>
      </c>
      <c r="BD461" s="11"/>
    </row>
    <row r="462" spans="1:56" ht="15" customHeight="1" thickBot="1" x14ac:dyDescent="0.25">
      <c r="A462" s="75"/>
      <c r="B462" s="67"/>
      <c r="C462" s="17">
        <v>10880</v>
      </c>
      <c r="D462" s="83">
        <f t="shared" si="513"/>
        <v>24</v>
      </c>
      <c r="E462" s="17">
        <v>1145</v>
      </c>
      <c r="F462" s="17">
        <f t="shared" si="514"/>
        <v>0</v>
      </c>
      <c r="G462" s="17">
        <v>12</v>
      </c>
      <c r="H462" s="17">
        <f t="shared" si="515"/>
        <v>0</v>
      </c>
      <c r="I462" s="29">
        <v>0</v>
      </c>
      <c r="J462" s="114" t="str">
        <f t="shared" si="531"/>
        <v>サンリオヘアパッチンピン</v>
      </c>
      <c r="K462" s="37">
        <f t="shared" si="532"/>
        <v>660</v>
      </c>
      <c r="L462" s="17">
        <f t="shared" si="516"/>
        <v>0</v>
      </c>
      <c r="M462" s="18">
        <f t="shared" si="517"/>
        <v>0</v>
      </c>
      <c r="N462" s="11"/>
      <c r="P462" s="75"/>
      <c r="Q462" s="17">
        <v>10580</v>
      </c>
      <c r="R462" s="37">
        <f t="shared" si="518"/>
        <v>55</v>
      </c>
      <c r="S462" s="17">
        <v>1024</v>
      </c>
      <c r="T462" s="17">
        <f t="shared" si="519"/>
        <v>2</v>
      </c>
      <c r="U462" s="17">
        <v>6</v>
      </c>
      <c r="V462" s="17">
        <f t="shared" si="520"/>
        <v>3</v>
      </c>
      <c r="W462" s="29">
        <v>1</v>
      </c>
      <c r="X462" s="114" t="str">
        <f t="shared" si="529"/>
        <v>AIマスコット</v>
      </c>
      <c r="Y462" s="37">
        <f t="shared" si="530"/>
        <v>286</v>
      </c>
      <c r="Z462" s="17">
        <f t="shared" si="511"/>
        <v>858</v>
      </c>
      <c r="AA462" s="18">
        <f t="shared" si="512"/>
        <v>0.156</v>
      </c>
      <c r="AB462" s="11"/>
      <c r="AD462" s="75"/>
      <c r="AE462" s="17">
        <v>13063</v>
      </c>
      <c r="AF462" s="83">
        <f t="shared" si="533"/>
        <v>14</v>
      </c>
      <c r="AG462" s="17">
        <v>1504</v>
      </c>
      <c r="AH462" s="17">
        <f t="shared" si="534"/>
        <v>1</v>
      </c>
      <c r="AI462" s="17">
        <v>8</v>
      </c>
      <c r="AJ462" s="17">
        <f t="shared" si="535"/>
        <v>1</v>
      </c>
      <c r="AK462" s="29">
        <v>0</v>
      </c>
      <c r="AL462" s="114" t="str">
        <f t="shared" si="521"/>
        <v>ピクミンマスコット</v>
      </c>
      <c r="AM462" s="37">
        <f t="shared" si="522"/>
        <v>748</v>
      </c>
      <c r="AN462" s="17">
        <f t="shared" si="523"/>
        <v>748</v>
      </c>
      <c r="AO462" s="18">
        <f t="shared" si="524"/>
        <v>0.53428571428571425</v>
      </c>
      <c r="AP462" s="11"/>
      <c r="AR462" s="75"/>
      <c r="AS462" s="17">
        <v>10020</v>
      </c>
      <c r="AT462" s="83">
        <f t="shared" si="536"/>
        <v>16</v>
      </c>
      <c r="AU462" s="17">
        <v>784</v>
      </c>
      <c r="AV462" s="17">
        <f t="shared" si="537"/>
        <v>1</v>
      </c>
      <c r="AW462" s="17">
        <v>7</v>
      </c>
      <c r="AX462" s="17">
        <f t="shared" si="538"/>
        <v>0</v>
      </c>
      <c r="AY462" s="29">
        <v>0</v>
      </c>
      <c r="AZ462" s="114" t="str">
        <f t="shared" si="525"/>
        <v>ジョージファン</v>
      </c>
      <c r="BA462" s="37">
        <f t="shared" si="526"/>
        <v>1100</v>
      </c>
      <c r="BB462" s="17">
        <f t="shared" si="527"/>
        <v>0</v>
      </c>
      <c r="BC462" s="18">
        <f t="shared" si="528"/>
        <v>0</v>
      </c>
      <c r="BD462" s="11"/>
    </row>
    <row r="463" spans="1:56" ht="15" customHeight="1" thickTop="1" x14ac:dyDescent="0.2">
      <c r="A463" s="71"/>
      <c r="B463" s="61"/>
      <c r="C463" s="33"/>
      <c r="D463" s="94"/>
      <c r="E463" s="33"/>
      <c r="F463" s="20"/>
      <c r="G463" s="33"/>
      <c r="H463" s="33"/>
      <c r="I463" s="43"/>
      <c r="J463" s="112"/>
      <c r="K463" s="40"/>
      <c r="L463" s="20"/>
      <c r="M463" s="21"/>
      <c r="N463" s="11"/>
      <c r="P463" s="76"/>
      <c r="Q463" s="33"/>
      <c r="R463" s="94"/>
      <c r="S463" s="33"/>
      <c r="T463" s="20"/>
      <c r="U463" s="33"/>
      <c r="V463" s="33"/>
      <c r="W463" s="43"/>
      <c r="X463" s="112"/>
      <c r="Y463" s="40"/>
      <c r="Z463" s="20"/>
      <c r="AA463" s="21"/>
      <c r="AB463" s="11"/>
      <c r="AD463" s="76"/>
      <c r="AE463" s="33"/>
      <c r="AF463" s="33"/>
      <c r="AG463" s="33"/>
      <c r="AH463" s="20"/>
      <c r="AI463" s="33"/>
      <c r="AJ463" s="33"/>
      <c r="AK463" s="43"/>
      <c r="AL463" s="112"/>
      <c r="AM463" s="40"/>
      <c r="AN463" s="20"/>
      <c r="AO463" s="21"/>
      <c r="AP463" s="11"/>
      <c r="AR463" s="76"/>
      <c r="AS463" s="33"/>
      <c r="AT463" s="33"/>
      <c r="AU463" s="33"/>
      <c r="AV463" s="20"/>
      <c r="AW463" s="33"/>
      <c r="AX463" s="33"/>
      <c r="AY463" s="43"/>
      <c r="AZ463" s="112"/>
      <c r="BA463" s="40"/>
      <c r="BB463" s="20"/>
      <c r="BC463" s="21"/>
      <c r="BD463" s="11"/>
    </row>
    <row r="464" spans="1:56" x14ac:dyDescent="0.2">
      <c r="A464" s="71"/>
      <c r="B464" s="61"/>
      <c r="C464" s="33"/>
      <c r="D464" s="9"/>
      <c r="E464" s="9"/>
      <c r="F464" s="9"/>
      <c r="G464" s="9"/>
      <c r="H464" s="9"/>
      <c r="I464" s="13"/>
      <c r="J464" s="113"/>
      <c r="K464" s="34"/>
      <c r="L464" s="9"/>
      <c r="M464" s="10"/>
      <c r="N464" s="11"/>
      <c r="P464" s="71"/>
      <c r="Q464" s="33"/>
      <c r="R464" s="9"/>
      <c r="S464" s="9"/>
      <c r="T464" s="9"/>
      <c r="U464" s="9"/>
      <c r="V464" s="9"/>
      <c r="W464" s="13"/>
      <c r="X464" s="113"/>
      <c r="Y464" s="34"/>
      <c r="Z464" s="9"/>
      <c r="AA464" s="10"/>
      <c r="AB464" s="11"/>
      <c r="AD464" s="71"/>
      <c r="AE464" s="33"/>
      <c r="AF464" s="9"/>
      <c r="AG464" s="9"/>
      <c r="AH464" s="9"/>
      <c r="AI464" s="9"/>
      <c r="AJ464" s="9"/>
      <c r="AK464" s="13"/>
      <c r="AL464" s="113"/>
      <c r="AM464" s="34"/>
      <c r="AN464" s="9"/>
      <c r="AO464" s="10"/>
      <c r="AP464" s="11"/>
      <c r="AR464" s="71"/>
      <c r="AS464" s="33"/>
      <c r="AT464" s="9"/>
      <c r="AU464" s="9"/>
      <c r="AV464" s="9"/>
      <c r="AW464" s="9"/>
      <c r="AX464" s="9"/>
      <c r="AY464" s="13"/>
      <c r="AZ464" s="113"/>
      <c r="BA464" s="34"/>
      <c r="BB464" s="9"/>
      <c r="BC464" s="10"/>
      <c r="BD464" s="11"/>
    </row>
    <row r="465" spans="1:56" ht="15" customHeight="1" x14ac:dyDescent="0.2">
      <c r="A465" s="71"/>
      <c r="B465" s="64"/>
      <c r="C465" s="38"/>
      <c r="D465" s="9"/>
      <c r="E465" s="9"/>
      <c r="F465" s="9"/>
      <c r="G465" s="9"/>
      <c r="H465" s="9"/>
      <c r="I465" s="13"/>
      <c r="J465" s="113"/>
      <c r="K465" s="9"/>
      <c r="L465" s="9"/>
      <c r="M465" s="10"/>
      <c r="N465" s="11"/>
      <c r="P465" s="71"/>
      <c r="Q465" s="38"/>
      <c r="R465" s="9"/>
      <c r="S465" s="9"/>
      <c r="T465" s="9"/>
      <c r="U465" s="9"/>
      <c r="V465" s="9"/>
      <c r="W465" s="13"/>
      <c r="X465" s="113"/>
      <c r="Y465" s="9"/>
      <c r="Z465" s="9"/>
      <c r="AA465" s="10"/>
      <c r="AB465" s="11"/>
      <c r="AD465" s="71"/>
      <c r="AE465" s="38"/>
      <c r="AF465" s="9"/>
      <c r="AG465" s="9"/>
      <c r="AH465" s="9"/>
      <c r="AI465" s="9"/>
      <c r="AJ465" s="9"/>
      <c r="AK465" s="13"/>
      <c r="AL465" s="113"/>
      <c r="AM465" s="9"/>
      <c r="AN465" s="9"/>
      <c r="AO465" s="10"/>
      <c r="AP465" s="11"/>
      <c r="AR465" s="71"/>
      <c r="AS465" s="38"/>
      <c r="AT465" s="9"/>
      <c r="AU465" s="9"/>
      <c r="AV465" s="9"/>
      <c r="AW465" s="9"/>
      <c r="AX465" s="9"/>
      <c r="AY465" s="13"/>
      <c r="AZ465" s="113"/>
      <c r="BA465" s="9"/>
      <c r="BB465" s="9"/>
      <c r="BC465" s="10"/>
      <c r="BD465" s="11"/>
    </row>
    <row r="466" spans="1:56" ht="15" customHeight="1" thickBot="1" x14ac:dyDescent="0.25">
      <c r="A466" s="75"/>
      <c r="B466" s="67"/>
      <c r="C466" s="36"/>
      <c r="D466" s="37"/>
      <c r="E466" s="17"/>
      <c r="F466" s="17"/>
      <c r="G466" s="17"/>
      <c r="H466" s="17"/>
      <c r="I466" s="29"/>
      <c r="J466" s="114"/>
      <c r="K466" s="37"/>
      <c r="L466" s="17"/>
      <c r="M466" s="18"/>
      <c r="N466" s="11"/>
      <c r="P466" s="75"/>
      <c r="Q466" s="36"/>
      <c r="R466" s="37"/>
      <c r="S466" s="17"/>
      <c r="T466" s="17"/>
      <c r="U466" s="17"/>
      <c r="V466" s="17"/>
      <c r="W466" s="29"/>
      <c r="X466" s="114"/>
      <c r="Y466" s="37"/>
      <c r="Z466" s="17"/>
      <c r="AA466" s="18"/>
      <c r="AB466" s="11"/>
      <c r="AD466" s="75"/>
      <c r="AE466" s="36"/>
      <c r="AF466" s="37"/>
      <c r="AG466" s="17"/>
      <c r="AH466" s="17"/>
      <c r="AI466" s="17"/>
      <c r="AJ466" s="17"/>
      <c r="AK466" s="29"/>
      <c r="AL466" s="114"/>
      <c r="AM466" s="37"/>
      <c r="AN466" s="17"/>
      <c r="AO466" s="18"/>
      <c r="AP466" s="11"/>
      <c r="AR466" s="75"/>
      <c r="AS466" s="36"/>
      <c r="AT466" s="37"/>
      <c r="AU466" s="17"/>
      <c r="AV466" s="17"/>
      <c r="AW466" s="17"/>
      <c r="AX466" s="17"/>
      <c r="AY466" s="29"/>
      <c r="AZ466" s="114"/>
      <c r="BA466" s="37"/>
      <c r="BB466" s="17"/>
      <c r="BC466" s="18"/>
      <c r="BD466" s="11"/>
    </row>
    <row r="467" spans="1:56" ht="15" customHeight="1" thickTop="1" x14ac:dyDescent="0.2">
      <c r="A467" s="71"/>
      <c r="B467" s="61"/>
      <c r="C467" s="33"/>
      <c r="D467" s="33"/>
      <c r="E467" s="33"/>
      <c r="F467" s="20"/>
      <c r="G467" s="33"/>
      <c r="H467" s="33"/>
      <c r="I467" s="43"/>
      <c r="J467" s="113"/>
      <c r="K467" s="34"/>
      <c r="L467" s="20"/>
      <c r="M467" s="21"/>
      <c r="N467" s="11"/>
      <c r="P467" s="76"/>
      <c r="Q467" s="33"/>
      <c r="R467" s="33"/>
      <c r="S467" s="33"/>
      <c r="T467" s="20"/>
      <c r="U467" s="33"/>
      <c r="V467" s="33"/>
      <c r="W467" s="43"/>
      <c r="X467" s="113"/>
      <c r="Y467" s="34"/>
      <c r="Z467" s="20"/>
      <c r="AA467" s="21"/>
      <c r="AB467" s="11"/>
      <c r="AD467" s="76"/>
      <c r="AE467" s="33"/>
      <c r="AF467" s="33"/>
      <c r="AG467" s="33"/>
      <c r="AH467" s="20"/>
      <c r="AI467" s="33"/>
      <c r="AJ467" s="33"/>
      <c r="AK467" s="43"/>
      <c r="AL467" s="113"/>
      <c r="AM467" s="34"/>
      <c r="AN467" s="20"/>
      <c r="AO467" s="21"/>
      <c r="AP467" s="11"/>
      <c r="AR467" s="76"/>
      <c r="AS467" s="33"/>
      <c r="AT467" s="33"/>
      <c r="AU467" s="33"/>
      <c r="AV467" s="20"/>
      <c r="AW467" s="33"/>
      <c r="AX467" s="33"/>
      <c r="AY467" s="43"/>
      <c r="AZ467" s="113"/>
      <c r="BA467" s="34"/>
      <c r="BB467" s="20"/>
      <c r="BC467" s="21"/>
      <c r="BD467" s="11"/>
    </row>
    <row r="468" spans="1:56" ht="15" customHeight="1" x14ac:dyDescent="0.2">
      <c r="A468" s="72"/>
      <c r="B468" s="8"/>
      <c r="C468" s="9"/>
      <c r="D468" s="9"/>
      <c r="E468" s="9"/>
      <c r="F468" s="9"/>
      <c r="G468" s="9"/>
      <c r="H468" s="9"/>
      <c r="I468" s="13"/>
      <c r="J468" s="113"/>
      <c r="K468" s="34"/>
      <c r="L468" s="9"/>
      <c r="M468" s="10"/>
      <c r="N468" s="11"/>
      <c r="P468" s="72"/>
      <c r="Q468" s="9"/>
      <c r="R468" s="9"/>
      <c r="S468" s="9"/>
      <c r="T468" s="9"/>
      <c r="U468" s="9"/>
      <c r="V468" s="9"/>
      <c r="W468" s="13"/>
      <c r="X468" s="113"/>
      <c r="Y468" s="34"/>
      <c r="Z468" s="9"/>
      <c r="AA468" s="10"/>
      <c r="AB468" s="11"/>
      <c r="AD468" s="72"/>
      <c r="AE468" s="9"/>
      <c r="AF468" s="9"/>
      <c r="AG468" s="9"/>
      <c r="AH468" s="9"/>
      <c r="AI468" s="9"/>
      <c r="AJ468" s="9"/>
      <c r="AK468" s="13"/>
      <c r="AL468" s="113"/>
      <c r="AM468" s="34"/>
      <c r="AN468" s="9"/>
      <c r="AO468" s="10"/>
      <c r="AP468" s="11"/>
      <c r="AR468" s="72"/>
      <c r="AS468" s="9"/>
      <c r="AT468" s="9"/>
      <c r="AU468" s="9"/>
      <c r="AV468" s="9"/>
      <c r="AW468" s="9"/>
      <c r="AX468" s="9"/>
      <c r="AY468" s="13"/>
      <c r="AZ468" s="113"/>
      <c r="BA468" s="34"/>
      <c r="BB468" s="9"/>
      <c r="BC468" s="10"/>
      <c r="BD468" s="11"/>
    </row>
    <row r="469" spans="1:56" ht="15" customHeight="1" x14ac:dyDescent="0.2">
      <c r="A469" s="72"/>
      <c r="B469" s="66"/>
      <c r="C469" s="23"/>
      <c r="D469" s="9"/>
      <c r="E469" s="9"/>
      <c r="F469" s="9"/>
      <c r="G469" s="23"/>
      <c r="H469" s="9"/>
      <c r="I469" s="30"/>
      <c r="J469" s="113"/>
      <c r="K469" s="34"/>
      <c r="L469" s="9"/>
      <c r="M469" s="10"/>
      <c r="N469" s="11"/>
      <c r="P469" s="72"/>
      <c r="Q469" s="23"/>
      <c r="R469" s="9"/>
      <c r="S469" s="9"/>
      <c r="T469" s="9"/>
      <c r="U469" s="23"/>
      <c r="V469" s="9"/>
      <c r="W469" s="30"/>
      <c r="X469" s="113"/>
      <c r="Y469" s="34"/>
      <c r="Z469" s="9"/>
      <c r="AA469" s="10"/>
      <c r="AB469" s="11"/>
      <c r="AD469" s="72"/>
      <c r="AE469" s="23"/>
      <c r="AF469" s="9"/>
      <c r="AG469" s="9"/>
      <c r="AH469" s="9"/>
      <c r="AI469" s="23"/>
      <c r="AJ469" s="9"/>
      <c r="AK469" s="30"/>
      <c r="AL469" s="113"/>
      <c r="AM469" s="34"/>
      <c r="AN469" s="9"/>
      <c r="AO469" s="10"/>
      <c r="AP469" s="11"/>
      <c r="AR469" s="72"/>
      <c r="AS469" s="23"/>
      <c r="AT469" s="9"/>
      <c r="AU469" s="9"/>
      <c r="AV469" s="9"/>
      <c r="AW469" s="23"/>
      <c r="AX469" s="9"/>
      <c r="AY469" s="30"/>
      <c r="AZ469" s="113"/>
      <c r="BA469" s="34"/>
      <c r="BB469" s="9"/>
      <c r="BC469" s="10"/>
      <c r="BD469" s="11"/>
    </row>
    <row r="470" spans="1:56" ht="15" customHeight="1" thickBot="1" x14ac:dyDescent="0.25">
      <c r="A470" s="75"/>
      <c r="B470" s="67"/>
      <c r="C470" s="17"/>
      <c r="D470" s="37"/>
      <c r="E470" s="17"/>
      <c r="F470" s="17"/>
      <c r="G470" s="17"/>
      <c r="H470" s="17"/>
      <c r="I470" s="29"/>
      <c r="J470" s="114"/>
      <c r="K470" s="37"/>
      <c r="L470" s="17"/>
      <c r="M470" s="18"/>
      <c r="N470" s="11"/>
      <c r="P470" s="75"/>
      <c r="Q470" s="17"/>
      <c r="R470" s="37"/>
      <c r="S470" s="17"/>
      <c r="T470" s="17"/>
      <c r="U470" s="17"/>
      <c r="V470" s="17"/>
      <c r="W470" s="29"/>
      <c r="X470" s="114"/>
      <c r="Y470" s="37"/>
      <c r="Z470" s="17"/>
      <c r="AA470" s="18"/>
      <c r="AB470" s="11"/>
      <c r="AD470" s="75"/>
      <c r="AE470" s="17"/>
      <c r="AF470" s="37"/>
      <c r="AG470" s="17"/>
      <c r="AH470" s="17"/>
      <c r="AI470" s="17"/>
      <c r="AJ470" s="17"/>
      <c r="AK470" s="29"/>
      <c r="AL470" s="114"/>
      <c r="AM470" s="37"/>
      <c r="AN470" s="17"/>
      <c r="AO470" s="18"/>
      <c r="AP470" s="11"/>
      <c r="AR470" s="75"/>
      <c r="AS470" s="17"/>
      <c r="AT470" s="37"/>
      <c r="AU470" s="17"/>
      <c r="AV470" s="17"/>
      <c r="AW470" s="17"/>
      <c r="AX470" s="17"/>
      <c r="AY470" s="29"/>
      <c r="AZ470" s="114"/>
      <c r="BA470" s="37"/>
      <c r="BB470" s="17"/>
      <c r="BC470" s="18"/>
      <c r="BD470" s="11"/>
    </row>
    <row r="471" spans="1:56" ht="15" customHeight="1" thickTop="1" x14ac:dyDescent="0.2">
      <c r="A471" s="71"/>
      <c r="B471" s="61"/>
      <c r="C471" s="33"/>
      <c r="D471" s="33"/>
      <c r="E471" s="33"/>
      <c r="F471" s="20"/>
      <c r="G471" s="33"/>
      <c r="H471" s="33"/>
      <c r="I471" s="43"/>
      <c r="J471" s="112"/>
      <c r="K471" s="40"/>
      <c r="L471" s="20"/>
      <c r="M471" s="21"/>
      <c r="N471" s="11"/>
      <c r="P471" s="76"/>
      <c r="Q471" s="33"/>
      <c r="R471" s="33"/>
      <c r="S471" s="33"/>
      <c r="T471" s="20"/>
      <c r="U471" s="33"/>
      <c r="V471" s="33"/>
      <c r="W471" s="43"/>
      <c r="X471" s="112"/>
      <c r="Y471" s="40"/>
      <c r="Z471" s="20"/>
      <c r="AA471" s="21"/>
      <c r="AB471" s="11"/>
      <c r="AD471" s="76"/>
      <c r="AE471" s="33"/>
      <c r="AF471" s="33"/>
      <c r="AG471" s="33"/>
      <c r="AH471" s="20"/>
      <c r="AI471" s="33"/>
      <c r="AJ471" s="33"/>
      <c r="AK471" s="43"/>
      <c r="AL471" s="112"/>
      <c r="AM471" s="40"/>
      <c r="AN471" s="20"/>
      <c r="AO471" s="21"/>
      <c r="AP471" s="11"/>
      <c r="AR471" s="76"/>
      <c r="AS471" s="33"/>
      <c r="AT471" s="33"/>
      <c r="AU471" s="33"/>
      <c r="AV471" s="20"/>
      <c r="AW471" s="33"/>
      <c r="AX471" s="33"/>
      <c r="AY471" s="43"/>
      <c r="AZ471" s="112"/>
      <c r="BA471" s="40"/>
      <c r="BB471" s="20"/>
      <c r="BC471" s="21"/>
      <c r="BD471" s="11"/>
    </row>
    <row r="472" spans="1:56" ht="15" customHeight="1" x14ac:dyDescent="0.2">
      <c r="A472" s="71"/>
      <c r="B472" s="61"/>
      <c r="C472" s="33"/>
      <c r="D472" s="9"/>
      <c r="E472" s="9"/>
      <c r="F472" s="9"/>
      <c r="G472" s="9"/>
      <c r="H472" s="9"/>
      <c r="I472" s="13"/>
      <c r="J472" s="113"/>
      <c r="K472" s="34"/>
      <c r="L472" s="9"/>
      <c r="M472" s="10"/>
      <c r="N472" s="11"/>
      <c r="P472" s="71"/>
      <c r="Q472" s="33"/>
      <c r="R472" s="9"/>
      <c r="S472" s="9"/>
      <c r="T472" s="9"/>
      <c r="U472" s="9"/>
      <c r="V472" s="9"/>
      <c r="W472" s="13"/>
      <c r="X472" s="113"/>
      <c r="Y472" s="34"/>
      <c r="Z472" s="9"/>
      <c r="AA472" s="10"/>
      <c r="AB472" s="11"/>
      <c r="AD472" s="71"/>
      <c r="AE472" s="33"/>
      <c r="AF472" s="9"/>
      <c r="AG472" s="9"/>
      <c r="AH472" s="9"/>
      <c r="AI472" s="9"/>
      <c r="AJ472" s="9"/>
      <c r="AK472" s="13"/>
      <c r="AL472" s="113"/>
      <c r="AM472" s="34"/>
      <c r="AN472" s="9"/>
      <c r="AO472" s="10"/>
      <c r="AP472" s="11"/>
      <c r="AR472" s="71"/>
      <c r="AS472" s="33"/>
      <c r="AT472" s="9"/>
      <c r="AU472" s="9"/>
      <c r="AV472" s="9"/>
      <c r="AW472" s="9"/>
      <c r="AX472" s="9"/>
      <c r="AY472" s="13"/>
      <c r="AZ472" s="113"/>
      <c r="BA472" s="34"/>
      <c r="BB472" s="9"/>
      <c r="BC472" s="10"/>
      <c r="BD472" s="11"/>
    </row>
    <row r="473" spans="1:56" ht="15" customHeight="1" x14ac:dyDescent="0.2">
      <c r="A473" s="72"/>
      <c r="B473" s="8"/>
      <c r="C473" s="38"/>
      <c r="D473" s="9"/>
      <c r="E473" s="9"/>
      <c r="F473" s="9"/>
      <c r="G473" s="9"/>
      <c r="H473" s="9"/>
      <c r="I473" s="13"/>
      <c r="J473" s="113"/>
      <c r="K473" s="9"/>
      <c r="L473" s="9"/>
      <c r="M473" s="10"/>
      <c r="N473" s="11"/>
      <c r="P473" s="72"/>
      <c r="Q473" s="38"/>
      <c r="R473" s="9"/>
      <c r="S473" s="9"/>
      <c r="T473" s="9"/>
      <c r="U473" s="9"/>
      <c r="V473" s="9"/>
      <c r="W473" s="13"/>
      <c r="X473" s="113"/>
      <c r="Y473" s="9"/>
      <c r="Z473" s="9"/>
      <c r="AA473" s="10"/>
      <c r="AB473" s="11"/>
      <c r="AD473" s="72"/>
      <c r="AE473" s="38"/>
      <c r="AF473" s="9"/>
      <c r="AG473" s="9"/>
      <c r="AH473" s="9"/>
      <c r="AI473" s="9"/>
      <c r="AJ473" s="9"/>
      <c r="AK473" s="13"/>
      <c r="AL473" s="113"/>
      <c r="AM473" s="9"/>
      <c r="AN473" s="9"/>
      <c r="AO473" s="10"/>
      <c r="AP473" s="11"/>
      <c r="AR473" s="72"/>
      <c r="AS473" s="38"/>
      <c r="AT473" s="9"/>
      <c r="AU473" s="9"/>
      <c r="AV473" s="9"/>
      <c r="AW473" s="9"/>
      <c r="AX473" s="9"/>
      <c r="AY473" s="13"/>
      <c r="AZ473" s="113"/>
      <c r="BA473" s="9"/>
      <c r="BB473" s="9"/>
      <c r="BC473" s="10"/>
      <c r="BD473" s="11"/>
    </row>
    <row r="474" spans="1:56" ht="15" customHeight="1" thickBot="1" x14ac:dyDescent="0.25">
      <c r="A474" s="75"/>
      <c r="B474" s="67"/>
      <c r="C474" s="36"/>
      <c r="D474" s="37" t="str">
        <f t="shared" si="513"/>
        <v/>
      </c>
      <c r="E474" s="17"/>
      <c r="F474" s="17" t="str">
        <f t="shared" ref="F474:F502" si="539">IF(E474="","",E474-E470)</f>
        <v/>
      </c>
      <c r="G474" s="17"/>
      <c r="H474" s="17" t="str">
        <f t="shared" si="515"/>
        <v/>
      </c>
      <c r="I474" s="29"/>
      <c r="J474" s="114" t="str">
        <f t="shared" si="531"/>
        <v/>
      </c>
      <c r="K474" s="37" t="str">
        <f t="shared" si="532"/>
        <v/>
      </c>
      <c r="L474" s="17" t="str">
        <f t="shared" si="516"/>
        <v/>
      </c>
      <c r="M474" s="18" t="str">
        <f t="shared" si="517"/>
        <v/>
      </c>
      <c r="N474" s="11"/>
      <c r="P474" s="75"/>
      <c r="Q474" s="36"/>
      <c r="R474" s="37" t="str">
        <f t="shared" si="518"/>
        <v/>
      </c>
      <c r="S474" s="17"/>
      <c r="T474" s="17" t="str">
        <f t="shared" si="519"/>
        <v/>
      </c>
      <c r="U474" s="17"/>
      <c r="V474" s="17" t="str">
        <f t="shared" si="520"/>
        <v/>
      </c>
      <c r="W474" s="29"/>
      <c r="X474" s="114" t="str">
        <f t="shared" si="529"/>
        <v/>
      </c>
      <c r="Y474" s="37" t="str">
        <f t="shared" si="530"/>
        <v/>
      </c>
      <c r="Z474" s="17" t="str">
        <f t="shared" si="511"/>
        <v/>
      </c>
      <c r="AA474" s="18" t="str">
        <f t="shared" si="512"/>
        <v/>
      </c>
      <c r="AB474" s="11"/>
      <c r="AD474" s="75"/>
      <c r="AE474" s="36"/>
      <c r="AF474" s="37" t="str">
        <f t="shared" si="533"/>
        <v/>
      </c>
      <c r="AG474" s="17"/>
      <c r="AH474" s="17" t="str">
        <f t="shared" si="534"/>
        <v/>
      </c>
      <c r="AI474" s="17"/>
      <c r="AJ474" s="17" t="str">
        <f t="shared" si="535"/>
        <v/>
      </c>
      <c r="AK474" s="29"/>
      <c r="AL474" s="114" t="str">
        <f t="shared" si="521"/>
        <v/>
      </c>
      <c r="AM474" s="37" t="str">
        <f t="shared" si="522"/>
        <v/>
      </c>
      <c r="AN474" s="17" t="str">
        <f t="shared" si="523"/>
        <v/>
      </c>
      <c r="AO474" s="18" t="str">
        <f t="shared" si="524"/>
        <v/>
      </c>
      <c r="AP474" s="11"/>
      <c r="AR474" s="75"/>
      <c r="AS474" s="36"/>
      <c r="AT474" s="37" t="str">
        <f t="shared" si="536"/>
        <v/>
      </c>
      <c r="AU474" s="17"/>
      <c r="AV474" s="17" t="str">
        <f t="shared" si="537"/>
        <v/>
      </c>
      <c r="AW474" s="17"/>
      <c r="AX474" s="17" t="str">
        <f t="shared" si="538"/>
        <v/>
      </c>
      <c r="AY474" s="29"/>
      <c r="AZ474" s="114" t="str">
        <f t="shared" si="525"/>
        <v/>
      </c>
      <c r="BA474" s="37" t="str">
        <f t="shared" si="526"/>
        <v/>
      </c>
      <c r="BB474" s="17" t="str">
        <f t="shared" si="527"/>
        <v/>
      </c>
      <c r="BC474" s="18" t="str">
        <f t="shared" si="528"/>
        <v/>
      </c>
      <c r="BD474" s="11"/>
    </row>
    <row r="475" spans="1:56" ht="15" customHeight="1" thickTop="1" x14ac:dyDescent="0.2">
      <c r="A475" s="71"/>
      <c r="B475" s="61">
        <f>SUM(D475:D478)+SUM(R475:R478)+SUM(AF475:AF478)+SUM(AT475:AT478)</f>
        <v>0</v>
      </c>
      <c r="C475" s="33"/>
      <c r="D475" s="33" t="str">
        <f t="shared" si="513"/>
        <v/>
      </c>
      <c r="E475" s="33"/>
      <c r="F475" s="20" t="str">
        <f t="shared" si="539"/>
        <v/>
      </c>
      <c r="G475" s="33"/>
      <c r="H475" s="33" t="str">
        <f t="shared" si="515"/>
        <v/>
      </c>
      <c r="I475" s="43"/>
      <c r="J475" s="112" t="str">
        <f t="shared" si="531"/>
        <v/>
      </c>
      <c r="K475" s="40" t="str">
        <f t="shared" si="532"/>
        <v/>
      </c>
      <c r="L475" s="20" t="str">
        <f t="shared" si="516"/>
        <v/>
      </c>
      <c r="M475" s="21" t="str">
        <f t="shared" si="517"/>
        <v/>
      </c>
      <c r="N475" s="11"/>
      <c r="P475" s="76" t="str">
        <f>IF($A$475="","",$A$475)</f>
        <v/>
      </c>
      <c r="Q475" s="33"/>
      <c r="R475" s="33" t="str">
        <f t="shared" si="518"/>
        <v/>
      </c>
      <c r="S475" s="33"/>
      <c r="T475" s="20" t="str">
        <f t="shared" si="519"/>
        <v/>
      </c>
      <c r="U475" s="33"/>
      <c r="V475" s="33" t="str">
        <f t="shared" si="520"/>
        <v/>
      </c>
      <c r="W475" s="43"/>
      <c r="X475" s="112" t="str">
        <f t="shared" si="529"/>
        <v/>
      </c>
      <c r="Y475" s="40" t="str">
        <f t="shared" si="530"/>
        <v/>
      </c>
      <c r="Z475" s="20" t="str">
        <f t="shared" si="511"/>
        <v/>
      </c>
      <c r="AA475" s="21" t="str">
        <f t="shared" si="512"/>
        <v/>
      </c>
      <c r="AB475" s="11"/>
      <c r="AD475" s="76" t="str">
        <f>IF($A$475="","",$A$475)</f>
        <v/>
      </c>
      <c r="AE475" s="33"/>
      <c r="AF475" s="33" t="str">
        <f t="shared" si="533"/>
        <v/>
      </c>
      <c r="AG475" s="33"/>
      <c r="AH475" s="20" t="str">
        <f t="shared" si="534"/>
        <v/>
      </c>
      <c r="AI475" s="33"/>
      <c r="AJ475" s="33" t="str">
        <f t="shared" si="535"/>
        <v/>
      </c>
      <c r="AK475" s="43"/>
      <c r="AL475" s="112" t="str">
        <f t="shared" si="521"/>
        <v/>
      </c>
      <c r="AM475" s="40" t="str">
        <f t="shared" si="522"/>
        <v/>
      </c>
      <c r="AN475" s="20" t="str">
        <f t="shared" si="523"/>
        <v/>
      </c>
      <c r="AO475" s="21" t="str">
        <f t="shared" si="524"/>
        <v/>
      </c>
      <c r="AP475" s="11"/>
      <c r="AR475" s="76" t="str">
        <f>IF($A$475="","",$A$475)</f>
        <v/>
      </c>
      <c r="AS475" s="33"/>
      <c r="AT475" s="33" t="str">
        <f t="shared" si="536"/>
        <v/>
      </c>
      <c r="AU475" s="33"/>
      <c r="AV475" s="20" t="str">
        <f t="shared" si="537"/>
        <v/>
      </c>
      <c r="AW475" s="33"/>
      <c r="AX475" s="33" t="str">
        <f t="shared" si="538"/>
        <v/>
      </c>
      <c r="AY475" s="43"/>
      <c r="AZ475" s="112" t="str">
        <f t="shared" si="525"/>
        <v/>
      </c>
      <c r="BA475" s="40" t="str">
        <f t="shared" si="526"/>
        <v/>
      </c>
      <c r="BB475" s="20" t="str">
        <f t="shared" si="527"/>
        <v/>
      </c>
      <c r="BC475" s="21" t="str">
        <f t="shared" si="528"/>
        <v/>
      </c>
      <c r="BD475" s="11"/>
    </row>
    <row r="476" spans="1:56" ht="15" customHeight="1" x14ac:dyDescent="0.2">
      <c r="A476" s="72"/>
      <c r="B476" s="61"/>
      <c r="C476" s="9"/>
      <c r="D476" s="9" t="str">
        <f t="shared" si="513"/>
        <v/>
      </c>
      <c r="E476" s="9"/>
      <c r="F476" s="9" t="str">
        <f t="shared" si="539"/>
        <v/>
      </c>
      <c r="G476" s="9"/>
      <c r="H476" s="9" t="str">
        <f t="shared" si="515"/>
        <v/>
      </c>
      <c r="I476" s="13"/>
      <c r="J476" s="113" t="str">
        <f t="shared" si="531"/>
        <v/>
      </c>
      <c r="K476" s="34" t="str">
        <f t="shared" si="532"/>
        <v/>
      </c>
      <c r="L476" s="9" t="str">
        <f t="shared" si="516"/>
        <v/>
      </c>
      <c r="M476" s="10" t="str">
        <f t="shared" si="517"/>
        <v/>
      </c>
      <c r="N476" s="11"/>
      <c r="P476" s="72"/>
      <c r="Q476" s="9"/>
      <c r="R476" s="9" t="str">
        <f t="shared" si="518"/>
        <v/>
      </c>
      <c r="S476" s="9"/>
      <c r="T476" s="9" t="str">
        <f t="shared" si="519"/>
        <v/>
      </c>
      <c r="U476" s="9"/>
      <c r="V476" s="9" t="str">
        <f t="shared" si="520"/>
        <v/>
      </c>
      <c r="W476" s="13"/>
      <c r="X476" s="113" t="str">
        <f t="shared" si="529"/>
        <v/>
      </c>
      <c r="Y476" s="34" t="str">
        <f t="shared" si="530"/>
        <v/>
      </c>
      <c r="Z476" s="9" t="str">
        <f t="shared" si="511"/>
        <v/>
      </c>
      <c r="AA476" s="10" t="str">
        <f t="shared" si="512"/>
        <v/>
      </c>
      <c r="AB476" s="11"/>
      <c r="AD476" s="72"/>
      <c r="AE476" s="9"/>
      <c r="AF476" s="9" t="str">
        <f t="shared" si="533"/>
        <v/>
      </c>
      <c r="AG476" s="9"/>
      <c r="AH476" s="9" t="str">
        <f t="shared" si="534"/>
        <v/>
      </c>
      <c r="AI476" s="9"/>
      <c r="AJ476" s="9" t="str">
        <f t="shared" si="535"/>
        <v/>
      </c>
      <c r="AK476" s="13"/>
      <c r="AL476" s="113" t="str">
        <f t="shared" si="521"/>
        <v/>
      </c>
      <c r="AM476" s="34" t="str">
        <f t="shared" si="522"/>
        <v/>
      </c>
      <c r="AN476" s="9" t="str">
        <f t="shared" si="523"/>
        <v/>
      </c>
      <c r="AO476" s="10" t="str">
        <f t="shared" si="524"/>
        <v/>
      </c>
      <c r="AP476" s="11"/>
      <c r="AR476" s="72"/>
      <c r="AS476" s="9"/>
      <c r="AT476" s="9" t="str">
        <f t="shared" si="536"/>
        <v/>
      </c>
      <c r="AU476" s="9"/>
      <c r="AV476" s="9" t="str">
        <f t="shared" si="537"/>
        <v/>
      </c>
      <c r="AW476" s="9"/>
      <c r="AX476" s="9" t="str">
        <f t="shared" si="538"/>
        <v/>
      </c>
      <c r="AY476" s="13"/>
      <c r="AZ476" s="113" t="str">
        <f t="shared" si="525"/>
        <v/>
      </c>
      <c r="BA476" s="34" t="str">
        <f t="shared" si="526"/>
        <v/>
      </c>
      <c r="BB476" s="9" t="str">
        <f t="shared" si="527"/>
        <v/>
      </c>
      <c r="BC476" s="10" t="str">
        <f t="shared" si="528"/>
        <v/>
      </c>
      <c r="BD476" s="11"/>
    </row>
    <row r="477" spans="1:56" ht="15" customHeight="1" x14ac:dyDescent="0.2">
      <c r="A477" s="72"/>
      <c r="B477" s="8"/>
      <c r="C477" s="23"/>
      <c r="D477" s="9" t="str">
        <f t="shared" si="513"/>
        <v/>
      </c>
      <c r="E477" s="9"/>
      <c r="F477" s="9" t="str">
        <f t="shared" si="539"/>
        <v/>
      </c>
      <c r="G477" s="23"/>
      <c r="H477" s="9" t="str">
        <f t="shared" si="515"/>
        <v/>
      </c>
      <c r="I477" s="30"/>
      <c r="J477" s="113" t="str">
        <f t="shared" si="531"/>
        <v/>
      </c>
      <c r="K477" s="9" t="str">
        <f t="shared" si="532"/>
        <v/>
      </c>
      <c r="L477" s="9" t="str">
        <f t="shared" si="516"/>
        <v/>
      </c>
      <c r="M477" s="10" t="str">
        <f t="shared" si="517"/>
        <v/>
      </c>
      <c r="N477" s="11"/>
      <c r="P477" s="72"/>
      <c r="Q477" s="23"/>
      <c r="R477" s="9" t="str">
        <f t="shared" si="518"/>
        <v/>
      </c>
      <c r="S477" s="9"/>
      <c r="T477" s="9" t="str">
        <f t="shared" si="519"/>
        <v/>
      </c>
      <c r="U477" s="23"/>
      <c r="V477" s="9" t="str">
        <f t="shared" si="520"/>
        <v/>
      </c>
      <c r="W477" s="30"/>
      <c r="X477" s="113" t="str">
        <f t="shared" si="529"/>
        <v/>
      </c>
      <c r="Y477" s="9" t="str">
        <f t="shared" si="530"/>
        <v/>
      </c>
      <c r="Z477" s="9" t="str">
        <f t="shared" si="511"/>
        <v/>
      </c>
      <c r="AA477" s="10" t="str">
        <f t="shared" si="512"/>
        <v/>
      </c>
      <c r="AB477" s="11"/>
      <c r="AD477" s="72"/>
      <c r="AE477" s="23"/>
      <c r="AF477" s="9" t="str">
        <f t="shared" si="533"/>
        <v/>
      </c>
      <c r="AG477" s="9"/>
      <c r="AH477" s="9" t="str">
        <f t="shared" si="534"/>
        <v/>
      </c>
      <c r="AI477" s="23"/>
      <c r="AJ477" s="9" t="str">
        <f t="shared" si="535"/>
        <v/>
      </c>
      <c r="AK477" s="30"/>
      <c r="AL477" s="113" t="str">
        <f t="shared" si="521"/>
        <v/>
      </c>
      <c r="AM477" s="9" t="str">
        <f t="shared" si="522"/>
        <v/>
      </c>
      <c r="AN477" s="9" t="str">
        <f t="shared" si="523"/>
        <v/>
      </c>
      <c r="AO477" s="10" t="str">
        <f t="shared" si="524"/>
        <v/>
      </c>
      <c r="AP477" s="11"/>
      <c r="AR477" s="72"/>
      <c r="AS477" s="23"/>
      <c r="AT477" s="9" t="str">
        <f t="shared" si="536"/>
        <v/>
      </c>
      <c r="AU477" s="9"/>
      <c r="AV477" s="9" t="str">
        <f t="shared" si="537"/>
        <v/>
      </c>
      <c r="AW477" s="23"/>
      <c r="AX477" s="9" t="str">
        <f t="shared" si="538"/>
        <v/>
      </c>
      <c r="AY477" s="30"/>
      <c r="AZ477" s="113" t="str">
        <f t="shared" si="525"/>
        <v/>
      </c>
      <c r="BA477" s="9" t="str">
        <f t="shared" si="526"/>
        <v/>
      </c>
      <c r="BB477" s="9" t="str">
        <f t="shared" si="527"/>
        <v/>
      </c>
      <c r="BC477" s="10" t="str">
        <f t="shared" si="528"/>
        <v/>
      </c>
      <c r="BD477" s="11"/>
    </row>
    <row r="478" spans="1:56" ht="15" customHeight="1" thickBot="1" x14ac:dyDescent="0.25">
      <c r="A478" s="75"/>
      <c r="B478" s="67"/>
      <c r="C478" s="17"/>
      <c r="D478" s="37" t="str">
        <f t="shared" si="513"/>
        <v/>
      </c>
      <c r="E478" s="17"/>
      <c r="F478" s="17" t="str">
        <f t="shared" si="539"/>
        <v/>
      </c>
      <c r="G478" s="17"/>
      <c r="H478" s="17" t="str">
        <f t="shared" si="515"/>
        <v/>
      </c>
      <c r="I478" s="29"/>
      <c r="J478" s="114" t="str">
        <f t="shared" si="531"/>
        <v/>
      </c>
      <c r="K478" s="37" t="str">
        <f t="shared" si="532"/>
        <v/>
      </c>
      <c r="L478" s="17" t="str">
        <f t="shared" si="516"/>
        <v/>
      </c>
      <c r="M478" s="18" t="str">
        <f t="shared" si="517"/>
        <v/>
      </c>
      <c r="N478" s="11"/>
      <c r="P478" s="75"/>
      <c r="Q478" s="17"/>
      <c r="R478" s="37" t="str">
        <f t="shared" si="518"/>
        <v/>
      </c>
      <c r="S478" s="17"/>
      <c r="T478" s="17" t="str">
        <f t="shared" si="519"/>
        <v/>
      </c>
      <c r="U478" s="17"/>
      <c r="V478" s="17" t="str">
        <f t="shared" si="520"/>
        <v/>
      </c>
      <c r="W478" s="29"/>
      <c r="X478" s="114" t="str">
        <f t="shared" si="529"/>
        <v/>
      </c>
      <c r="Y478" s="37" t="str">
        <f t="shared" si="530"/>
        <v/>
      </c>
      <c r="Z478" s="17" t="str">
        <f t="shared" si="511"/>
        <v/>
      </c>
      <c r="AA478" s="18" t="str">
        <f t="shared" si="512"/>
        <v/>
      </c>
      <c r="AB478" s="11"/>
      <c r="AD478" s="75"/>
      <c r="AE478" s="17"/>
      <c r="AF478" s="37" t="str">
        <f t="shared" si="533"/>
        <v/>
      </c>
      <c r="AG478" s="17"/>
      <c r="AH478" s="17" t="str">
        <f t="shared" si="534"/>
        <v/>
      </c>
      <c r="AI478" s="17"/>
      <c r="AJ478" s="17" t="str">
        <f>IF(AI478="","",AI474+AK474-AI478)</f>
        <v/>
      </c>
      <c r="AK478" s="29"/>
      <c r="AL478" s="114" t="str">
        <f t="shared" si="521"/>
        <v/>
      </c>
      <c r="AM478" s="37" t="str">
        <f t="shared" si="522"/>
        <v/>
      </c>
      <c r="AN478" s="17" t="str">
        <f t="shared" si="523"/>
        <v/>
      </c>
      <c r="AO478" s="18" t="str">
        <f t="shared" si="524"/>
        <v/>
      </c>
      <c r="AP478" s="11"/>
      <c r="AR478" s="75"/>
      <c r="AS478" s="17"/>
      <c r="AT478" s="37" t="str">
        <f t="shared" si="536"/>
        <v/>
      </c>
      <c r="AU478" s="17"/>
      <c r="AV478" s="17" t="str">
        <f t="shared" si="537"/>
        <v/>
      </c>
      <c r="AW478" s="17"/>
      <c r="AX478" s="17" t="str">
        <f t="shared" si="538"/>
        <v/>
      </c>
      <c r="AY478" s="29"/>
      <c r="AZ478" s="114" t="str">
        <f t="shared" si="525"/>
        <v/>
      </c>
      <c r="BA478" s="37" t="str">
        <f t="shared" si="526"/>
        <v/>
      </c>
      <c r="BB478" s="17" t="str">
        <f t="shared" si="527"/>
        <v/>
      </c>
      <c r="BC478" s="18" t="str">
        <f t="shared" si="528"/>
        <v/>
      </c>
      <c r="BD478" s="11"/>
    </row>
    <row r="479" spans="1:56" ht="15" customHeight="1" thickTop="1" x14ac:dyDescent="0.2">
      <c r="A479" s="71"/>
      <c r="B479" s="61">
        <f>SUM(D479:D482)+SUM(R479:R482)+SUM(AF479:AF482)+SUM(AT479:AT482)</f>
        <v>0</v>
      </c>
      <c r="C479" s="33"/>
      <c r="D479" s="33" t="str">
        <f t="shared" si="513"/>
        <v/>
      </c>
      <c r="E479" s="33"/>
      <c r="F479" s="20" t="str">
        <f t="shared" si="539"/>
        <v/>
      </c>
      <c r="G479" s="33"/>
      <c r="H479" s="33" t="str">
        <f t="shared" si="515"/>
        <v/>
      </c>
      <c r="I479" s="43"/>
      <c r="J479" s="112" t="str">
        <f t="shared" si="531"/>
        <v/>
      </c>
      <c r="K479" s="40" t="str">
        <f t="shared" si="532"/>
        <v/>
      </c>
      <c r="L479" s="20" t="str">
        <f t="shared" si="516"/>
        <v/>
      </c>
      <c r="M479" s="21" t="str">
        <f t="shared" si="517"/>
        <v/>
      </c>
      <c r="N479" s="11"/>
      <c r="P479" s="76" t="str">
        <f>IF($A$479="","",$A$479)</f>
        <v/>
      </c>
      <c r="Q479" s="33"/>
      <c r="R479" s="33" t="str">
        <f t="shared" si="518"/>
        <v/>
      </c>
      <c r="S479" s="33"/>
      <c r="T479" s="20" t="str">
        <f t="shared" si="519"/>
        <v/>
      </c>
      <c r="U479" s="33"/>
      <c r="V479" s="33" t="str">
        <f t="shared" si="520"/>
        <v/>
      </c>
      <c r="W479" s="43"/>
      <c r="X479" s="112" t="str">
        <f t="shared" si="529"/>
        <v/>
      </c>
      <c r="Y479" s="40" t="str">
        <f t="shared" si="530"/>
        <v/>
      </c>
      <c r="Z479" s="20" t="str">
        <f t="shared" si="511"/>
        <v/>
      </c>
      <c r="AA479" s="21" t="str">
        <f t="shared" si="512"/>
        <v/>
      </c>
      <c r="AB479" s="11"/>
      <c r="AD479" s="76" t="str">
        <f>IF($A$479="","",$A$479)</f>
        <v/>
      </c>
      <c r="AE479" s="33"/>
      <c r="AF479" s="33" t="str">
        <f t="shared" si="533"/>
        <v/>
      </c>
      <c r="AG479" s="33"/>
      <c r="AH479" s="20" t="str">
        <f t="shared" si="534"/>
        <v/>
      </c>
      <c r="AI479" s="33"/>
      <c r="AJ479" s="33" t="str">
        <f t="shared" si="535"/>
        <v/>
      </c>
      <c r="AK479" s="43"/>
      <c r="AL479" s="112" t="str">
        <f t="shared" si="521"/>
        <v/>
      </c>
      <c r="AM479" s="40" t="str">
        <f t="shared" si="522"/>
        <v/>
      </c>
      <c r="AN479" s="20" t="str">
        <f t="shared" si="523"/>
        <v/>
      </c>
      <c r="AO479" s="21" t="str">
        <f t="shared" si="524"/>
        <v/>
      </c>
      <c r="AP479" s="11"/>
      <c r="AR479" s="76" t="str">
        <f>IF($A$479="","",$A$479)</f>
        <v/>
      </c>
      <c r="AS479" s="33"/>
      <c r="AT479" s="33" t="str">
        <f t="shared" si="536"/>
        <v/>
      </c>
      <c r="AU479" s="33"/>
      <c r="AV479" s="20" t="str">
        <f t="shared" si="537"/>
        <v/>
      </c>
      <c r="AW479" s="33"/>
      <c r="AX479" s="33" t="str">
        <f t="shared" si="538"/>
        <v/>
      </c>
      <c r="AY479" s="43"/>
      <c r="AZ479" s="112" t="str">
        <f t="shared" si="525"/>
        <v/>
      </c>
      <c r="BA479" s="40" t="str">
        <f t="shared" si="526"/>
        <v/>
      </c>
      <c r="BB479" s="20" t="str">
        <f t="shared" si="527"/>
        <v/>
      </c>
      <c r="BC479" s="21" t="str">
        <f t="shared" si="528"/>
        <v/>
      </c>
      <c r="BD479" s="11"/>
    </row>
    <row r="480" spans="1:56" ht="15" customHeight="1" x14ac:dyDescent="0.2">
      <c r="A480" s="72"/>
      <c r="B480" s="61"/>
      <c r="C480" s="33"/>
      <c r="D480" s="9" t="str">
        <f t="shared" si="513"/>
        <v/>
      </c>
      <c r="E480" s="9"/>
      <c r="F480" s="9" t="str">
        <f t="shared" si="539"/>
        <v/>
      </c>
      <c r="G480" s="9"/>
      <c r="H480" s="9" t="str">
        <f t="shared" si="515"/>
        <v/>
      </c>
      <c r="I480" s="13"/>
      <c r="J480" s="113" t="str">
        <f t="shared" si="531"/>
        <v/>
      </c>
      <c r="K480" s="34" t="str">
        <f t="shared" si="532"/>
        <v/>
      </c>
      <c r="L480" s="9" t="str">
        <f t="shared" si="516"/>
        <v/>
      </c>
      <c r="M480" s="10" t="str">
        <f t="shared" si="517"/>
        <v/>
      </c>
      <c r="N480" s="11"/>
      <c r="P480" s="72"/>
      <c r="Q480" s="33"/>
      <c r="R480" s="9" t="str">
        <f t="shared" si="518"/>
        <v/>
      </c>
      <c r="S480" s="9"/>
      <c r="T480" s="9" t="str">
        <f t="shared" si="519"/>
        <v/>
      </c>
      <c r="U480" s="9"/>
      <c r="V480" s="9" t="str">
        <f t="shared" si="520"/>
        <v/>
      </c>
      <c r="W480" s="13"/>
      <c r="X480" s="113" t="str">
        <f t="shared" si="529"/>
        <v/>
      </c>
      <c r="Y480" s="34" t="str">
        <f t="shared" si="530"/>
        <v/>
      </c>
      <c r="Z480" s="9" t="str">
        <f t="shared" si="511"/>
        <v/>
      </c>
      <c r="AA480" s="10" t="str">
        <f t="shared" si="512"/>
        <v/>
      </c>
      <c r="AB480" s="11"/>
      <c r="AD480" s="72"/>
      <c r="AE480" s="33"/>
      <c r="AF480" s="9" t="str">
        <f t="shared" si="533"/>
        <v/>
      </c>
      <c r="AG480" s="9"/>
      <c r="AH480" s="9" t="str">
        <f t="shared" si="534"/>
        <v/>
      </c>
      <c r="AI480" s="9"/>
      <c r="AJ480" s="9" t="str">
        <f t="shared" si="535"/>
        <v/>
      </c>
      <c r="AK480" s="13"/>
      <c r="AL480" s="113" t="str">
        <f t="shared" si="521"/>
        <v/>
      </c>
      <c r="AM480" s="34" t="str">
        <f t="shared" si="522"/>
        <v/>
      </c>
      <c r="AN480" s="9" t="str">
        <f t="shared" si="523"/>
        <v/>
      </c>
      <c r="AO480" s="10" t="str">
        <f t="shared" si="524"/>
        <v/>
      </c>
      <c r="AP480" s="11"/>
      <c r="AR480" s="72"/>
      <c r="AS480" s="33"/>
      <c r="AT480" s="9" t="str">
        <f t="shared" si="536"/>
        <v/>
      </c>
      <c r="AU480" s="9"/>
      <c r="AV480" s="9" t="str">
        <f t="shared" si="537"/>
        <v/>
      </c>
      <c r="AW480" s="9"/>
      <c r="AX480" s="9" t="str">
        <f t="shared" si="538"/>
        <v/>
      </c>
      <c r="AY480" s="13"/>
      <c r="AZ480" s="113" t="str">
        <f t="shared" si="525"/>
        <v/>
      </c>
      <c r="BA480" s="34" t="str">
        <f t="shared" si="526"/>
        <v/>
      </c>
      <c r="BB480" s="9" t="str">
        <f t="shared" si="527"/>
        <v/>
      </c>
      <c r="BC480" s="10" t="str">
        <f t="shared" si="528"/>
        <v/>
      </c>
      <c r="BD480" s="11"/>
    </row>
    <row r="481" spans="1:56" ht="15" customHeight="1" x14ac:dyDescent="0.2">
      <c r="A481" s="72"/>
      <c r="B481" s="8"/>
      <c r="C481" s="38"/>
      <c r="D481" s="9" t="str">
        <f t="shared" si="513"/>
        <v/>
      </c>
      <c r="E481" s="9"/>
      <c r="F481" s="9" t="str">
        <f t="shared" si="539"/>
        <v/>
      </c>
      <c r="G481" s="9"/>
      <c r="H481" s="9" t="str">
        <f t="shared" si="515"/>
        <v/>
      </c>
      <c r="I481" s="13"/>
      <c r="J481" s="113" t="str">
        <f t="shared" si="531"/>
        <v/>
      </c>
      <c r="K481" s="9" t="str">
        <f t="shared" si="532"/>
        <v/>
      </c>
      <c r="L481" s="9" t="str">
        <f t="shared" si="516"/>
        <v/>
      </c>
      <c r="M481" s="10" t="str">
        <f t="shared" si="517"/>
        <v/>
      </c>
      <c r="N481" s="11"/>
      <c r="P481" s="72"/>
      <c r="Q481" s="38"/>
      <c r="R481" s="9" t="str">
        <f t="shared" si="518"/>
        <v/>
      </c>
      <c r="S481" s="9"/>
      <c r="T481" s="9" t="str">
        <f t="shared" si="519"/>
        <v/>
      </c>
      <c r="U481" s="9"/>
      <c r="V481" s="9" t="str">
        <f t="shared" si="520"/>
        <v/>
      </c>
      <c r="W481" s="13"/>
      <c r="X481" s="113" t="str">
        <f t="shared" si="529"/>
        <v/>
      </c>
      <c r="Y481" s="9" t="str">
        <f t="shared" si="530"/>
        <v/>
      </c>
      <c r="Z481" s="9" t="str">
        <f t="shared" si="511"/>
        <v/>
      </c>
      <c r="AA481" s="10" t="str">
        <f t="shared" si="512"/>
        <v/>
      </c>
      <c r="AB481" s="11"/>
      <c r="AD481" s="72"/>
      <c r="AE481" s="38"/>
      <c r="AF481" s="9" t="str">
        <f t="shared" si="533"/>
        <v/>
      </c>
      <c r="AG481" s="9"/>
      <c r="AH481" s="9" t="str">
        <f t="shared" si="534"/>
        <v/>
      </c>
      <c r="AI481" s="9"/>
      <c r="AJ481" s="9" t="str">
        <f t="shared" si="535"/>
        <v/>
      </c>
      <c r="AK481" s="13"/>
      <c r="AL481" s="113" t="str">
        <f t="shared" si="521"/>
        <v/>
      </c>
      <c r="AM481" s="9" t="str">
        <f t="shared" si="522"/>
        <v/>
      </c>
      <c r="AN481" s="9" t="str">
        <f t="shared" si="523"/>
        <v/>
      </c>
      <c r="AO481" s="10" t="str">
        <f t="shared" si="524"/>
        <v/>
      </c>
      <c r="AP481" s="11"/>
      <c r="AR481" s="72"/>
      <c r="AS481" s="38"/>
      <c r="AT481" s="9" t="str">
        <f t="shared" si="536"/>
        <v/>
      </c>
      <c r="AU481" s="9"/>
      <c r="AV481" s="9" t="str">
        <f t="shared" si="537"/>
        <v/>
      </c>
      <c r="AW481" s="9"/>
      <c r="AX481" s="9" t="str">
        <f t="shared" si="538"/>
        <v/>
      </c>
      <c r="AY481" s="13"/>
      <c r="AZ481" s="113" t="str">
        <f t="shared" si="525"/>
        <v/>
      </c>
      <c r="BA481" s="9" t="str">
        <f t="shared" si="526"/>
        <v/>
      </c>
      <c r="BB481" s="9" t="str">
        <f t="shared" si="527"/>
        <v/>
      </c>
      <c r="BC481" s="10" t="str">
        <f t="shared" si="528"/>
        <v/>
      </c>
      <c r="BD481" s="11"/>
    </row>
    <row r="482" spans="1:56" ht="15" customHeight="1" thickBot="1" x14ac:dyDescent="0.25">
      <c r="A482" s="75"/>
      <c r="B482" s="67"/>
      <c r="C482" s="36"/>
      <c r="D482" s="37" t="str">
        <f t="shared" si="513"/>
        <v/>
      </c>
      <c r="E482" s="17"/>
      <c r="F482" s="17" t="str">
        <f t="shared" si="539"/>
        <v/>
      </c>
      <c r="G482" s="17"/>
      <c r="H482" s="17" t="str">
        <f t="shared" si="515"/>
        <v/>
      </c>
      <c r="I482" s="29"/>
      <c r="J482" s="114" t="str">
        <f t="shared" si="531"/>
        <v/>
      </c>
      <c r="K482" s="37" t="str">
        <f t="shared" si="532"/>
        <v/>
      </c>
      <c r="L482" s="17" t="str">
        <f t="shared" si="516"/>
        <v/>
      </c>
      <c r="M482" s="18" t="str">
        <f t="shared" si="517"/>
        <v/>
      </c>
      <c r="N482" s="11"/>
      <c r="P482" s="75"/>
      <c r="Q482" s="36"/>
      <c r="R482" s="37" t="str">
        <f t="shared" si="518"/>
        <v/>
      </c>
      <c r="S482" s="17"/>
      <c r="T482" s="17" t="str">
        <f t="shared" si="519"/>
        <v/>
      </c>
      <c r="U482" s="17"/>
      <c r="V482" s="17" t="str">
        <f t="shared" si="520"/>
        <v/>
      </c>
      <c r="W482" s="29"/>
      <c r="X482" s="114" t="str">
        <f t="shared" si="529"/>
        <v/>
      </c>
      <c r="Y482" s="37" t="str">
        <f t="shared" si="530"/>
        <v/>
      </c>
      <c r="Z482" s="17" t="str">
        <f t="shared" ref="Z482:Z502" si="540">IF(U482="","",V482*Y482)</f>
        <v/>
      </c>
      <c r="AA482" s="18" t="str">
        <f t="shared" ref="AA482:AA502" si="541">IF(V482="","",Z482/(R482*100))</f>
        <v/>
      </c>
      <c r="AB482" s="11"/>
      <c r="AD482" s="75"/>
      <c r="AE482" s="36"/>
      <c r="AF482" s="37" t="str">
        <f t="shared" si="533"/>
        <v/>
      </c>
      <c r="AG482" s="17"/>
      <c r="AH482" s="17" t="str">
        <f t="shared" si="534"/>
        <v/>
      </c>
      <c r="AI482" s="17"/>
      <c r="AJ482" s="17" t="str">
        <f t="shared" si="535"/>
        <v/>
      </c>
      <c r="AK482" s="29"/>
      <c r="AL482" s="114" t="str">
        <f t="shared" si="521"/>
        <v/>
      </c>
      <c r="AM482" s="37" t="str">
        <f t="shared" si="522"/>
        <v/>
      </c>
      <c r="AN482" s="17" t="str">
        <f t="shared" si="523"/>
        <v/>
      </c>
      <c r="AO482" s="18" t="str">
        <f t="shared" si="524"/>
        <v/>
      </c>
      <c r="AP482" s="11"/>
      <c r="AR482" s="75"/>
      <c r="AS482" s="36"/>
      <c r="AT482" s="37" t="str">
        <f t="shared" si="536"/>
        <v/>
      </c>
      <c r="AU482" s="17"/>
      <c r="AV482" s="17" t="str">
        <f t="shared" si="537"/>
        <v/>
      </c>
      <c r="AW482" s="17"/>
      <c r="AX482" s="17" t="str">
        <f t="shared" si="538"/>
        <v/>
      </c>
      <c r="AY482" s="29"/>
      <c r="AZ482" s="114" t="str">
        <f t="shared" si="525"/>
        <v/>
      </c>
      <c r="BA482" s="37" t="str">
        <f t="shared" si="526"/>
        <v/>
      </c>
      <c r="BB482" s="17" t="str">
        <f t="shared" si="527"/>
        <v/>
      </c>
      <c r="BC482" s="18" t="str">
        <f t="shared" si="528"/>
        <v/>
      </c>
      <c r="BD482" s="11"/>
    </row>
    <row r="483" spans="1:56" ht="15" customHeight="1" thickTop="1" x14ac:dyDescent="0.2">
      <c r="A483" s="71"/>
      <c r="B483" s="61">
        <f>SUM(D483:D486)+SUM(R483:R486)+SUM(AF483:AF486)+SUM(AT483:AT486)</f>
        <v>0</v>
      </c>
      <c r="C483" s="33"/>
      <c r="D483" s="33" t="str">
        <f t="shared" ref="D483:D502" si="542">IF(C483="","",C483-C479)</f>
        <v/>
      </c>
      <c r="E483" s="33"/>
      <c r="F483" s="20" t="str">
        <f t="shared" si="539"/>
        <v/>
      </c>
      <c r="G483" s="33"/>
      <c r="H483" s="33" t="str">
        <f t="shared" si="515"/>
        <v/>
      </c>
      <c r="I483" s="43"/>
      <c r="J483" s="112" t="str">
        <f t="shared" si="531"/>
        <v/>
      </c>
      <c r="K483" s="40" t="str">
        <f t="shared" si="532"/>
        <v/>
      </c>
      <c r="L483" s="20" t="str">
        <f t="shared" ref="L483:L502" si="543">IF(G483="","",H483*K483)</f>
        <v/>
      </c>
      <c r="M483" s="21" t="str">
        <f t="shared" ref="M483:M502" si="544">IF(H483="","",L483/(D483*100))</f>
        <v/>
      </c>
      <c r="N483" s="11"/>
      <c r="P483" s="76" t="str">
        <f>IF($A$483="","",$A$483)</f>
        <v/>
      </c>
      <c r="Q483" s="33"/>
      <c r="R483" s="33" t="str">
        <f t="shared" ref="R483:R502" si="545">IF(Q483="","",Q483-Q479)</f>
        <v/>
      </c>
      <c r="S483" s="33"/>
      <c r="T483" s="20" t="str">
        <f t="shared" ref="T483:T502" si="546">IF(S483="","",S483-S479)</f>
        <v/>
      </c>
      <c r="U483" s="33"/>
      <c r="V483" s="33" t="str">
        <f t="shared" ref="V483:V502" si="547">IF(U483="","",U479+W479-U483)</f>
        <v/>
      </c>
      <c r="W483" s="43"/>
      <c r="X483" s="112" t="str">
        <f t="shared" si="529"/>
        <v/>
      </c>
      <c r="Y483" s="40" t="str">
        <f t="shared" si="530"/>
        <v/>
      </c>
      <c r="Z483" s="20" t="str">
        <f t="shared" si="540"/>
        <v/>
      </c>
      <c r="AA483" s="21" t="str">
        <f t="shared" si="541"/>
        <v/>
      </c>
      <c r="AB483" s="11"/>
      <c r="AD483" s="76" t="str">
        <f>IF($A$483="","",$A$483)</f>
        <v/>
      </c>
      <c r="AE483" s="33"/>
      <c r="AF483" s="33" t="str">
        <f t="shared" si="533"/>
        <v/>
      </c>
      <c r="AG483" s="33"/>
      <c r="AH483" s="20" t="str">
        <f t="shared" si="534"/>
        <v/>
      </c>
      <c r="AI483" s="33"/>
      <c r="AJ483" s="33" t="str">
        <f t="shared" si="535"/>
        <v/>
      </c>
      <c r="AK483" s="43"/>
      <c r="AL483" s="112" t="str">
        <f t="shared" ref="AL483:AL502" si="548">IF(AE483="","",AL479)</f>
        <v/>
      </c>
      <c r="AM483" s="40" t="str">
        <f t="shared" ref="AM483:AM502" si="549">IF(AF483="","",AM479)</f>
        <v/>
      </c>
      <c r="AN483" s="20" t="str">
        <f t="shared" ref="AN483:AN502" si="550">IF(AI483="","",AJ483*AM483)</f>
        <v/>
      </c>
      <c r="AO483" s="21" t="str">
        <f t="shared" ref="AO483:AO502" si="551">IF(AJ483="","",AN483/(AF483*100))</f>
        <v/>
      </c>
      <c r="AP483" s="11"/>
      <c r="AR483" s="76" t="str">
        <f>IF($A$483="","",$A$483)</f>
        <v/>
      </c>
      <c r="AS483" s="33"/>
      <c r="AT483" s="33" t="str">
        <f t="shared" si="536"/>
        <v/>
      </c>
      <c r="AU483" s="33"/>
      <c r="AV483" s="20" t="str">
        <f t="shared" si="537"/>
        <v/>
      </c>
      <c r="AW483" s="33"/>
      <c r="AX483" s="33" t="str">
        <f t="shared" si="538"/>
        <v/>
      </c>
      <c r="AY483" s="43"/>
      <c r="AZ483" s="112" t="str">
        <f t="shared" ref="AZ483:AZ502" si="552">IF(AS483="","",AZ479)</f>
        <v/>
      </c>
      <c r="BA483" s="40" t="str">
        <f t="shared" ref="BA483:BA502" si="553">IF(AT483="","",BA479)</f>
        <v/>
      </c>
      <c r="BB483" s="20" t="str">
        <f t="shared" ref="BB483:BB502" si="554">IF(AW483="","",AX483*BA483)</f>
        <v/>
      </c>
      <c r="BC483" s="21" t="str">
        <f t="shared" ref="BC483:BC502" si="555">IF(AX483="","",BB483/(AT483*100))</f>
        <v/>
      </c>
      <c r="BD483" s="11"/>
    </row>
    <row r="484" spans="1:56" ht="15" customHeight="1" x14ac:dyDescent="0.2">
      <c r="A484" s="72"/>
      <c r="B484" s="8"/>
      <c r="C484" s="9"/>
      <c r="D484" s="9" t="str">
        <f t="shared" si="542"/>
        <v/>
      </c>
      <c r="E484" s="9"/>
      <c r="F484" s="9" t="str">
        <f t="shared" si="539"/>
        <v/>
      </c>
      <c r="G484" s="9"/>
      <c r="H484" s="9" t="str">
        <f t="shared" si="515"/>
        <v/>
      </c>
      <c r="I484" s="13"/>
      <c r="J484" s="113" t="str">
        <f t="shared" si="531"/>
        <v/>
      </c>
      <c r="K484" s="34" t="str">
        <f t="shared" si="532"/>
        <v/>
      </c>
      <c r="L484" s="9" t="str">
        <f t="shared" si="543"/>
        <v/>
      </c>
      <c r="M484" s="10" t="str">
        <f t="shared" si="544"/>
        <v/>
      </c>
      <c r="N484" s="11"/>
      <c r="P484" s="72"/>
      <c r="Q484" s="9"/>
      <c r="R484" s="9" t="str">
        <f t="shared" si="545"/>
        <v/>
      </c>
      <c r="S484" s="9"/>
      <c r="T484" s="9" t="str">
        <f t="shared" si="546"/>
        <v/>
      </c>
      <c r="U484" s="9"/>
      <c r="V484" s="9" t="str">
        <f t="shared" si="547"/>
        <v/>
      </c>
      <c r="W484" s="13"/>
      <c r="X484" s="113" t="str">
        <f t="shared" si="529"/>
        <v/>
      </c>
      <c r="Y484" s="34" t="str">
        <f t="shared" si="530"/>
        <v/>
      </c>
      <c r="Z484" s="9" t="str">
        <f t="shared" si="540"/>
        <v/>
      </c>
      <c r="AA484" s="10" t="str">
        <f t="shared" si="541"/>
        <v/>
      </c>
      <c r="AB484" s="11"/>
      <c r="AD484" s="72"/>
      <c r="AE484" s="9"/>
      <c r="AF484" s="9" t="str">
        <f t="shared" si="533"/>
        <v/>
      </c>
      <c r="AG484" s="9"/>
      <c r="AH484" s="9" t="str">
        <f t="shared" si="534"/>
        <v/>
      </c>
      <c r="AI484" s="9"/>
      <c r="AJ484" s="9" t="str">
        <f t="shared" si="535"/>
        <v/>
      </c>
      <c r="AK484" s="13"/>
      <c r="AL484" s="113" t="str">
        <f t="shared" si="548"/>
        <v/>
      </c>
      <c r="AM484" s="34" t="str">
        <f t="shared" si="549"/>
        <v/>
      </c>
      <c r="AN484" s="9" t="str">
        <f t="shared" si="550"/>
        <v/>
      </c>
      <c r="AO484" s="10" t="str">
        <f t="shared" si="551"/>
        <v/>
      </c>
      <c r="AP484" s="11"/>
      <c r="AR484" s="72"/>
      <c r="AS484" s="9"/>
      <c r="AT484" s="9" t="str">
        <f t="shared" si="536"/>
        <v/>
      </c>
      <c r="AU484" s="9"/>
      <c r="AV484" s="9" t="str">
        <f t="shared" si="537"/>
        <v/>
      </c>
      <c r="AW484" s="9"/>
      <c r="AX484" s="9" t="str">
        <f t="shared" si="538"/>
        <v/>
      </c>
      <c r="AY484" s="13"/>
      <c r="AZ484" s="113" t="str">
        <f t="shared" si="552"/>
        <v/>
      </c>
      <c r="BA484" s="34" t="str">
        <f t="shared" si="553"/>
        <v/>
      </c>
      <c r="BB484" s="9" t="str">
        <f t="shared" si="554"/>
        <v/>
      </c>
      <c r="BC484" s="10" t="str">
        <f t="shared" si="555"/>
        <v/>
      </c>
      <c r="BD484" s="11"/>
    </row>
    <row r="485" spans="1:56" ht="15" customHeight="1" x14ac:dyDescent="0.2">
      <c r="A485" s="72"/>
      <c r="B485" s="8"/>
      <c r="C485" s="23"/>
      <c r="D485" s="9" t="str">
        <f t="shared" si="542"/>
        <v/>
      </c>
      <c r="E485" s="9"/>
      <c r="F485" s="9" t="str">
        <f t="shared" si="539"/>
        <v/>
      </c>
      <c r="G485" s="23"/>
      <c r="H485" s="9" t="str">
        <f t="shared" si="515"/>
        <v/>
      </c>
      <c r="I485" s="30"/>
      <c r="J485" s="113" t="str">
        <f t="shared" si="531"/>
        <v/>
      </c>
      <c r="K485" s="9" t="str">
        <f t="shared" si="532"/>
        <v/>
      </c>
      <c r="L485" s="9" t="str">
        <f t="shared" si="543"/>
        <v/>
      </c>
      <c r="M485" s="10" t="str">
        <f t="shared" si="544"/>
        <v/>
      </c>
      <c r="N485" s="11"/>
      <c r="P485" s="72"/>
      <c r="Q485" s="23"/>
      <c r="R485" s="9" t="str">
        <f t="shared" si="545"/>
        <v/>
      </c>
      <c r="S485" s="9"/>
      <c r="T485" s="9" t="str">
        <f t="shared" si="546"/>
        <v/>
      </c>
      <c r="U485" s="23"/>
      <c r="V485" s="9" t="str">
        <f t="shared" si="547"/>
        <v/>
      </c>
      <c r="W485" s="30"/>
      <c r="X485" s="113" t="str">
        <f t="shared" ref="X485:X502" si="556">IF(Q485="","",X481)</f>
        <v/>
      </c>
      <c r="Y485" s="9" t="str">
        <f t="shared" ref="Y485:Y502" si="557">IF(R485="","",Y481)</f>
        <v/>
      </c>
      <c r="Z485" s="9" t="str">
        <f t="shared" si="540"/>
        <v/>
      </c>
      <c r="AA485" s="10" t="str">
        <f t="shared" si="541"/>
        <v/>
      </c>
      <c r="AB485" s="11"/>
      <c r="AD485" s="72"/>
      <c r="AE485" s="23"/>
      <c r="AF485" s="9" t="str">
        <f t="shared" si="533"/>
        <v/>
      </c>
      <c r="AG485" s="9"/>
      <c r="AH485" s="9" t="str">
        <f t="shared" si="534"/>
        <v/>
      </c>
      <c r="AI485" s="23"/>
      <c r="AJ485" s="9" t="str">
        <f t="shared" si="535"/>
        <v/>
      </c>
      <c r="AK485" s="30"/>
      <c r="AL485" s="113" t="str">
        <f t="shared" si="548"/>
        <v/>
      </c>
      <c r="AM485" s="9" t="str">
        <f t="shared" si="549"/>
        <v/>
      </c>
      <c r="AN485" s="9" t="str">
        <f t="shared" si="550"/>
        <v/>
      </c>
      <c r="AO485" s="10" t="str">
        <f t="shared" si="551"/>
        <v/>
      </c>
      <c r="AP485" s="11"/>
      <c r="AR485" s="72"/>
      <c r="AS485" s="23"/>
      <c r="AT485" s="9" t="str">
        <f t="shared" si="536"/>
        <v/>
      </c>
      <c r="AU485" s="9"/>
      <c r="AV485" s="9" t="str">
        <f t="shared" si="537"/>
        <v/>
      </c>
      <c r="AW485" s="23"/>
      <c r="AX485" s="9" t="str">
        <f t="shared" si="538"/>
        <v/>
      </c>
      <c r="AY485" s="30"/>
      <c r="AZ485" s="113" t="str">
        <f t="shared" si="552"/>
        <v/>
      </c>
      <c r="BA485" s="9" t="str">
        <f t="shared" si="553"/>
        <v/>
      </c>
      <c r="BB485" s="9" t="str">
        <f t="shared" si="554"/>
        <v/>
      </c>
      <c r="BC485" s="10" t="str">
        <f t="shared" si="555"/>
        <v/>
      </c>
      <c r="BD485" s="11"/>
    </row>
    <row r="486" spans="1:56" ht="15" customHeight="1" thickBot="1" x14ac:dyDescent="0.25">
      <c r="A486" s="75"/>
      <c r="B486" s="62"/>
      <c r="C486" s="17"/>
      <c r="D486" s="37" t="str">
        <f t="shared" si="542"/>
        <v/>
      </c>
      <c r="E486" s="17"/>
      <c r="F486" s="17" t="str">
        <f t="shared" si="539"/>
        <v/>
      </c>
      <c r="G486" s="17"/>
      <c r="H486" s="17" t="str">
        <f t="shared" si="515"/>
        <v/>
      </c>
      <c r="I486" s="29"/>
      <c r="J486" s="114" t="str">
        <f t="shared" si="531"/>
        <v/>
      </c>
      <c r="K486" s="37" t="str">
        <f t="shared" si="532"/>
        <v/>
      </c>
      <c r="L486" s="17" t="str">
        <f t="shared" si="543"/>
        <v/>
      </c>
      <c r="M486" s="18" t="str">
        <f t="shared" si="544"/>
        <v/>
      </c>
      <c r="N486" s="11"/>
      <c r="P486" s="75"/>
      <c r="Q486" s="17"/>
      <c r="R486" s="37" t="str">
        <f t="shared" si="545"/>
        <v/>
      </c>
      <c r="S486" s="17"/>
      <c r="T486" s="17" t="str">
        <f t="shared" si="546"/>
        <v/>
      </c>
      <c r="U486" s="17"/>
      <c r="V486" s="17" t="str">
        <f t="shared" si="547"/>
        <v/>
      </c>
      <c r="W486" s="29"/>
      <c r="X486" s="114" t="str">
        <f t="shared" si="556"/>
        <v/>
      </c>
      <c r="Y486" s="37" t="str">
        <f t="shared" si="557"/>
        <v/>
      </c>
      <c r="Z486" s="17" t="str">
        <f t="shared" si="540"/>
        <v/>
      </c>
      <c r="AA486" s="18" t="str">
        <f t="shared" si="541"/>
        <v/>
      </c>
      <c r="AB486" s="11"/>
      <c r="AD486" s="75"/>
      <c r="AE486" s="17"/>
      <c r="AF486" s="37" t="str">
        <f t="shared" si="533"/>
        <v/>
      </c>
      <c r="AG486" s="17"/>
      <c r="AH486" s="17" t="str">
        <f t="shared" si="534"/>
        <v/>
      </c>
      <c r="AI486" s="17"/>
      <c r="AJ486" s="17" t="str">
        <f t="shared" si="535"/>
        <v/>
      </c>
      <c r="AK486" s="29"/>
      <c r="AL486" s="114" t="str">
        <f t="shared" si="548"/>
        <v/>
      </c>
      <c r="AM486" s="37" t="str">
        <f t="shared" si="549"/>
        <v/>
      </c>
      <c r="AN486" s="17" t="str">
        <f t="shared" si="550"/>
        <v/>
      </c>
      <c r="AO486" s="18" t="str">
        <f t="shared" si="551"/>
        <v/>
      </c>
      <c r="AP486" s="11"/>
      <c r="AR486" s="75"/>
      <c r="AS486" s="17"/>
      <c r="AT486" s="37" t="str">
        <f t="shared" si="536"/>
        <v/>
      </c>
      <c r="AU486" s="17"/>
      <c r="AV486" s="17" t="str">
        <f t="shared" si="537"/>
        <v/>
      </c>
      <c r="AW486" s="17"/>
      <c r="AX486" s="17" t="str">
        <f t="shared" si="538"/>
        <v/>
      </c>
      <c r="AY486" s="29"/>
      <c r="AZ486" s="114" t="str">
        <f t="shared" si="552"/>
        <v/>
      </c>
      <c r="BA486" s="37" t="str">
        <f t="shared" si="553"/>
        <v/>
      </c>
      <c r="BB486" s="17" t="str">
        <f t="shared" si="554"/>
        <v/>
      </c>
      <c r="BC486" s="18" t="str">
        <f t="shared" si="555"/>
        <v/>
      </c>
      <c r="BD486" s="11"/>
    </row>
    <row r="487" spans="1:56" ht="15" customHeight="1" thickTop="1" x14ac:dyDescent="0.2">
      <c r="A487" s="71"/>
      <c r="B487" s="61">
        <f>SUM(D487:D490)+SUM(R487:R490)+SUM(AF487:AF490)+SUM(AT487:AT490)</f>
        <v>0</v>
      </c>
      <c r="C487" s="33"/>
      <c r="D487" s="33" t="str">
        <f t="shared" si="542"/>
        <v/>
      </c>
      <c r="E487" s="33"/>
      <c r="F487" s="20" t="str">
        <f t="shared" si="539"/>
        <v/>
      </c>
      <c r="G487" s="33"/>
      <c r="H487" s="33" t="str">
        <f t="shared" si="515"/>
        <v/>
      </c>
      <c r="I487" s="43"/>
      <c r="J487" s="112" t="str">
        <f t="shared" si="531"/>
        <v/>
      </c>
      <c r="K487" s="40" t="str">
        <f t="shared" si="532"/>
        <v/>
      </c>
      <c r="L487" s="20" t="str">
        <f t="shared" si="543"/>
        <v/>
      </c>
      <c r="M487" s="21" t="str">
        <f t="shared" si="544"/>
        <v/>
      </c>
      <c r="N487" s="11"/>
      <c r="P487" s="76" t="str">
        <f>IF($A$487="","",$A$487)</f>
        <v/>
      </c>
      <c r="Q487" s="33"/>
      <c r="R487" s="33" t="str">
        <f t="shared" si="545"/>
        <v/>
      </c>
      <c r="S487" s="33"/>
      <c r="T487" s="20" t="str">
        <f t="shared" si="546"/>
        <v/>
      </c>
      <c r="U487" s="33"/>
      <c r="V487" s="33" t="str">
        <f t="shared" si="547"/>
        <v/>
      </c>
      <c r="W487" s="43"/>
      <c r="X487" s="112" t="str">
        <f t="shared" si="556"/>
        <v/>
      </c>
      <c r="Y487" s="40" t="str">
        <f t="shared" si="557"/>
        <v/>
      </c>
      <c r="Z487" s="20" t="str">
        <f t="shared" si="540"/>
        <v/>
      </c>
      <c r="AA487" s="21" t="str">
        <f t="shared" si="541"/>
        <v/>
      </c>
      <c r="AB487" s="11"/>
      <c r="AD487" s="76" t="str">
        <f>IF($A$487="","",$A$487)</f>
        <v/>
      </c>
      <c r="AE487" s="33"/>
      <c r="AF487" s="33" t="str">
        <f t="shared" si="533"/>
        <v/>
      </c>
      <c r="AG487" s="33"/>
      <c r="AH487" s="20" t="str">
        <f t="shared" si="534"/>
        <v/>
      </c>
      <c r="AI487" s="33"/>
      <c r="AJ487" s="33" t="str">
        <f t="shared" si="535"/>
        <v/>
      </c>
      <c r="AK487" s="43"/>
      <c r="AL487" s="112" t="str">
        <f t="shared" si="548"/>
        <v/>
      </c>
      <c r="AM487" s="40" t="str">
        <f t="shared" si="549"/>
        <v/>
      </c>
      <c r="AN487" s="20" t="str">
        <f t="shared" si="550"/>
        <v/>
      </c>
      <c r="AO487" s="21" t="str">
        <f t="shared" si="551"/>
        <v/>
      </c>
      <c r="AP487" s="11"/>
      <c r="AR487" s="76" t="str">
        <f>IF($A$487="","",$A$487)</f>
        <v/>
      </c>
      <c r="AS487" s="33"/>
      <c r="AT487" s="33" t="str">
        <f t="shared" si="536"/>
        <v/>
      </c>
      <c r="AU487" s="33"/>
      <c r="AV487" s="20" t="str">
        <f t="shared" si="537"/>
        <v/>
      </c>
      <c r="AW487" s="33"/>
      <c r="AX487" s="33" t="str">
        <f t="shared" si="538"/>
        <v/>
      </c>
      <c r="AY487" s="43"/>
      <c r="AZ487" s="112" t="str">
        <f t="shared" si="552"/>
        <v/>
      </c>
      <c r="BA487" s="40" t="str">
        <f t="shared" si="553"/>
        <v/>
      </c>
      <c r="BB487" s="20" t="str">
        <f t="shared" si="554"/>
        <v/>
      </c>
      <c r="BC487" s="21" t="str">
        <f t="shared" si="555"/>
        <v/>
      </c>
      <c r="BD487" s="11"/>
    </row>
    <row r="488" spans="1:56" ht="15" customHeight="1" x14ac:dyDescent="0.2">
      <c r="A488" s="72"/>
      <c r="B488" s="8"/>
      <c r="C488" s="33"/>
      <c r="D488" s="9" t="str">
        <f t="shared" si="542"/>
        <v/>
      </c>
      <c r="E488" s="9"/>
      <c r="F488" s="9" t="str">
        <f t="shared" si="539"/>
        <v/>
      </c>
      <c r="G488" s="9"/>
      <c r="H488" s="9" t="str">
        <f t="shared" si="515"/>
        <v/>
      </c>
      <c r="I488" s="13"/>
      <c r="J488" s="113" t="str">
        <f t="shared" si="531"/>
        <v/>
      </c>
      <c r="K488" s="34" t="str">
        <f t="shared" si="532"/>
        <v/>
      </c>
      <c r="L488" s="9" t="str">
        <f t="shared" si="543"/>
        <v/>
      </c>
      <c r="M488" s="10" t="str">
        <f t="shared" si="544"/>
        <v/>
      </c>
      <c r="N488" s="11"/>
      <c r="P488" s="72"/>
      <c r="Q488" s="33"/>
      <c r="R488" s="9" t="str">
        <f t="shared" si="545"/>
        <v/>
      </c>
      <c r="S488" s="9"/>
      <c r="T488" s="9" t="str">
        <f t="shared" si="546"/>
        <v/>
      </c>
      <c r="U488" s="9"/>
      <c r="V488" s="9" t="str">
        <f t="shared" si="547"/>
        <v/>
      </c>
      <c r="W488" s="13"/>
      <c r="X488" s="113" t="str">
        <f t="shared" si="556"/>
        <v/>
      </c>
      <c r="Y488" s="34" t="str">
        <f t="shared" si="557"/>
        <v/>
      </c>
      <c r="Z488" s="9" t="str">
        <f t="shared" si="540"/>
        <v/>
      </c>
      <c r="AA488" s="10" t="str">
        <f t="shared" si="541"/>
        <v/>
      </c>
      <c r="AB488" s="11"/>
      <c r="AD488" s="72"/>
      <c r="AE488" s="33"/>
      <c r="AF488" s="9" t="str">
        <f t="shared" si="533"/>
        <v/>
      </c>
      <c r="AG488" s="9"/>
      <c r="AH488" s="9" t="str">
        <f t="shared" si="534"/>
        <v/>
      </c>
      <c r="AI488" s="9"/>
      <c r="AJ488" s="9" t="str">
        <f t="shared" si="535"/>
        <v/>
      </c>
      <c r="AK488" s="13"/>
      <c r="AL488" s="113" t="str">
        <f t="shared" si="548"/>
        <v/>
      </c>
      <c r="AM488" s="34" t="str">
        <f t="shared" si="549"/>
        <v/>
      </c>
      <c r="AN488" s="9" t="str">
        <f t="shared" si="550"/>
        <v/>
      </c>
      <c r="AO488" s="10" t="str">
        <f t="shared" si="551"/>
        <v/>
      </c>
      <c r="AP488" s="11"/>
      <c r="AR488" s="72"/>
      <c r="AS488" s="33"/>
      <c r="AT488" s="9" t="str">
        <f t="shared" si="536"/>
        <v/>
      </c>
      <c r="AU488" s="9"/>
      <c r="AV488" s="9" t="str">
        <f t="shared" si="537"/>
        <v/>
      </c>
      <c r="AW488" s="9"/>
      <c r="AX488" s="9" t="str">
        <f t="shared" si="538"/>
        <v/>
      </c>
      <c r="AY488" s="13"/>
      <c r="AZ488" s="113" t="str">
        <f t="shared" si="552"/>
        <v/>
      </c>
      <c r="BA488" s="34" t="str">
        <f t="shared" si="553"/>
        <v/>
      </c>
      <c r="BB488" s="9" t="str">
        <f t="shared" si="554"/>
        <v/>
      </c>
      <c r="BC488" s="10" t="str">
        <f t="shared" si="555"/>
        <v/>
      </c>
      <c r="BD488" s="11"/>
    </row>
    <row r="489" spans="1:56" ht="15" customHeight="1" x14ac:dyDescent="0.2">
      <c r="A489" s="72"/>
      <c r="B489" s="8"/>
      <c r="C489" s="38"/>
      <c r="D489" s="9" t="str">
        <f t="shared" si="542"/>
        <v/>
      </c>
      <c r="E489" s="9"/>
      <c r="F489" s="9" t="str">
        <f t="shared" si="539"/>
        <v/>
      </c>
      <c r="G489" s="9"/>
      <c r="H489" s="9" t="str">
        <f t="shared" si="515"/>
        <v/>
      </c>
      <c r="I489" s="13"/>
      <c r="J489" s="113" t="str">
        <f t="shared" si="531"/>
        <v/>
      </c>
      <c r="K489" s="9" t="str">
        <f t="shared" si="532"/>
        <v/>
      </c>
      <c r="L489" s="9" t="str">
        <f t="shared" si="543"/>
        <v/>
      </c>
      <c r="M489" s="10" t="str">
        <f t="shared" si="544"/>
        <v/>
      </c>
      <c r="N489" s="11"/>
      <c r="P489" s="72"/>
      <c r="Q489" s="38"/>
      <c r="R489" s="9" t="str">
        <f t="shared" si="545"/>
        <v/>
      </c>
      <c r="S489" s="9"/>
      <c r="T489" s="9" t="str">
        <f t="shared" si="546"/>
        <v/>
      </c>
      <c r="U489" s="9"/>
      <c r="V489" s="9" t="str">
        <f t="shared" si="547"/>
        <v/>
      </c>
      <c r="W489" s="13"/>
      <c r="X489" s="113" t="str">
        <f t="shared" si="556"/>
        <v/>
      </c>
      <c r="Y489" s="9" t="str">
        <f t="shared" si="557"/>
        <v/>
      </c>
      <c r="Z489" s="9" t="str">
        <f t="shared" si="540"/>
        <v/>
      </c>
      <c r="AA489" s="10" t="str">
        <f t="shared" si="541"/>
        <v/>
      </c>
      <c r="AB489" s="11"/>
      <c r="AD489" s="72"/>
      <c r="AE489" s="38"/>
      <c r="AF489" s="9" t="str">
        <f t="shared" si="533"/>
        <v/>
      </c>
      <c r="AG489" s="9"/>
      <c r="AH489" s="9" t="str">
        <f t="shared" si="534"/>
        <v/>
      </c>
      <c r="AI489" s="9"/>
      <c r="AJ489" s="9" t="str">
        <f t="shared" si="535"/>
        <v/>
      </c>
      <c r="AK489" s="13"/>
      <c r="AL489" s="113" t="str">
        <f t="shared" si="548"/>
        <v/>
      </c>
      <c r="AM489" s="9" t="str">
        <f t="shared" si="549"/>
        <v/>
      </c>
      <c r="AN489" s="9" t="str">
        <f t="shared" si="550"/>
        <v/>
      </c>
      <c r="AO489" s="10" t="str">
        <f t="shared" si="551"/>
        <v/>
      </c>
      <c r="AP489" s="11"/>
      <c r="AR489" s="72"/>
      <c r="AS489" s="38"/>
      <c r="AT489" s="9" t="str">
        <f t="shared" si="536"/>
        <v/>
      </c>
      <c r="AU489" s="9"/>
      <c r="AV489" s="9" t="str">
        <f t="shared" si="537"/>
        <v/>
      </c>
      <c r="AW489" s="9"/>
      <c r="AX489" s="9" t="str">
        <f t="shared" si="538"/>
        <v/>
      </c>
      <c r="AY489" s="13"/>
      <c r="AZ489" s="113" t="str">
        <f t="shared" si="552"/>
        <v/>
      </c>
      <c r="BA489" s="9" t="str">
        <f t="shared" si="553"/>
        <v/>
      </c>
      <c r="BB489" s="9" t="str">
        <f t="shared" si="554"/>
        <v/>
      </c>
      <c r="BC489" s="10" t="str">
        <f t="shared" si="555"/>
        <v/>
      </c>
      <c r="BD489" s="11"/>
    </row>
    <row r="490" spans="1:56" ht="15" customHeight="1" thickBot="1" x14ac:dyDescent="0.25">
      <c r="A490" s="75"/>
      <c r="B490" s="62"/>
      <c r="C490" s="36"/>
      <c r="D490" s="37" t="str">
        <f t="shared" si="542"/>
        <v/>
      </c>
      <c r="E490" s="17"/>
      <c r="F490" s="17" t="str">
        <f t="shared" si="539"/>
        <v/>
      </c>
      <c r="G490" s="17"/>
      <c r="H490" s="17" t="str">
        <f t="shared" si="515"/>
        <v/>
      </c>
      <c r="I490" s="29"/>
      <c r="J490" s="114" t="str">
        <f t="shared" si="531"/>
        <v/>
      </c>
      <c r="K490" s="37" t="str">
        <f t="shared" si="532"/>
        <v/>
      </c>
      <c r="L490" s="17" t="str">
        <f t="shared" si="543"/>
        <v/>
      </c>
      <c r="M490" s="18" t="str">
        <f t="shared" si="544"/>
        <v/>
      </c>
      <c r="N490" s="11"/>
      <c r="P490" s="75"/>
      <c r="Q490" s="36"/>
      <c r="R490" s="37" t="str">
        <f t="shared" si="545"/>
        <v/>
      </c>
      <c r="S490" s="17"/>
      <c r="T490" s="17" t="str">
        <f t="shared" si="546"/>
        <v/>
      </c>
      <c r="U490" s="17"/>
      <c r="V490" s="17" t="str">
        <f t="shared" si="547"/>
        <v/>
      </c>
      <c r="W490" s="29"/>
      <c r="X490" s="114" t="str">
        <f t="shared" si="556"/>
        <v/>
      </c>
      <c r="Y490" s="37" t="str">
        <f t="shared" si="557"/>
        <v/>
      </c>
      <c r="Z490" s="17" t="str">
        <f t="shared" si="540"/>
        <v/>
      </c>
      <c r="AA490" s="18" t="str">
        <f t="shared" si="541"/>
        <v/>
      </c>
      <c r="AB490" s="11"/>
      <c r="AD490" s="75"/>
      <c r="AE490" s="36"/>
      <c r="AF490" s="37" t="str">
        <f t="shared" si="533"/>
        <v/>
      </c>
      <c r="AG490" s="17"/>
      <c r="AH490" s="17" t="str">
        <f t="shared" si="534"/>
        <v/>
      </c>
      <c r="AI490" s="17"/>
      <c r="AJ490" s="17" t="str">
        <f t="shared" si="535"/>
        <v/>
      </c>
      <c r="AK490" s="29"/>
      <c r="AL490" s="114" t="str">
        <f t="shared" si="548"/>
        <v/>
      </c>
      <c r="AM490" s="37" t="str">
        <f t="shared" si="549"/>
        <v/>
      </c>
      <c r="AN490" s="17" t="str">
        <f t="shared" si="550"/>
        <v/>
      </c>
      <c r="AO490" s="18" t="str">
        <f t="shared" si="551"/>
        <v/>
      </c>
      <c r="AP490" s="11"/>
      <c r="AR490" s="75"/>
      <c r="AS490" s="36"/>
      <c r="AT490" s="37" t="str">
        <f t="shared" si="536"/>
        <v/>
      </c>
      <c r="AU490" s="17"/>
      <c r="AV490" s="17" t="str">
        <f t="shared" si="537"/>
        <v/>
      </c>
      <c r="AW490" s="17"/>
      <c r="AX490" s="17" t="str">
        <f t="shared" si="538"/>
        <v/>
      </c>
      <c r="AY490" s="29"/>
      <c r="AZ490" s="114" t="str">
        <f t="shared" si="552"/>
        <v/>
      </c>
      <c r="BA490" s="37" t="str">
        <f t="shared" si="553"/>
        <v/>
      </c>
      <c r="BB490" s="17" t="str">
        <f t="shared" si="554"/>
        <v/>
      </c>
      <c r="BC490" s="18" t="str">
        <f t="shared" si="555"/>
        <v/>
      </c>
      <c r="BD490" s="11"/>
    </row>
    <row r="491" spans="1:56" ht="15" customHeight="1" thickTop="1" x14ac:dyDescent="0.2">
      <c r="A491" s="71"/>
      <c r="B491" s="61">
        <f>SUM(D491:D494)+SUM(R491:R494)+SUM(AF491:AF494)+SUM(AT491:AT494)</f>
        <v>0</v>
      </c>
      <c r="C491" s="33"/>
      <c r="D491" s="33" t="str">
        <f t="shared" si="542"/>
        <v/>
      </c>
      <c r="E491" s="33"/>
      <c r="F491" s="20" t="str">
        <f t="shared" si="539"/>
        <v/>
      </c>
      <c r="G491" s="33"/>
      <c r="H491" s="33" t="str">
        <f t="shared" si="515"/>
        <v/>
      </c>
      <c r="I491" s="13"/>
      <c r="J491" s="112" t="str">
        <f t="shared" si="531"/>
        <v/>
      </c>
      <c r="K491" s="40" t="str">
        <f t="shared" si="532"/>
        <v/>
      </c>
      <c r="L491" s="20" t="str">
        <f t="shared" si="543"/>
        <v/>
      </c>
      <c r="M491" s="21" t="str">
        <f t="shared" si="544"/>
        <v/>
      </c>
      <c r="N491" s="11"/>
      <c r="P491" s="76" t="str">
        <f>IF($A$491="","",$A$491)</f>
        <v/>
      </c>
      <c r="Q491" s="33"/>
      <c r="R491" s="33" t="str">
        <f t="shared" si="545"/>
        <v/>
      </c>
      <c r="S491" s="33"/>
      <c r="T491" s="20" t="str">
        <f t="shared" si="546"/>
        <v/>
      </c>
      <c r="U491" s="33"/>
      <c r="V491" s="33" t="str">
        <f t="shared" si="547"/>
        <v/>
      </c>
      <c r="W491" s="13"/>
      <c r="X491" s="112" t="str">
        <f t="shared" si="556"/>
        <v/>
      </c>
      <c r="Y491" s="40" t="str">
        <f t="shared" si="557"/>
        <v/>
      </c>
      <c r="Z491" s="20" t="str">
        <f t="shared" si="540"/>
        <v/>
      </c>
      <c r="AA491" s="21" t="str">
        <f t="shared" si="541"/>
        <v/>
      </c>
      <c r="AB491" s="11"/>
      <c r="AD491" s="76" t="str">
        <f>IF($A$491="","",$A$491)</f>
        <v/>
      </c>
      <c r="AE491" s="33"/>
      <c r="AF491" s="33" t="str">
        <f t="shared" si="533"/>
        <v/>
      </c>
      <c r="AG491" s="33"/>
      <c r="AH491" s="20" t="str">
        <f t="shared" si="534"/>
        <v/>
      </c>
      <c r="AI491" s="33"/>
      <c r="AJ491" s="33" t="str">
        <f t="shared" si="535"/>
        <v/>
      </c>
      <c r="AK491" s="13"/>
      <c r="AL491" s="112" t="str">
        <f t="shared" si="548"/>
        <v/>
      </c>
      <c r="AM491" s="40" t="str">
        <f t="shared" si="549"/>
        <v/>
      </c>
      <c r="AN491" s="20" t="str">
        <f t="shared" si="550"/>
        <v/>
      </c>
      <c r="AO491" s="21" t="str">
        <f t="shared" si="551"/>
        <v/>
      </c>
      <c r="AP491" s="11"/>
      <c r="AR491" s="76" t="str">
        <f>IF($A$491="","",$A$491)</f>
        <v/>
      </c>
      <c r="AS491" s="33"/>
      <c r="AT491" s="33" t="str">
        <f t="shared" si="536"/>
        <v/>
      </c>
      <c r="AU491" s="33"/>
      <c r="AV491" s="20" t="str">
        <f t="shared" si="537"/>
        <v/>
      </c>
      <c r="AW491" s="33"/>
      <c r="AX491" s="33" t="str">
        <f t="shared" si="538"/>
        <v/>
      </c>
      <c r="AY491" s="13"/>
      <c r="AZ491" s="112" t="str">
        <f t="shared" si="552"/>
        <v/>
      </c>
      <c r="BA491" s="40" t="str">
        <f t="shared" si="553"/>
        <v/>
      </c>
      <c r="BB491" s="20" t="str">
        <f t="shared" si="554"/>
        <v/>
      </c>
      <c r="BC491" s="21" t="str">
        <f t="shared" si="555"/>
        <v/>
      </c>
      <c r="BD491" s="11"/>
    </row>
    <row r="492" spans="1:56" ht="15" customHeight="1" x14ac:dyDescent="0.2">
      <c r="A492" s="72"/>
      <c r="B492" s="8"/>
      <c r="C492" s="9"/>
      <c r="D492" s="9" t="str">
        <f t="shared" si="542"/>
        <v/>
      </c>
      <c r="E492" s="9"/>
      <c r="F492" s="9" t="str">
        <f t="shared" si="539"/>
        <v/>
      </c>
      <c r="G492" s="9"/>
      <c r="H492" s="9" t="str">
        <f t="shared" si="515"/>
        <v/>
      </c>
      <c r="I492" s="13"/>
      <c r="J492" s="113" t="str">
        <f t="shared" si="531"/>
        <v/>
      </c>
      <c r="K492" s="34" t="str">
        <f t="shared" si="532"/>
        <v/>
      </c>
      <c r="L492" s="9" t="str">
        <f t="shared" si="543"/>
        <v/>
      </c>
      <c r="M492" s="10" t="str">
        <f t="shared" si="544"/>
        <v/>
      </c>
      <c r="N492" s="11"/>
      <c r="P492" s="72"/>
      <c r="Q492" s="9"/>
      <c r="R492" s="9" t="str">
        <f t="shared" si="545"/>
        <v/>
      </c>
      <c r="S492" s="9"/>
      <c r="T492" s="9" t="str">
        <f t="shared" si="546"/>
        <v/>
      </c>
      <c r="U492" s="9"/>
      <c r="V492" s="9" t="str">
        <f t="shared" si="547"/>
        <v/>
      </c>
      <c r="W492" s="13"/>
      <c r="X492" s="113" t="str">
        <f t="shared" si="556"/>
        <v/>
      </c>
      <c r="Y492" s="34" t="str">
        <f t="shared" si="557"/>
        <v/>
      </c>
      <c r="Z492" s="9" t="str">
        <f t="shared" si="540"/>
        <v/>
      </c>
      <c r="AA492" s="10" t="str">
        <f t="shared" si="541"/>
        <v/>
      </c>
      <c r="AB492" s="11"/>
      <c r="AD492" s="72"/>
      <c r="AE492" s="9"/>
      <c r="AF492" s="9" t="str">
        <f t="shared" si="533"/>
        <v/>
      </c>
      <c r="AG492" s="9"/>
      <c r="AH492" s="9" t="str">
        <f t="shared" si="534"/>
        <v/>
      </c>
      <c r="AI492" s="9"/>
      <c r="AJ492" s="9" t="str">
        <f t="shared" si="535"/>
        <v/>
      </c>
      <c r="AK492" s="13"/>
      <c r="AL492" s="113" t="str">
        <f t="shared" si="548"/>
        <v/>
      </c>
      <c r="AM492" s="34" t="str">
        <f t="shared" si="549"/>
        <v/>
      </c>
      <c r="AN492" s="9" t="str">
        <f t="shared" si="550"/>
        <v/>
      </c>
      <c r="AO492" s="10" t="str">
        <f t="shared" si="551"/>
        <v/>
      </c>
      <c r="AP492" s="11"/>
      <c r="AR492" s="72"/>
      <c r="AS492" s="9"/>
      <c r="AT492" s="9" t="str">
        <f t="shared" si="536"/>
        <v/>
      </c>
      <c r="AU492" s="9"/>
      <c r="AV492" s="9" t="str">
        <f t="shared" si="537"/>
        <v/>
      </c>
      <c r="AW492" s="9"/>
      <c r="AX492" s="9" t="str">
        <f t="shared" si="538"/>
        <v/>
      </c>
      <c r="AY492" s="13"/>
      <c r="AZ492" s="113" t="str">
        <f t="shared" si="552"/>
        <v/>
      </c>
      <c r="BA492" s="34" t="str">
        <f t="shared" si="553"/>
        <v/>
      </c>
      <c r="BB492" s="9" t="str">
        <f t="shared" si="554"/>
        <v/>
      </c>
      <c r="BC492" s="10" t="str">
        <f t="shared" si="555"/>
        <v/>
      </c>
      <c r="BD492" s="11"/>
    </row>
    <row r="493" spans="1:56" ht="15" customHeight="1" x14ac:dyDescent="0.2">
      <c r="A493" s="72"/>
      <c r="B493" s="8"/>
      <c r="C493" s="23"/>
      <c r="D493" s="9" t="str">
        <f t="shared" si="542"/>
        <v/>
      </c>
      <c r="E493" s="9"/>
      <c r="F493" s="9" t="str">
        <f t="shared" si="539"/>
        <v/>
      </c>
      <c r="G493" s="23"/>
      <c r="H493" s="9" t="str">
        <f t="shared" si="515"/>
        <v/>
      </c>
      <c r="I493" s="30"/>
      <c r="J493" s="113" t="str">
        <f t="shared" si="531"/>
        <v/>
      </c>
      <c r="K493" s="9" t="str">
        <f t="shared" si="532"/>
        <v/>
      </c>
      <c r="L493" s="9" t="str">
        <f t="shared" si="543"/>
        <v/>
      </c>
      <c r="M493" s="10" t="str">
        <f t="shared" si="544"/>
        <v/>
      </c>
      <c r="N493" s="11"/>
      <c r="P493" s="12"/>
      <c r="Q493" s="23"/>
      <c r="R493" s="9" t="str">
        <f t="shared" si="545"/>
        <v/>
      </c>
      <c r="S493" s="9"/>
      <c r="T493" s="9" t="str">
        <f t="shared" si="546"/>
        <v/>
      </c>
      <c r="U493" s="23"/>
      <c r="V493" s="9" t="str">
        <f t="shared" si="547"/>
        <v/>
      </c>
      <c r="W493" s="13"/>
      <c r="X493" s="113" t="str">
        <f t="shared" si="556"/>
        <v/>
      </c>
      <c r="Y493" s="9" t="str">
        <f t="shared" si="557"/>
        <v/>
      </c>
      <c r="Z493" s="9" t="str">
        <f t="shared" si="540"/>
        <v/>
      </c>
      <c r="AA493" s="10" t="str">
        <f t="shared" si="541"/>
        <v/>
      </c>
      <c r="AB493" s="11"/>
      <c r="AD493" s="12"/>
      <c r="AE493" s="23"/>
      <c r="AF493" s="9" t="str">
        <f t="shared" si="533"/>
        <v/>
      </c>
      <c r="AG493" s="9"/>
      <c r="AH493" s="9" t="str">
        <f t="shared" si="534"/>
        <v/>
      </c>
      <c r="AI493" s="23"/>
      <c r="AJ493" s="9" t="str">
        <f t="shared" si="535"/>
        <v/>
      </c>
      <c r="AK493" s="13"/>
      <c r="AL493" s="113" t="str">
        <f t="shared" si="548"/>
        <v/>
      </c>
      <c r="AM493" s="9" t="str">
        <f t="shared" si="549"/>
        <v/>
      </c>
      <c r="AN493" s="9" t="str">
        <f t="shared" si="550"/>
        <v/>
      </c>
      <c r="AO493" s="10" t="str">
        <f t="shared" si="551"/>
        <v/>
      </c>
      <c r="AP493" s="11"/>
      <c r="AR493" s="12"/>
      <c r="AS493" s="23"/>
      <c r="AT493" s="9" t="str">
        <f t="shared" si="536"/>
        <v/>
      </c>
      <c r="AU493" s="9"/>
      <c r="AV493" s="9" t="str">
        <f t="shared" si="537"/>
        <v/>
      </c>
      <c r="AW493" s="23"/>
      <c r="AX493" s="9" t="str">
        <f t="shared" si="538"/>
        <v/>
      </c>
      <c r="AY493" s="13"/>
      <c r="AZ493" s="113" t="str">
        <f t="shared" si="552"/>
        <v/>
      </c>
      <c r="BA493" s="9" t="str">
        <f t="shared" si="553"/>
        <v/>
      </c>
      <c r="BB493" s="9" t="str">
        <f t="shared" si="554"/>
        <v/>
      </c>
      <c r="BC493" s="10" t="str">
        <f t="shared" si="555"/>
        <v/>
      </c>
      <c r="BD493" s="11"/>
    </row>
    <row r="494" spans="1:56" ht="15" customHeight="1" thickBot="1" x14ac:dyDescent="0.25">
      <c r="A494" s="75"/>
      <c r="B494" s="67"/>
      <c r="C494" s="17"/>
      <c r="D494" s="37" t="str">
        <f t="shared" si="542"/>
        <v/>
      </c>
      <c r="E494" s="17"/>
      <c r="F494" s="17" t="str">
        <f t="shared" si="539"/>
        <v/>
      </c>
      <c r="G494" s="84"/>
      <c r="H494" s="19" t="str">
        <f t="shared" si="515"/>
        <v/>
      </c>
      <c r="I494" s="85"/>
      <c r="J494" s="115" t="str">
        <f t="shared" si="531"/>
        <v/>
      </c>
      <c r="K494" s="37" t="str">
        <f t="shared" si="532"/>
        <v/>
      </c>
      <c r="L494" s="17" t="str">
        <f t="shared" si="543"/>
        <v/>
      </c>
      <c r="M494" s="18" t="str">
        <f t="shared" si="544"/>
        <v/>
      </c>
      <c r="N494" s="11"/>
      <c r="P494" s="16"/>
      <c r="Q494" s="17"/>
      <c r="R494" s="37" t="str">
        <f t="shared" si="545"/>
        <v/>
      </c>
      <c r="S494" s="17"/>
      <c r="T494" s="17" t="str">
        <f t="shared" si="546"/>
        <v/>
      </c>
      <c r="U494" s="84"/>
      <c r="V494" s="17" t="str">
        <f t="shared" si="547"/>
        <v/>
      </c>
      <c r="W494" s="85"/>
      <c r="X494" s="114" t="str">
        <f t="shared" si="556"/>
        <v/>
      </c>
      <c r="Y494" s="37" t="str">
        <f t="shared" si="557"/>
        <v/>
      </c>
      <c r="Z494" s="17" t="str">
        <f t="shared" si="540"/>
        <v/>
      </c>
      <c r="AA494" s="18" t="str">
        <f t="shared" si="541"/>
        <v/>
      </c>
      <c r="AB494" s="11"/>
      <c r="AD494" s="16"/>
      <c r="AE494" s="17"/>
      <c r="AF494" s="37" t="str">
        <f t="shared" si="533"/>
        <v/>
      </c>
      <c r="AG494" s="17"/>
      <c r="AH494" s="17" t="str">
        <f t="shared" si="534"/>
        <v/>
      </c>
      <c r="AI494" s="84"/>
      <c r="AJ494" s="17" t="str">
        <f t="shared" si="535"/>
        <v/>
      </c>
      <c r="AK494" s="85"/>
      <c r="AL494" s="114" t="str">
        <f t="shared" si="548"/>
        <v/>
      </c>
      <c r="AM494" s="37" t="str">
        <f t="shared" si="549"/>
        <v/>
      </c>
      <c r="AN494" s="17" t="str">
        <f t="shared" si="550"/>
        <v/>
      </c>
      <c r="AO494" s="18" t="str">
        <f t="shared" si="551"/>
        <v/>
      </c>
      <c r="AP494" s="11"/>
      <c r="AR494" s="16"/>
      <c r="AS494" s="17"/>
      <c r="AT494" s="37" t="str">
        <f t="shared" si="536"/>
        <v/>
      </c>
      <c r="AU494" s="17"/>
      <c r="AV494" s="17" t="str">
        <f t="shared" si="537"/>
        <v/>
      </c>
      <c r="AW494" s="84"/>
      <c r="AX494" s="17" t="str">
        <f t="shared" si="538"/>
        <v/>
      </c>
      <c r="AY494" s="85"/>
      <c r="AZ494" s="114" t="str">
        <f t="shared" si="552"/>
        <v/>
      </c>
      <c r="BA494" s="37" t="str">
        <f t="shared" si="553"/>
        <v/>
      </c>
      <c r="BB494" s="17" t="str">
        <f t="shared" si="554"/>
        <v/>
      </c>
      <c r="BC494" s="18" t="str">
        <f t="shared" si="555"/>
        <v/>
      </c>
      <c r="BD494" s="11"/>
    </row>
    <row r="495" spans="1:56" ht="15" customHeight="1" thickTop="1" x14ac:dyDescent="0.2">
      <c r="A495" s="71"/>
      <c r="B495" s="61">
        <f>SUM(D495:D498)+SUM(R495:R498)+SUM(AF495:AF498)+SUM(AT495:AT498)</f>
        <v>0</v>
      </c>
      <c r="C495" s="33"/>
      <c r="D495" s="33" t="str">
        <f t="shared" si="542"/>
        <v/>
      </c>
      <c r="E495" s="33"/>
      <c r="F495" s="20" t="str">
        <f t="shared" si="539"/>
        <v/>
      </c>
      <c r="G495" s="33"/>
      <c r="H495" s="33" t="str">
        <f t="shared" si="515"/>
        <v/>
      </c>
      <c r="I495" s="33"/>
      <c r="J495" s="112" t="str">
        <f t="shared" si="531"/>
        <v/>
      </c>
      <c r="K495" s="40" t="str">
        <f t="shared" si="532"/>
        <v/>
      </c>
      <c r="L495" s="20" t="str">
        <f t="shared" si="543"/>
        <v/>
      </c>
      <c r="M495" s="21" t="str">
        <f t="shared" si="544"/>
        <v/>
      </c>
      <c r="N495" s="11"/>
      <c r="P495" s="47" t="str">
        <f>IF($A$495="","",$A$495)</f>
        <v/>
      </c>
      <c r="Q495" s="33"/>
      <c r="R495" s="33" t="str">
        <f t="shared" si="545"/>
        <v/>
      </c>
      <c r="S495" s="33"/>
      <c r="T495" s="20" t="str">
        <f t="shared" si="546"/>
        <v/>
      </c>
      <c r="U495" s="33"/>
      <c r="V495" s="33" t="str">
        <f t="shared" si="547"/>
        <v/>
      </c>
      <c r="W495" s="33"/>
      <c r="X495" s="112" t="str">
        <f t="shared" si="556"/>
        <v/>
      </c>
      <c r="Y495" s="40" t="str">
        <f t="shared" si="557"/>
        <v/>
      </c>
      <c r="Z495" s="20" t="str">
        <f t="shared" si="540"/>
        <v/>
      </c>
      <c r="AA495" s="21" t="str">
        <f t="shared" si="541"/>
        <v/>
      </c>
      <c r="AB495" s="11"/>
      <c r="AD495" s="47" t="str">
        <f>IF($A$495="","",$A$495)</f>
        <v/>
      </c>
      <c r="AE495" s="33"/>
      <c r="AF495" s="33" t="str">
        <f t="shared" si="533"/>
        <v/>
      </c>
      <c r="AG495" s="33"/>
      <c r="AH495" s="20" t="str">
        <f t="shared" si="534"/>
        <v/>
      </c>
      <c r="AI495" s="33"/>
      <c r="AJ495" s="33" t="str">
        <f t="shared" si="535"/>
        <v/>
      </c>
      <c r="AK495" s="33"/>
      <c r="AL495" s="112" t="str">
        <f t="shared" si="548"/>
        <v/>
      </c>
      <c r="AM495" s="40" t="str">
        <f t="shared" si="549"/>
        <v/>
      </c>
      <c r="AN495" s="20" t="str">
        <f t="shared" si="550"/>
        <v/>
      </c>
      <c r="AO495" s="21" t="str">
        <f t="shared" si="551"/>
        <v/>
      </c>
      <c r="AP495" s="11"/>
      <c r="AR495" s="47" t="str">
        <f>IF($A$495="","",$A$495)</f>
        <v/>
      </c>
      <c r="AS495" s="33"/>
      <c r="AT495" s="33" t="str">
        <f t="shared" si="536"/>
        <v/>
      </c>
      <c r="AU495" s="33"/>
      <c r="AV495" s="20" t="str">
        <f t="shared" si="537"/>
        <v/>
      </c>
      <c r="AW495" s="33"/>
      <c r="AX495" s="33" t="str">
        <f t="shared" si="538"/>
        <v/>
      </c>
      <c r="AY495" s="33"/>
      <c r="AZ495" s="112" t="str">
        <f t="shared" si="552"/>
        <v/>
      </c>
      <c r="BA495" s="40" t="str">
        <f t="shared" si="553"/>
        <v/>
      </c>
      <c r="BB495" s="20" t="str">
        <f t="shared" si="554"/>
        <v/>
      </c>
      <c r="BC495" s="21" t="str">
        <f t="shared" si="555"/>
        <v/>
      </c>
      <c r="BD495" s="11"/>
    </row>
    <row r="496" spans="1:56" ht="15" customHeight="1" x14ac:dyDescent="0.2">
      <c r="A496" s="72"/>
      <c r="B496" s="8"/>
      <c r="C496" s="9"/>
      <c r="D496" s="9" t="str">
        <f t="shared" si="542"/>
        <v/>
      </c>
      <c r="E496" s="9"/>
      <c r="F496" s="9" t="str">
        <f t="shared" si="539"/>
        <v/>
      </c>
      <c r="G496" s="9"/>
      <c r="H496" s="9" t="str">
        <f t="shared" si="515"/>
        <v/>
      </c>
      <c r="I496" s="9"/>
      <c r="J496" s="113" t="str">
        <f t="shared" si="531"/>
        <v/>
      </c>
      <c r="K496" s="34" t="str">
        <f t="shared" si="532"/>
        <v/>
      </c>
      <c r="L496" s="9" t="str">
        <f t="shared" si="543"/>
        <v/>
      </c>
      <c r="M496" s="10" t="str">
        <f t="shared" si="544"/>
        <v/>
      </c>
      <c r="N496" s="11"/>
      <c r="P496" s="12"/>
      <c r="Q496" s="9"/>
      <c r="R496" s="9" t="str">
        <f t="shared" si="545"/>
        <v/>
      </c>
      <c r="S496" s="9"/>
      <c r="T496" s="9" t="str">
        <f t="shared" si="546"/>
        <v/>
      </c>
      <c r="U496" s="9"/>
      <c r="V496" s="9" t="str">
        <f t="shared" si="547"/>
        <v/>
      </c>
      <c r="W496" s="9"/>
      <c r="X496" s="113" t="str">
        <f t="shared" si="556"/>
        <v/>
      </c>
      <c r="Y496" s="34" t="str">
        <f t="shared" si="557"/>
        <v/>
      </c>
      <c r="Z496" s="9" t="str">
        <f t="shared" si="540"/>
        <v/>
      </c>
      <c r="AA496" s="10" t="str">
        <f t="shared" si="541"/>
        <v/>
      </c>
      <c r="AB496" s="11"/>
      <c r="AD496" s="12"/>
      <c r="AE496" s="9"/>
      <c r="AF496" s="9" t="str">
        <f t="shared" si="533"/>
        <v/>
      </c>
      <c r="AG496" s="9"/>
      <c r="AH496" s="9" t="str">
        <f t="shared" si="534"/>
        <v/>
      </c>
      <c r="AI496" s="9"/>
      <c r="AJ496" s="9" t="str">
        <f t="shared" si="535"/>
        <v/>
      </c>
      <c r="AK496" s="9"/>
      <c r="AL496" s="113" t="str">
        <f t="shared" si="548"/>
        <v/>
      </c>
      <c r="AM496" s="34" t="str">
        <f t="shared" si="549"/>
        <v/>
      </c>
      <c r="AN496" s="9" t="str">
        <f t="shared" si="550"/>
        <v/>
      </c>
      <c r="AO496" s="10" t="str">
        <f t="shared" si="551"/>
        <v/>
      </c>
      <c r="AP496" s="11"/>
      <c r="AR496" s="12"/>
      <c r="AS496" s="9"/>
      <c r="AT496" s="9" t="str">
        <f t="shared" si="536"/>
        <v/>
      </c>
      <c r="AU496" s="9"/>
      <c r="AV496" s="9" t="str">
        <f t="shared" si="537"/>
        <v/>
      </c>
      <c r="AW496" s="9"/>
      <c r="AX496" s="9" t="str">
        <f t="shared" si="538"/>
        <v/>
      </c>
      <c r="AY496" s="9"/>
      <c r="AZ496" s="113" t="str">
        <f t="shared" si="552"/>
        <v/>
      </c>
      <c r="BA496" s="34" t="str">
        <f t="shared" si="553"/>
        <v/>
      </c>
      <c r="BB496" s="9" t="str">
        <f t="shared" si="554"/>
        <v/>
      </c>
      <c r="BC496" s="10" t="str">
        <f t="shared" si="555"/>
        <v/>
      </c>
      <c r="BD496" s="11"/>
    </row>
    <row r="497" spans="1:56" ht="15" customHeight="1" x14ac:dyDescent="0.2">
      <c r="A497" s="72"/>
      <c r="B497" s="8"/>
      <c r="C497" s="9"/>
      <c r="D497" s="9" t="str">
        <f t="shared" si="542"/>
        <v/>
      </c>
      <c r="E497" s="9"/>
      <c r="F497" s="9" t="str">
        <f t="shared" si="539"/>
        <v/>
      </c>
      <c r="G497" s="9"/>
      <c r="H497" s="9" t="str">
        <f t="shared" si="515"/>
        <v/>
      </c>
      <c r="I497" s="9"/>
      <c r="J497" s="113" t="str">
        <f t="shared" si="531"/>
        <v/>
      </c>
      <c r="K497" s="9" t="str">
        <f t="shared" si="532"/>
        <v/>
      </c>
      <c r="L497" s="9" t="str">
        <f t="shared" si="543"/>
        <v/>
      </c>
      <c r="M497" s="10" t="str">
        <f t="shared" si="544"/>
        <v/>
      </c>
      <c r="N497" s="11"/>
      <c r="P497" s="12"/>
      <c r="Q497" s="9"/>
      <c r="R497" s="9" t="str">
        <f t="shared" si="545"/>
        <v/>
      </c>
      <c r="S497" s="9"/>
      <c r="T497" s="9" t="str">
        <f t="shared" si="546"/>
        <v/>
      </c>
      <c r="U497" s="9"/>
      <c r="V497" s="9" t="str">
        <f t="shared" si="547"/>
        <v/>
      </c>
      <c r="W497" s="9"/>
      <c r="X497" s="113" t="str">
        <f t="shared" si="556"/>
        <v/>
      </c>
      <c r="Y497" s="9" t="str">
        <f t="shared" si="557"/>
        <v/>
      </c>
      <c r="Z497" s="9" t="str">
        <f t="shared" si="540"/>
        <v/>
      </c>
      <c r="AA497" s="10" t="str">
        <f t="shared" si="541"/>
        <v/>
      </c>
      <c r="AB497" s="11"/>
      <c r="AD497" s="12"/>
      <c r="AE497" s="9"/>
      <c r="AF497" s="9" t="str">
        <f t="shared" si="533"/>
        <v/>
      </c>
      <c r="AG497" s="9"/>
      <c r="AH497" s="9" t="str">
        <f t="shared" si="534"/>
        <v/>
      </c>
      <c r="AI497" s="9"/>
      <c r="AJ497" s="9" t="str">
        <f t="shared" si="535"/>
        <v/>
      </c>
      <c r="AK497" s="9"/>
      <c r="AL497" s="113" t="str">
        <f t="shared" si="548"/>
        <v/>
      </c>
      <c r="AM497" s="9" t="str">
        <f t="shared" si="549"/>
        <v/>
      </c>
      <c r="AN497" s="9" t="str">
        <f t="shared" si="550"/>
        <v/>
      </c>
      <c r="AO497" s="10" t="str">
        <f t="shared" si="551"/>
        <v/>
      </c>
      <c r="AP497" s="11"/>
      <c r="AR497" s="12"/>
      <c r="AS497" s="9"/>
      <c r="AT497" s="9" t="str">
        <f t="shared" si="536"/>
        <v/>
      </c>
      <c r="AU497" s="9"/>
      <c r="AV497" s="9" t="str">
        <f t="shared" si="537"/>
        <v/>
      </c>
      <c r="AW497" s="9"/>
      <c r="AX497" s="9" t="str">
        <f t="shared" si="538"/>
        <v/>
      </c>
      <c r="AY497" s="9"/>
      <c r="AZ497" s="113" t="str">
        <f t="shared" si="552"/>
        <v/>
      </c>
      <c r="BA497" s="9" t="str">
        <f t="shared" si="553"/>
        <v/>
      </c>
      <c r="BB497" s="9" t="str">
        <f t="shared" si="554"/>
        <v/>
      </c>
      <c r="BC497" s="10" t="str">
        <f t="shared" si="555"/>
        <v/>
      </c>
      <c r="BD497" s="11"/>
    </row>
    <row r="498" spans="1:56" ht="15" customHeight="1" thickBot="1" x14ac:dyDescent="0.25">
      <c r="A498" s="75"/>
      <c r="B498" s="67"/>
      <c r="C498" s="17"/>
      <c r="D498" s="17" t="str">
        <f t="shared" si="542"/>
        <v/>
      </c>
      <c r="E498" s="17"/>
      <c r="F498" s="17" t="str">
        <f t="shared" si="539"/>
        <v/>
      </c>
      <c r="G498" s="17"/>
      <c r="H498" s="17"/>
      <c r="I498" s="17"/>
      <c r="J498" s="114" t="str">
        <f t="shared" si="531"/>
        <v/>
      </c>
      <c r="K498" s="37" t="str">
        <f t="shared" si="532"/>
        <v/>
      </c>
      <c r="L498" s="17" t="str">
        <f t="shared" si="543"/>
        <v/>
      </c>
      <c r="M498" s="18" t="str">
        <f t="shared" si="544"/>
        <v/>
      </c>
      <c r="N498" s="11"/>
      <c r="P498" s="16"/>
      <c r="Q498" s="17"/>
      <c r="R498" s="17" t="str">
        <f t="shared" si="545"/>
        <v/>
      </c>
      <c r="S498" s="17"/>
      <c r="T498" s="17" t="str">
        <f t="shared" si="546"/>
        <v/>
      </c>
      <c r="U498" s="17"/>
      <c r="V498" s="17" t="str">
        <f t="shared" si="547"/>
        <v/>
      </c>
      <c r="W498" s="17"/>
      <c r="X498" s="114" t="str">
        <f t="shared" si="556"/>
        <v/>
      </c>
      <c r="Y498" s="37" t="str">
        <f t="shared" si="557"/>
        <v/>
      </c>
      <c r="Z498" s="17" t="str">
        <f t="shared" si="540"/>
        <v/>
      </c>
      <c r="AA498" s="18" t="str">
        <f t="shared" si="541"/>
        <v/>
      </c>
      <c r="AB498" s="11"/>
      <c r="AD498" s="16"/>
      <c r="AE498" s="17"/>
      <c r="AF498" s="17" t="str">
        <f t="shared" si="533"/>
        <v/>
      </c>
      <c r="AG498" s="17"/>
      <c r="AH498" s="17" t="str">
        <f t="shared" si="534"/>
        <v/>
      </c>
      <c r="AI498" s="17"/>
      <c r="AJ498" s="17" t="str">
        <f t="shared" si="535"/>
        <v/>
      </c>
      <c r="AK498" s="17"/>
      <c r="AL498" s="114" t="str">
        <f t="shared" si="548"/>
        <v/>
      </c>
      <c r="AM498" s="37" t="str">
        <f t="shared" si="549"/>
        <v/>
      </c>
      <c r="AN498" s="17" t="str">
        <f t="shared" si="550"/>
        <v/>
      </c>
      <c r="AO498" s="18" t="str">
        <f t="shared" si="551"/>
        <v/>
      </c>
      <c r="AP498" s="11"/>
      <c r="AR498" s="16"/>
      <c r="AS498" s="17"/>
      <c r="AT498" s="17" t="str">
        <f t="shared" si="536"/>
        <v/>
      </c>
      <c r="AU498" s="17"/>
      <c r="AV498" s="17" t="str">
        <f t="shared" si="537"/>
        <v/>
      </c>
      <c r="AW498" s="17"/>
      <c r="AX498" s="17" t="str">
        <f t="shared" si="538"/>
        <v/>
      </c>
      <c r="AY498" s="17"/>
      <c r="AZ498" s="114" t="str">
        <f t="shared" si="552"/>
        <v/>
      </c>
      <c r="BA498" s="37" t="str">
        <f t="shared" si="553"/>
        <v/>
      </c>
      <c r="BB498" s="17" t="str">
        <f t="shared" si="554"/>
        <v/>
      </c>
      <c r="BC498" s="18" t="str">
        <f t="shared" si="555"/>
        <v/>
      </c>
      <c r="BD498" s="11"/>
    </row>
    <row r="499" spans="1:56" ht="15" customHeight="1" thickTop="1" x14ac:dyDescent="0.2">
      <c r="A499" s="71"/>
      <c r="B499" s="61">
        <f>SUM(D499:D502)+SUM(R499:R502)+SUM(AF499:AF502)+SUM(AT499:AT502)</f>
        <v>0</v>
      </c>
      <c r="C499" s="33"/>
      <c r="D499" s="33" t="str">
        <f t="shared" si="542"/>
        <v/>
      </c>
      <c r="E499" s="33"/>
      <c r="F499" s="33" t="str">
        <f t="shared" si="539"/>
        <v/>
      </c>
      <c r="G499" s="33"/>
      <c r="H499" s="33" t="str">
        <f>IF(G499="","",G495+I495-G499)</f>
        <v/>
      </c>
      <c r="I499" s="33"/>
      <c r="J499" s="112" t="str">
        <f t="shared" si="531"/>
        <v/>
      </c>
      <c r="K499" s="33" t="str">
        <f t="shared" si="532"/>
        <v/>
      </c>
      <c r="L499" s="33" t="str">
        <f t="shared" si="543"/>
        <v/>
      </c>
      <c r="M499" s="33" t="str">
        <f t="shared" si="544"/>
        <v/>
      </c>
      <c r="N499" s="11"/>
      <c r="P499" s="47" t="str">
        <f>IF($A$499="","",$A$499)</f>
        <v/>
      </c>
      <c r="Q499" s="33"/>
      <c r="R499" s="33" t="str">
        <f t="shared" si="545"/>
        <v/>
      </c>
      <c r="S499" s="33"/>
      <c r="T499" s="33" t="str">
        <f t="shared" si="546"/>
        <v/>
      </c>
      <c r="U499" s="33"/>
      <c r="V499" s="33" t="str">
        <f t="shared" si="547"/>
        <v/>
      </c>
      <c r="W499" s="33"/>
      <c r="X499" s="112" t="str">
        <f t="shared" si="556"/>
        <v/>
      </c>
      <c r="Y499" s="33" t="str">
        <f t="shared" si="557"/>
        <v/>
      </c>
      <c r="Z499" s="33" t="str">
        <f t="shared" si="540"/>
        <v/>
      </c>
      <c r="AA499" s="33" t="str">
        <f t="shared" si="541"/>
        <v/>
      </c>
      <c r="AB499" s="11"/>
      <c r="AD499" s="47" t="str">
        <f>IF($A$499="","",$A$499)</f>
        <v/>
      </c>
      <c r="AE499" s="33"/>
      <c r="AF499" s="33" t="str">
        <f t="shared" si="533"/>
        <v/>
      </c>
      <c r="AG499" s="33"/>
      <c r="AH499" s="33" t="str">
        <f t="shared" si="534"/>
        <v/>
      </c>
      <c r="AI499" s="33"/>
      <c r="AJ499" s="33" t="str">
        <f t="shared" si="535"/>
        <v/>
      </c>
      <c r="AK499" s="33"/>
      <c r="AL499" s="112" t="str">
        <f t="shared" si="548"/>
        <v/>
      </c>
      <c r="AM499" s="33" t="str">
        <f t="shared" si="549"/>
        <v/>
      </c>
      <c r="AN499" s="33" t="str">
        <f t="shared" si="550"/>
        <v/>
      </c>
      <c r="AO499" s="33" t="str">
        <f t="shared" si="551"/>
        <v/>
      </c>
      <c r="AP499" s="11"/>
      <c r="AR499" s="47" t="str">
        <f>IF($A$499="","",$A$499)</f>
        <v/>
      </c>
      <c r="AS499" s="33"/>
      <c r="AT499" s="33" t="str">
        <f t="shared" si="536"/>
        <v/>
      </c>
      <c r="AU499" s="33"/>
      <c r="AV499" s="33" t="str">
        <f t="shared" si="537"/>
        <v/>
      </c>
      <c r="AW499" s="33"/>
      <c r="AX499" s="33" t="str">
        <f t="shared" si="538"/>
        <v/>
      </c>
      <c r="AY499" s="33"/>
      <c r="AZ499" s="112" t="str">
        <f t="shared" si="552"/>
        <v/>
      </c>
      <c r="BA499" s="33" t="str">
        <f t="shared" si="553"/>
        <v/>
      </c>
      <c r="BB499" s="33" t="str">
        <f t="shared" si="554"/>
        <v/>
      </c>
      <c r="BC499" s="33" t="str">
        <f t="shared" si="555"/>
        <v/>
      </c>
      <c r="BD499" s="11"/>
    </row>
    <row r="500" spans="1:56" ht="15" customHeight="1" x14ac:dyDescent="0.2">
      <c r="A500" s="71"/>
      <c r="B500" s="61"/>
      <c r="C500" s="33"/>
      <c r="D500" s="33" t="str">
        <f t="shared" si="542"/>
        <v/>
      </c>
      <c r="E500" s="33"/>
      <c r="F500" s="33" t="str">
        <f t="shared" si="539"/>
        <v/>
      </c>
      <c r="G500" s="33"/>
      <c r="H500" s="33" t="str">
        <f>IF(G500="","",G496+I496-G500)</f>
        <v/>
      </c>
      <c r="I500" s="33"/>
      <c r="J500" s="112" t="str">
        <f t="shared" si="531"/>
        <v/>
      </c>
      <c r="K500" s="33" t="str">
        <f t="shared" si="532"/>
        <v/>
      </c>
      <c r="L500" s="33" t="str">
        <f t="shared" si="543"/>
        <v/>
      </c>
      <c r="M500" s="33" t="str">
        <f t="shared" si="544"/>
        <v/>
      </c>
      <c r="N500" s="11"/>
      <c r="P500" s="42"/>
      <c r="Q500" s="33"/>
      <c r="R500" s="33" t="str">
        <f t="shared" si="545"/>
        <v/>
      </c>
      <c r="S500" s="33"/>
      <c r="T500" s="33" t="str">
        <f t="shared" si="546"/>
        <v/>
      </c>
      <c r="U500" s="33"/>
      <c r="V500" s="33" t="str">
        <f t="shared" si="547"/>
        <v/>
      </c>
      <c r="W500" s="33"/>
      <c r="X500" s="112" t="str">
        <f t="shared" si="556"/>
        <v/>
      </c>
      <c r="Y500" s="33" t="str">
        <f t="shared" si="557"/>
        <v/>
      </c>
      <c r="Z500" s="33" t="str">
        <f t="shared" si="540"/>
        <v/>
      </c>
      <c r="AA500" s="33" t="str">
        <f t="shared" si="541"/>
        <v/>
      </c>
      <c r="AB500" s="11"/>
      <c r="AD500" s="42"/>
      <c r="AE500" s="33"/>
      <c r="AF500" s="33" t="str">
        <f t="shared" si="533"/>
        <v/>
      </c>
      <c r="AG500" s="33"/>
      <c r="AH500" s="33" t="str">
        <f t="shared" si="534"/>
        <v/>
      </c>
      <c r="AI500" s="33"/>
      <c r="AJ500" s="33" t="str">
        <f t="shared" si="535"/>
        <v/>
      </c>
      <c r="AK500" s="33"/>
      <c r="AL500" s="112" t="str">
        <f t="shared" si="548"/>
        <v/>
      </c>
      <c r="AM500" s="33" t="str">
        <f t="shared" si="549"/>
        <v/>
      </c>
      <c r="AN500" s="33" t="str">
        <f t="shared" si="550"/>
        <v/>
      </c>
      <c r="AO500" s="33" t="str">
        <f t="shared" si="551"/>
        <v/>
      </c>
      <c r="AP500" s="11"/>
      <c r="AR500" s="42"/>
      <c r="AS500" s="33"/>
      <c r="AT500" s="33" t="str">
        <f t="shared" si="536"/>
        <v/>
      </c>
      <c r="AU500" s="33"/>
      <c r="AV500" s="33" t="str">
        <f t="shared" si="537"/>
        <v/>
      </c>
      <c r="AW500" s="33"/>
      <c r="AX500" s="33" t="str">
        <f t="shared" si="538"/>
        <v/>
      </c>
      <c r="AY500" s="33"/>
      <c r="AZ500" s="112" t="str">
        <f t="shared" si="552"/>
        <v/>
      </c>
      <c r="BA500" s="33" t="str">
        <f t="shared" si="553"/>
        <v/>
      </c>
      <c r="BB500" s="33" t="str">
        <f t="shared" si="554"/>
        <v/>
      </c>
      <c r="BC500" s="33" t="str">
        <f t="shared" si="555"/>
        <v/>
      </c>
      <c r="BD500" s="11"/>
    </row>
    <row r="501" spans="1:56" ht="15" customHeight="1" x14ac:dyDescent="0.2">
      <c r="A501" s="4"/>
      <c r="B501" s="64"/>
      <c r="C501" s="38"/>
      <c r="D501" s="38" t="str">
        <f t="shared" si="542"/>
        <v/>
      </c>
      <c r="E501" s="38"/>
      <c r="F501" s="38" t="str">
        <f t="shared" si="539"/>
        <v/>
      </c>
      <c r="G501" s="38"/>
      <c r="H501" s="38" t="str">
        <f>IF(G501="","",G497+I497-G501)</f>
        <v/>
      </c>
      <c r="I501" s="38"/>
      <c r="J501" s="116" t="str">
        <f t="shared" si="531"/>
        <v/>
      </c>
      <c r="K501" s="38" t="str">
        <f t="shared" si="532"/>
        <v/>
      </c>
      <c r="L501" s="38" t="str">
        <f t="shared" si="543"/>
        <v/>
      </c>
      <c r="M501" s="38" t="str">
        <f t="shared" si="544"/>
        <v/>
      </c>
      <c r="N501" s="26"/>
      <c r="P501" s="53"/>
      <c r="Q501" s="38"/>
      <c r="R501" s="38" t="str">
        <f t="shared" si="545"/>
        <v/>
      </c>
      <c r="S501" s="38"/>
      <c r="T501" s="38" t="str">
        <f t="shared" si="546"/>
        <v/>
      </c>
      <c r="U501" s="38"/>
      <c r="V501" s="38" t="str">
        <f t="shared" si="547"/>
        <v/>
      </c>
      <c r="W501" s="38"/>
      <c r="X501" s="116" t="str">
        <f t="shared" si="556"/>
        <v/>
      </c>
      <c r="Y501" s="38" t="str">
        <f t="shared" si="557"/>
        <v/>
      </c>
      <c r="Z501" s="38" t="str">
        <f t="shared" si="540"/>
        <v/>
      </c>
      <c r="AA501" s="38" t="str">
        <f t="shared" si="541"/>
        <v/>
      </c>
      <c r="AB501" s="26"/>
      <c r="AD501" s="53"/>
      <c r="AE501" s="38"/>
      <c r="AF501" s="38" t="str">
        <f t="shared" si="533"/>
        <v/>
      </c>
      <c r="AG501" s="38"/>
      <c r="AH501" s="38" t="str">
        <f t="shared" si="534"/>
        <v/>
      </c>
      <c r="AI501" s="38"/>
      <c r="AJ501" s="38" t="str">
        <f t="shared" si="535"/>
        <v/>
      </c>
      <c r="AK501" s="38"/>
      <c r="AL501" s="116" t="str">
        <f t="shared" si="548"/>
        <v/>
      </c>
      <c r="AM501" s="38" t="str">
        <f t="shared" si="549"/>
        <v/>
      </c>
      <c r="AN501" s="38" t="str">
        <f t="shared" si="550"/>
        <v/>
      </c>
      <c r="AO501" s="38" t="str">
        <f t="shared" si="551"/>
        <v/>
      </c>
      <c r="AP501" s="26"/>
      <c r="AR501" s="53"/>
      <c r="AS501" s="38"/>
      <c r="AT501" s="38" t="str">
        <f t="shared" si="536"/>
        <v/>
      </c>
      <c r="AU501" s="38"/>
      <c r="AV501" s="38" t="str">
        <f t="shared" si="537"/>
        <v/>
      </c>
      <c r="AW501" s="38"/>
      <c r="AX501" s="38" t="str">
        <f t="shared" si="538"/>
        <v/>
      </c>
      <c r="AY501" s="38"/>
      <c r="AZ501" s="116" t="str">
        <f t="shared" si="552"/>
        <v/>
      </c>
      <c r="BA501" s="38" t="str">
        <f t="shared" si="553"/>
        <v/>
      </c>
      <c r="BB501" s="38" t="str">
        <f t="shared" si="554"/>
        <v/>
      </c>
      <c r="BC501" s="38" t="str">
        <f t="shared" si="555"/>
        <v/>
      </c>
      <c r="BD501" s="26"/>
    </row>
    <row r="502" spans="1:56" ht="15" customHeight="1" thickBot="1" x14ac:dyDescent="0.25">
      <c r="A502" s="58"/>
      <c r="B502" s="65"/>
      <c r="C502" s="36"/>
      <c r="D502" s="36" t="str">
        <f t="shared" si="542"/>
        <v/>
      </c>
      <c r="E502" s="36"/>
      <c r="F502" s="36" t="str">
        <f t="shared" si="539"/>
        <v/>
      </c>
      <c r="G502" s="36"/>
      <c r="H502" s="36" t="str">
        <f>IF(G502="","",G498+I498-G502)</f>
        <v/>
      </c>
      <c r="I502" s="36"/>
      <c r="J502" s="117" t="str">
        <f t="shared" si="531"/>
        <v/>
      </c>
      <c r="K502" s="36" t="str">
        <f t="shared" si="532"/>
        <v/>
      </c>
      <c r="L502" s="36" t="str">
        <f t="shared" si="543"/>
        <v/>
      </c>
      <c r="M502" s="36" t="str">
        <f t="shared" si="544"/>
        <v/>
      </c>
      <c r="N502" s="52"/>
      <c r="P502" s="51"/>
      <c r="Q502" s="36"/>
      <c r="R502" s="36" t="str">
        <f t="shared" si="545"/>
        <v/>
      </c>
      <c r="S502" s="36"/>
      <c r="T502" s="36" t="str">
        <f t="shared" si="546"/>
        <v/>
      </c>
      <c r="U502" s="36"/>
      <c r="V502" s="36" t="str">
        <f t="shared" si="547"/>
        <v/>
      </c>
      <c r="W502" s="36"/>
      <c r="X502" s="117" t="str">
        <f t="shared" si="556"/>
        <v/>
      </c>
      <c r="Y502" s="36" t="str">
        <f t="shared" si="557"/>
        <v/>
      </c>
      <c r="Z502" s="36" t="str">
        <f t="shared" si="540"/>
        <v/>
      </c>
      <c r="AA502" s="36" t="str">
        <f t="shared" si="541"/>
        <v/>
      </c>
      <c r="AB502" s="52"/>
      <c r="AD502" s="51"/>
      <c r="AE502" s="36"/>
      <c r="AF502" s="36" t="str">
        <f t="shared" si="533"/>
        <v/>
      </c>
      <c r="AG502" s="36"/>
      <c r="AH502" s="36" t="str">
        <f t="shared" si="534"/>
        <v/>
      </c>
      <c r="AI502" s="36"/>
      <c r="AJ502" s="36" t="str">
        <f t="shared" si="535"/>
        <v/>
      </c>
      <c r="AK502" s="36"/>
      <c r="AL502" s="117" t="str">
        <f t="shared" si="548"/>
        <v/>
      </c>
      <c r="AM502" s="36" t="str">
        <f t="shared" si="549"/>
        <v/>
      </c>
      <c r="AN502" s="36" t="str">
        <f t="shared" si="550"/>
        <v/>
      </c>
      <c r="AO502" s="36" t="str">
        <f t="shared" si="551"/>
        <v/>
      </c>
      <c r="AP502" s="52"/>
      <c r="AR502" s="51"/>
      <c r="AS502" s="36"/>
      <c r="AT502" s="36" t="str">
        <f t="shared" si="536"/>
        <v/>
      </c>
      <c r="AU502" s="36"/>
      <c r="AV502" s="36" t="str">
        <f t="shared" si="537"/>
        <v/>
      </c>
      <c r="AW502" s="36"/>
      <c r="AX502" s="36" t="str">
        <f t="shared" si="538"/>
        <v/>
      </c>
      <c r="AY502" s="36"/>
      <c r="AZ502" s="117" t="str">
        <f t="shared" si="552"/>
        <v/>
      </c>
      <c r="BA502" s="36" t="str">
        <f t="shared" si="553"/>
        <v/>
      </c>
      <c r="BB502" s="36" t="str">
        <f t="shared" si="554"/>
        <v/>
      </c>
      <c r="BC502" s="36" t="str">
        <f t="shared" si="555"/>
        <v/>
      </c>
      <c r="BD502" s="52"/>
    </row>
    <row r="503" spans="1:56" ht="15" customHeight="1" thickTop="1" x14ac:dyDescent="0.2">
      <c r="A503" s="42"/>
      <c r="B503" s="61"/>
      <c r="C503" s="50" t="s">
        <v>22</v>
      </c>
      <c r="D503" s="33">
        <f>SUM(D447:D499)*100</f>
        <v>202400</v>
      </c>
      <c r="E503" s="70" t="s">
        <v>23</v>
      </c>
      <c r="F503" s="33"/>
      <c r="G503" s="50"/>
      <c r="H503" s="33"/>
      <c r="I503" s="33"/>
      <c r="J503" s="149" t="s">
        <v>24</v>
      </c>
      <c r="K503" s="149"/>
      <c r="L503" s="33">
        <f>SUM(L447:L499)</f>
        <v>34423</v>
      </c>
      <c r="M503" s="33"/>
      <c r="N503" s="45"/>
      <c r="P503" s="42"/>
      <c r="Q503" s="50" t="s">
        <v>22</v>
      </c>
      <c r="R503" s="33">
        <f>SUM(R447:R499)*100</f>
        <v>190200</v>
      </c>
      <c r="S503" s="70" t="s">
        <v>23</v>
      </c>
      <c r="T503" s="33"/>
      <c r="U503" s="50"/>
      <c r="V503" s="33"/>
      <c r="W503" s="33"/>
      <c r="X503" s="149" t="s">
        <v>24</v>
      </c>
      <c r="Y503" s="149"/>
      <c r="Z503" s="33">
        <f>SUM(Z447:Z499)</f>
        <v>15383</v>
      </c>
      <c r="AA503" s="33"/>
      <c r="AB503" s="45"/>
      <c r="AD503" s="42"/>
      <c r="AE503" s="50" t="s">
        <v>22</v>
      </c>
      <c r="AF503" s="33">
        <f>SUM(AF447:AF499)*100</f>
        <v>7000</v>
      </c>
      <c r="AG503" s="70" t="s">
        <v>23</v>
      </c>
      <c r="AH503" s="33"/>
      <c r="AI503" s="50"/>
      <c r="AJ503" s="33"/>
      <c r="AK503" s="33"/>
      <c r="AL503" s="149" t="s">
        <v>24</v>
      </c>
      <c r="AM503" s="149"/>
      <c r="AN503" s="33">
        <f>SUM(AN447:AN499)</f>
        <v>1986</v>
      </c>
      <c r="AO503" s="33"/>
      <c r="AP503" s="45"/>
      <c r="AR503" s="42"/>
      <c r="AS503" s="50" t="s">
        <v>22</v>
      </c>
      <c r="AT503" s="33">
        <f>SUM(AT447:AT499)*100</f>
        <v>13800</v>
      </c>
      <c r="AU503" s="70" t="s">
        <v>23</v>
      </c>
      <c r="AV503" s="33"/>
      <c r="AW503" s="50"/>
      <c r="AX503" s="33"/>
      <c r="AY503" s="33"/>
      <c r="AZ503" s="149" t="s">
        <v>24</v>
      </c>
      <c r="BA503" s="149"/>
      <c r="BB503" s="33">
        <f>SUM(BB447:BB499)</f>
        <v>2929</v>
      </c>
      <c r="BC503" s="33"/>
      <c r="BD503" s="45"/>
    </row>
    <row r="504" spans="1:56" ht="15" customHeight="1" x14ac:dyDescent="0.2">
      <c r="A504" s="22"/>
      <c r="B504" s="66"/>
      <c r="C504" s="5" t="s">
        <v>25</v>
      </c>
      <c r="D504" s="9">
        <f>D503/A508</f>
        <v>7784.6153846153848</v>
      </c>
      <c r="E504" s="9">
        <f>D504*A507</f>
        <v>202400</v>
      </c>
      <c r="F504" s="9"/>
      <c r="G504" s="5"/>
      <c r="H504" s="9"/>
      <c r="I504" s="9"/>
      <c r="J504" s="144" t="s">
        <v>26</v>
      </c>
      <c r="K504" s="144"/>
      <c r="L504" s="9"/>
      <c r="M504" s="24">
        <f>L503/D503</f>
        <v>0.17007411067193676</v>
      </c>
      <c r="N504" s="11"/>
      <c r="P504" s="31"/>
      <c r="Q504" s="5" t="s">
        <v>25</v>
      </c>
      <c r="R504" s="9">
        <f>R503/A508</f>
        <v>7315.3846153846152</v>
      </c>
      <c r="S504" s="9">
        <f>R504*A507</f>
        <v>190200</v>
      </c>
      <c r="T504" s="9"/>
      <c r="U504" s="5"/>
      <c r="V504" s="9"/>
      <c r="W504" s="9"/>
      <c r="X504" s="144" t="s">
        <v>26</v>
      </c>
      <c r="Y504" s="144"/>
      <c r="Z504" s="9"/>
      <c r="AA504" s="24">
        <f>Z503/R503</f>
        <v>8.0878023133543642E-2</v>
      </c>
      <c r="AB504" s="11"/>
      <c r="AD504" s="31"/>
      <c r="AE504" s="5" t="s">
        <v>25</v>
      </c>
      <c r="AF504" s="9">
        <f>AF503/A508</f>
        <v>269.23076923076923</v>
      </c>
      <c r="AG504" s="9">
        <f>AF504*A507</f>
        <v>7000</v>
      </c>
      <c r="AH504" s="9"/>
      <c r="AI504" s="5"/>
      <c r="AJ504" s="9"/>
      <c r="AK504" s="9"/>
      <c r="AL504" s="144" t="s">
        <v>26</v>
      </c>
      <c r="AM504" s="144"/>
      <c r="AN504" s="9"/>
      <c r="AO504" s="24">
        <f>AN503/AF503</f>
        <v>0.2837142857142857</v>
      </c>
      <c r="AP504" s="11"/>
      <c r="AR504" s="31"/>
      <c r="AS504" s="5" t="s">
        <v>25</v>
      </c>
      <c r="AT504" s="9">
        <f>AT503/A508</f>
        <v>530.76923076923072</v>
      </c>
      <c r="AU504" s="9">
        <f>AT504*A507</f>
        <v>13799.999999999998</v>
      </c>
      <c r="AV504" s="9"/>
      <c r="AW504" s="5"/>
      <c r="AX504" s="9"/>
      <c r="AY504" s="9"/>
      <c r="AZ504" s="144" t="s">
        <v>26</v>
      </c>
      <c r="BA504" s="144"/>
      <c r="BB504" s="9"/>
      <c r="BC504" s="24">
        <f>BB503/AT503</f>
        <v>0.2122463768115942</v>
      </c>
      <c r="BD504" s="11"/>
    </row>
    <row r="505" spans="1:56" ht="15" customHeight="1" x14ac:dyDescent="0.2">
      <c r="A505" s="12"/>
      <c r="B505" s="68"/>
      <c r="C505" s="39" t="s">
        <v>27</v>
      </c>
      <c r="D505" s="9">
        <f>D503*0.6</f>
        <v>121440</v>
      </c>
      <c r="E505" s="9"/>
      <c r="F505" s="9"/>
      <c r="G505" s="5"/>
      <c r="H505" s="9"/>
      <c r="I505" s="9"/>
      <c r="J505" s="144" t="s">
        <v>28</v>
      </c>
      <c r="K505" s="144"/>
      <c r="L505" s="9">
        <f>D505-L503</f>
        <v>87017</v>
      </c>
      <c r="M505" s="24">
        <f>L505/D503</f>
        <v>0.42992588932806325</v>
      </c>
      <c r="N505" s="11"/>
      <c r="P505" s="12"/>
      <c r="Q505" s="39" t="s">
        <v>27</v>
      </c>
      <c r="R505" s="9">
        <f>R503*0.6</f>
        <v>114120</v>
      </c>
      <c r="S505" s="9"/>
      <c r="T505" s="9"/>
      <c r="U505" s="5"/>
      <c r="V505" s="9"/>
      <c r="W505" s="9"/>
      <c r="X505" s="144" t="s">
        <v>28</v>
      </c>
      <c r="Y505" s="144"/>
      <c r="Z505" s="9">
        <f>R505-Z503</f>
        <v>98737</v>
      </c>
      <c r="AA505" s="24">
        <f>Z505/R503</f>
        <v>0.51912197686645634</v>
      </c>
      <c r="AB505" s="11"/>
      <c r="AD505" s="12"/>
      <c r="AE505" s="39" t="s">
        <v>27</v>
      </c>
      <c r="AF505" s="9">
        <f>AF503*0.6</f>
        <v>4200</v>
      </c>
      <c r="AG505" s="9"/>
      <c r="AH505" s="9"/>
      <c r="AI505" s="5"/>
      <c r="AJ505" s="9"/>
      <c r="AK505" s="9"/>
      <c r="AL505" s="144" t="s">
        <v>28</v>
      </c>
      <c r="AM505" s="144"/>
      <c r="AN505" s="9">
        <f>AF505-AN503</f>
        <v>2214</v>
      </c>
      <c r="AO505" s="24">
        <f>AN505/AF503</f>
        <v>0.31628571428571428</v>
      </c>
      <c r="AP505" s="11"/>
      <c r="AR505" s="12"/>
      <c r="AS505" s="39" t="s">
        <v>27</v>
      </c>
      <c r="AT505" s="9">
        <f>AT503*0.6</f>
        <v>8280</v>
      </c>
      <c r="AU505" s="9"/>
      <c r="AV505" s="9"/>
      <c r="AW505" s="5"/>
      <c r="AX505" s="9"/>
      <c r="AY505" s="9"/>
      <c r="AZ505" s="144" t="s">
        <v>28</v>
      </c>
      <c r="BA505" s="144"/>
      <c r="BB505" s="9">
        <f>AT505-BB503</f>
        <v>5351</v>
      </c>
      <c r="BC505" s="24">
        <f>BB505/AT503</f>
        <v>0.38775362318840578</v>
      </c>
      <c r="BD505" s="11"/>
    </row>
    <row r="506" spans="1:56" ht="15" customHeight="1" x14ac:dyDescent="0.2">
      <c r="A506" s="42"/>
      <c r="B506" s="61"/>
      <c r="C506" s="5" t="s">
        <v>29</v>
      </c>
      <c r="D506" s="9"/>
      <c r="E506" s="9"/>
      <c r="F506" s="9"/>
      <c r="G506" s="5"/>
      <c r="H506" s="9"/>
      <c r="I506" s="15"/>
      <c r="J506" s="145" t="s">
        <v>30</v>
      </c>
      <c r="K506" s="145"/>
      <c r="L506" s="33">
        <f>(G459+I459)*K459+(G460+I460)*K460+(G461+I461)*K461+(G462+I462)*K462</f>
        <v>23910</v>
      </c>
      <c r="M506" s="10"/>
      <c r="N506" s="11"/>
      <c r="P506" s="42"/>
      <c r="Q506" s="5" t="s">
        <v>29</v>
      </c>
      <c r="R506" s="9"/>
      <c r="S506" s="9"/>
      <c r="T506" s="9"/>
      <c r="U506" s="5"/>
      <c r="V506" s="9"/>
      <c r="W506" s="15"/>
      <c r="X506" s="145" t="s">
        <v>30</v>
      </c>
      <c r="Y506" s="145"/>
      <c r="Z506" s="33">
        <f>(U459+W459)*Y459+(U460+W460)*Y460+(U461+W461)*Y461+(U462+W462)*Y462</f>
        <v>41832</v>
      </c>
      <c r="AA506" s="10"/>
      <c r="AB506" s="11"/>
      <c r="AD506" s="42"/>
      <c r="AE506" s="5" t="s">
        <v>29</v>
      </c>
      <c r="AF506" s="9"/>
      <c r="AG506" s="9"/>
      <c r="AH506" s="9"/>
      <c r="AI506" s="5"/>
      <c r="AJ506" s="9"/>
      <c r="AK506" s="15"/>
      <c r="AL506" s="145" t="s">
        <v>30</v>
      </c>
      <c r="AM506" s="145"/>
      <c r="AN506" s="33">
        <f>(AI459+AK459)*AM459+(AI460+AK460)*AM460+(AI461+AK461)*AM461+(AI462+AK462)*AM462</f>
        <v>27956</v>
      </c>
      <c r="AO506" s="10"/>
      <c r="AP506" s="11"/>
      <c r="AR506" s="42"/>
      <c r="AS506" s="5" t="s">
        <v>29</v>
      </c>
      <c r="AT506" s="9"/>
      <c r="AU506" s="9"/>
      <c r="AV506" s="9"/>
      <c r="AW506" s="5"/>
      <c r="AX506" s="9"/>
      <c r="AY506" s="15"/>
      <c r="AZ506" s="145" t="s">
        <v>30</v>
      </c>
      <c r="BA506" s="145"/>
      <c r="BB506" s="33">
        <f>(AW459+AY459)*BA459+(AW460+AY460)*BA460+(AW461+AY461)*BA461+(AW462+AY462)*BA462</f>
        <v>30912</v>
      </c>
      <c r="BC506" s="10"/>
      <c r="BD506" s="11"/>
    </row>
    <row r="507" spans="1:56" ht="15" customHeight="1" x14ac:dyDescent="0.2">
      <c r="A507" s="4">
        <v>26</v>
      </c>
      <c r="B507" s="80">
        <f>SUM(B447:B499)*100</f>
        <v>659500</v>
      </c>
      <c r="C507" s="5"/>
      <c r="D507" s="9"/>
      <c r="E507" s="9"/>
      <c r="F507" s="9"/>
      <c r="G507" s="5"/>
      <c r="H507" s="9"/>
      <c r="I507" s="15"/>
      <c r="J507" s="118"/>
      <c r="K507" s="56"/>
      <c r="L507" s="40"/>
      <c r="M507" s="10"/>
      <c r="N507" s="11"/>
      <c r="P507" s="42"/>
      <c r="Q507" s="5"/>
      <c r="R507" s="9"/>
      <c r="S507" s="9"/>
      <c r="T507" s="9"/>
      <c r="U507" s="5"/>
      <c r="V507" s="9"/>
      <c r="W507" s="15"/>
      <c r="X507" s="118"/>
      <c r="Y507" s="56"/>
      <c r="Z507" s="40"/>
      <c r="AA507" s="10"/>
      <c r="AB507" s="11"/>
      <c r="AD507" s="42"/>
      <c r="AE507" s="5"/>
      <c r="AF507" s="9"/>
      <c r="AG507" s="9"/>
      <c r="AH507" s="9"/>
      <c r="AI507" s="5"/>
      <c r="AJ507" s="9"/>
      <c r="AK507" s="15"/>
      <c r="AL507" s="118"/>
      <c r="AM507" s="56"/>
      <c r="AN507" s="40"/>
      <c r="AO507" s="10"/>
      <c r="AP507" s="11"/>
      <c r="AR507" s="42"/>
      <c r="AS507" s="5"/>
      <c r="AT507" s="9"/>
      <c r="AU507" s="9"/>
      <c r="AV507" s="9"/>
      <c r="AW507" s="5"/>
      <c r="AX507" s="9"/>
      <c r="AY507" s="15"/>
      <c r="AZ507" s="118"/>
      <c r="BA507" s="56"/>
      <c r="BB507" s="40"/>
      <c r="BC507" s="10"/>
      <c r="BD507" s="11"/>
    </row>
    <row r="508" spans="1:56" ht="15" customHeight="1" x14ac:dyDescent="0.2">
      <c r="A508" s="55">
        <f>DATEDIF(A$521,A459,"d")</f>
        <v>26</v>
      </c>
      <c r="B508" s="61"/>
      <c r="C508" s="5"/>
      <c r="D508" s="9"/>
      <c r="E508" s="23"/>
      <c r="F508" s="9"/>
      <c r="G508" s="5"/>
      <c r="H508" s="9"/>
      <c r="I508" s="15"/>
      <c r="J508" s="118"/>
      <c r="K508" s="56"/>
      <c r="L508" s="40"/>
      <c r="M508" s="10"/>
      <c r="N508" s="11"/>
      <c r="P508" s="42"/>
      <c r="Q508" s="5"/>
      <c r="R508" s="9"/>
      <c r="S508" s="9"/>
      <c r="T508" s="9"/>
      <c r="U508" s="5"/>
      <c r="V508" s="9"/>
      <c r="W508" s="15"/>
      <c r="X508" s="118"/>
      <c r="Y508" s="56"/>
      <c r="Z508" s="40"/>
      <c r="AA508" s="10"/>
      <c r="AB508" s="11"/>
      <c r="AD508" s="42"/>
      <c r="AE508" s="5"/>
      <c r="AF508" s="9"/>
      <c r="AG508" s="9"/>
      <c r="AH508" s="9"/>
      <c r="AI508" s="5"/>
      <c r="AJ508" s="9"/>
      <c r="AK508" s="15"/>
      <c r="AL508" s="118"/>
      <c r="AM508" s="56"/>
      <c r="AN508" s="40"/>
      <c r="AO508" s="10"/>
      <c r="AP508" s="11"/>
      <c r="AR508" s="42"/>
      <c r="AS508" s="5"/>
      <c r="AT508" s="9"/>
      <c r="AU508" s="9"/>
      <c r="AV508" s="9"/>
      <c r="AW508" s="5"/>
      <c r="AX508" s="9"/>
      <c r="AY508" s="15"/>
      <c r="AZ508" s="118"/>
      <c r="BA508" s="56"/>
      <c r="BB508" s="40"/>
      <c r="BC508" s="10"/>
      <c r="BD508" s="11"/>
    </row>
    <row r="509" spans="1:56" x14ac:dyDescent="0.2">
      <c r="A509" s="142" t="s">
        <v>31</v>
      </c>
      <c r="B509" s="142"/>
      <c r="C509" s="142"/>
      <c r="D509" s="25">
        <f>SUM(D447,D451,D455,D459,D463,D467,D471,D475,D479,D483,D487,D491,D495)*100</f>
        <v>37300</v>
      </c>
      <c r="E509" s="34"/>
      <c r="F509" s="9"/>
      <c r="G509" s="5">
        <f>D509/H509</f>
        <v>3390.909090909091</v>
      </c>
      <c r="H509" s="25">
        <f>SUM(H447,H451,H455,H459,H463,H467,H472,H475,H479,H483,H487,H491,H495)</f>
        <v>11</v>
      </c>
      <c r="I509" s="9"/>
      <c r="J509" s="112" t="str">
        <f t="shared" ref="J509:K512" si="558">J447</f>
        <v>サンリオKC</v>
      </c>
      <c r="K509" s="40">
        <f t="shared" si="558"/>
        <v>1015</v>
      </c>
      <c r="L509" s="25">
        <f>SUM(L447,L451,L455,L459,L463,L467,L472,L475,L479,L483,L487,L491,L495)</f>
        <v>6571</v>
      </c>
      <c r="M509" s="24">
        <f>L509/D509</f>
        <v>0.1761662198391421</v>
      </c>
      <c r="N509" s="11"/>
      <c r="O509" s="14"/>
      <c r="P509" s="142" t="s">
        <v>31</v>
      </c>
      <c r="Q509" s="142"/>
      <c r="R509" s="25">
        <f>SUM(R447,R451,R455,R459,R463,R467,R471,R475,R479,R483,R487,R491,R495)*100</f>
        <v>34300</v>
      </c>
      <c r="S509" s="34"/>
      <c r="T509" s="9"/>
      <c r="U509" s="5">
        <f>R509/V509</f>
        <v>5716.666666666667</v>
      </c>
      <c r="V509" s="25">
        <f>SUM(V447,V451,V455,V459,V463,V467,V472,V475,V479,V483,V487,V491,V495)</f>
        <v>6</v>
      </c>
      <c r="W509" s="9"/>
      <c r="X509" s="112" t="str">
        <f t="shared" ref="X509:Y512" si="559">X447</f>
        <v>香水coach</v>
      </c>
      <c r="Y509" s="40">
        <f t="shared" si="559"/>
        <v>1100</v>
      </c>
      <c r="Z509" s="25">
        <f>SUM(Z447,Z451,Z455,Z459,Z463,Z467,Z472,Z475,Z479,Z483,Z487,Z491,Z495)</f>
        <v>1925</v>
      </c>
      <c r="AA509" s="24">
        <f>Z509/R509</f>
        <v>5.6122448979591837E-2</v>
      </c>
      <c r="AB509" s="11"/>
      <c r="AD509" s="142" t="s">
        <v>31</v>
      </c>
      <c r="AE509" s="142"/>
      <c r="AF509" s="25">
        <f>SUM(AF447,AF451,AF455,AF459,AF463,AF467,AF471,AF475,AF479,AF483,AF487,AF491,AF495)*100</f>
        <v>900</v>
      </c>
      <c r="AG509" s="34"/>
      <c r="AH509" s="9"/>
      <c r="AI509" s="5">
        <f>AF509/AJ509</f>
        <v>900</v>
      </c>
      <c r="AJ509" s="25">
        <f>SUM(AJ447,AJ451,AJ455,AJ459,AJ463,AJ467,AJ472,AJ475,AJ479,AJ483,AJ487,AJ491,AJ495)</f>
        <v>1</v>
      </c>
      <c r="AK509" s="9"/>
      <c r="AL509" s="112" t="str">
        <f t="shared" ref="AL509:AM512" si="560">AL447</f>
        <v>スティッチキーケース</v>
      </c>
      <c r="AM509" s="40">
        <f t="shared" si="560"/>
        <v>490</v>
      </c>
      <c r="AN509" s="25">
        <f>SUM(AN447,AN451,AN455,AN459,AN463,AN467,AN472,AN475,AN479,AN483,AN487,AN491,AN495)</f>
        <v>490</v>
      </c>
      <c r="AO509" s="24">
        <f>AN509/AF509</f>
        <v>0.5444444444444444</v>
      </c>
      <c r="AP509" s="11"/>
      <c r="AR509" s="142" t="s">
        <v>31</v>
      </c>
      <c r="AS509" s="142"/>
      <c r="AT509" s="25">
        <f>SUM(AT447,AT451,AT455,AT459,AT463,AT467,AT471,AT475,AT479,AT483,AT487,AT491,AT495)*100</f>
        <v>8700</v>
      </c>
      <c r="AU509" s="34"/>
      <c r="AV509" s="9"/>
      <c r="AW509" s="5">
        <f>AT509/AX509</f>
        <v>8700</v>
      </c>
      <c r="AX509" s="25">
        <f>SUM(AX447,AX451,AX455,AX459,AX463,AX467,AX472,AX475,AX479,AX483,AX487,AX491,AX495)</f>
        <v>1</v>
      </c>
      <c r="AY509" s="9"/>
      <c r="AZ509" s="112" t="str">
        <f t="shared" ref="AZ509:BA512" si="561">AZ447</f>
        <v>デジタルミニカメラ</v>
      </c>
      <c r="BA509" s="40">
        <f t="shared" si="561"/>
        <v>729</v>
      </c>
      <c r="BB509" s="25">
        <f>SUM(BB447,BB451,BB455,BB459,BB463,BB467,BB472,BB475,BB479,BB483,BB487,BB491,BB495)</f>
        <v>729</v>
      </c>
      <c r="BC509" s="24">
        <f>BB509/AT509</f>
        <v>8.3793103448275869E-2</v>
      </c>
      <c r="BD509" s="11"/>
    </row>
    <row r="510" spans="1:56" x14ac:dyDescent="0.2">
      <c r="A510" s="142" t="s">
        <v>31</v>
      </c>
      <c r="B510" s="142"/>
      <c r="C510" s="142"/>
      <c r="D510" s="25">
        <f>SUM(D448,D452,D456,D460,D464,D468,D472,D476,D480,D484,D488,D492,D496)*100</f>
        <v>40300</v>
      </c>
      <c r="E510" s="34"/>
      <c r="F510" s="9"/>
      <c r="G510" s="5">
        <f>D510/H510</f>
        <v>1259.375</v>
      </c>
      <c r="H510" s="25">
        <f>SUM(H448,H452,H456,H460,H464,H468,H471,H476,H480,H484,H488,H492,H496)</f>
        <v>32</v>
      </c>
      <c r="I510" s="9"/>
      <c r="J510" s="112" t="str">
        <f t="shared" si="558"/>
        <v>電ブル</v>
      </c>
      <c r="K510" s="40">
        <f t="shared" si="558"/>
        <v>275</v>
      </c>
      <c r="L510" s="25">
        <f>SUM(L448,L452,L456,L460,L464,L468,L471,L476,L480,L484,L488,L492,L496)</f>
        <v>8800</v>
      </c>
      <c r="M510" s="24">
        <f>L510/D510</f>
        <v>0.21836228287841192</v>
      </c>
      <c r="N510" s="11"/>
      <c r="O510" s="1"/>
      <c r="P510" s="142" t="s">
        <v>31</v>
      </c>
      <c r="Q510" s="142"/>
      <c r="R510" s="25">
        <f>SUM(R448,R452,R456,R460,R464,R468,R472,R476,R480,R484,R488,R492,R496)*100</f>
        <v>44500</v>
      </c>
      <c r="S510" s="34"/>
      <c r="T510" s="9"/>
      <c r="U510" s="5">
        <f>R510/V510</f>
        <v>8900</v>
      </c>
      <c r="V510" s="25">
        <f>SUM(V448,V452,V456,V460,V464,V468,V471,V476,V480,V484,V488,V492,V496)</f>
        <v>5</v>
      </c>
      <c r="W510" s="9"/>
      <c r="X510" s="112" t="str">
        <f t="shared" si="559"/>
        <v>ギャルキティサンダルサンダル</v>
      </c>
      <c r="Y510" s="40">
        <f t="shared" si="559"/>
        <v>660</v>
      </c>
      <c r="Z510" s="25">
        <f>SUM(Z448,Z452,Z456,Z460,Z464,Z468,Z471,Z476,Z480,Z484,Z488,Z492,Z496)</f>
        <v>2700</v>
      </c>
      <c r="AA510" s="24">
        <f>Z510/R510</f>
        <v>6.0674157303370786E-2</v>
      </c>
      <c r="AB510" s="11"/>
      <c r="AD510" s="142" t="s">
        <v>31</v>
      </c>
      <c r="AE510" s="142"/>
      <c r="AF510" s="25">
        <f>SUM(AF448,AF452,AF456,AF460,AF464,AF468,AF472,AF476,AF480,AF484,AF488,AF492,AF496)*100</f>
        <v>3700</v>
      </c>
      <c r="AG510" s="34"/>
      <c r="AH510" s="9"/>
      <c r="AI510" s="5">
        <f>AF510/AJ510</f>
        <v>3700</v>
      </c>
      <c r="AJ510" s="25">
        <f>SUM(AJ448,AJ452,AJ456,AJ460,AJ464,AJ468,AJ471,AJ476,AJ480,AJ484,AJ488,AJ492,AJ496)</f>
        <v>1</v>
      </c>
      <c r="AK510" s="9"/>
      <c r="AL510" s="112" t="str">
        <f t="shared" si="560"/>
        <v>ジャグラーサウンドフラッシュ</v>
      </c>
      <c r="AM510" s="40">
        <f t="shared" si="560"/>
        <v>748</v>
      </c>
      <c r="AN510" s="25">
        <f>SUM(AN448,AN452,AN456,AN460,AN464,AN468,AN471,AN476,AN480,AN484,AN488,AN492,AN496)</f>
        <v>748</v>
      </c>
      <c r="AO510" s="24">
        <f>AN510/AF510</f>
        <v>0.20216216216216215</v>
      </c>
      <c r="AP510" s="11"/>
      <c r="AR510" s="142" t="s">
        <v>31</v>
      </c>
      <c r="AS510" s="142"/>
      <c r="AT510" s="25">
        <f>SUM(AT448,AT452,AT456,AT460,AT464,AT468,AT472,AT476,AT480,AT484,AT488,AT492,AT496)*100</f>
        <v>2300</v>
      </c>
      <c r="AU510" s="34"/>
      <c r="AV510" s="9"/>
      <c r="AW510" s="5">
        <f>AT510/AX510</f>
        <v>1150</v>
      </c>
      <c r="AX510" s="25">
        <f>SUM(AX448,AX452,AX456,AX460,AX464,AX468,AX471,AX476,AX480,AX484,AX488,AX492,AX496)</f>
        <v>2</v>
      </c>
      <c r="AY510" s="9"/>
      <c r="AZ510" s="112" t="str">
        <f t="shared" si="561"/>
        <v>クーリッシュイヤホン</v>
      </c>
      <c r="BA510" s="40">
        <f t="shared" si="561"/>
        <v>1100</v>
      </c>
      <c r="BB510" s="25">
        <f>SUM(BB448,BB452,BB456,BB460,BB464,BB468,BB471,BB476,BB480,BB484,BB488,BB492,BB496)</f>
        <v>2200</v>
      </c>
      <c r="BC510" s="24">
        <f>BB510/AT510</f>
        <v>0.95652173913043481</v>
      </c>
      <c r="BD510" s="11"/>
    </row>
    <row r="511" spans="1:56" x14ac:dyDescent="0.2">
      <c r="A511" s="142" t="s">
        <v>31</v>
      </c>
      <c r="B511" s="142"/>
      <c r="C511" s="142"/>
      <c r="D511" s="25">
        <f>SUM(D449,D453,D457,D461,D465,D469,D473,D477,D481,D485,D489,D493,D497)*100</f>
        <v>84900</v>
      </c>
      <c r="E511" s="34"/>
      <c r="F511" s="9"/>
      <c r="G511" s="5">
        <f>D511/H511</f>
        <v>7718.181818181818</v>
      </c>
      <c r="H511" s="25">
        <f>SUM(H449,H453,H457,H462,H465,H469,H473,H477,H481,H485,H489,H493,H497)</f>
        <v>11</v>
      </c>
      <c r="I511" s="9"/>
      <c r="J511" s="112" t="str">
        <f t="shared" si="558"/>
        <v>サンリオファン</v>
      </c>
      <c r="K511" s="40">
        <f t="shared" si="558"/>
        <v>1100</v>
      </c>
      <c r="L511" s="25">
        <f>SUM(L449,L453,L457,L462,L465,L469,L473,L477,L481,L485,L489,L493,L497)</f>
        <v>12100</v>
      </c>
      <c r="M511" s="24">
        <f>L511/D511</f>
        <v>0.14252061248527681</v>
      </c>
      <c r="N511" s="11"/>
      <c r="O511" s="1"/>
      <c r="P511" s="142" t="s">
        <v>31</v>
      </c>
      <c r="Q511" s="142"/>
      <c r="R511" s="25">
        <f>SUM(R449,R453,R457,R461,R465,R469,R473,R477,R481,R485,R489,R493,R497)*100</f>
        <v>70500</v>
      </c>
      <c r="S511" s="34"/>
      <c r="T511" s="9"/>
      <c r="U511" s="5">
        <f>R511/V511</f>
        <v>7833.333333333333</v>
      </c>
      <c r="V511" s="25">
        <f>SUM(V449,V453,V457,V462,V465,V469,V473,V477,V481,V485,V489,V493,V497)</f>
        <v>9</v>
      </c>
      <c r="W511" s="9"/>
      <c r="X511" s="112" t="str">
        <f t="shared" si="559"/>
        <v>AIラバー</v>
      </c>
      <c r="Y511" s="40">
        <f t="shared" si="559"/>
        <v>198</v>
      </c>
      <c r="Z511" s="25">
        <f>SUM(Z449,Z453,Z457,Z462,Z465,Z469,Z473,Z477,Z481,Z485,Z489,Z493,Z497)</f>
        <v>2706</v>
      </c>
      <c r="AA511" s="24">
        <f>Z511/R511</f>
        <v>3.8382978723404258E-2</v>
      </c>
      <c r="AB511" s="11"/>
      <c r="AD511" s="142" t="s">
        <v>31</v>
      </c>
      <c r="AE511" s="142"/>
      <c r="AF511" s="25">
        <f>SUM(AF449,AF453,AF457,AF461,AF465,AF469,AF473,AF477,AF481,AF485,AF489,AF493,AF497)*100</f>
        <v>1000</v>
      </c>
      <c r="AG511" s="34"/>
      <c r="AH511" s="9"/>
      <c r="AI511" s="5">
        <f>AF511/AJ511</f>
        <v>1000</v>
      </c>
      <c r="AJ511" s="25">
        <f>SUM(AJ449,AJ453,AJ457,AJ462,AJ465,AJ469,AJ473,AJ477,AJ481,AJ485,AJ489,AJ493,AJ497)</f>
        <v>1</v>
      </c>
      <c r="AK511" s="9"/>
      <c r="AL511" s="112" t="str">
        <f t="shared" si="560"/>
        <v>サンリオギャルキーケース</v>
      </c>
      <c r="AM511" s="40">
        <f t="shared" si="560"/>
        <v>660</v>
      </c>
      <c r="AN511" s="25">
        <f>SUM(AN449,AN453,AN457,AN462,AN465,AN469,AN473,AN477,AN481,AN485,AN489,AN493,AN497)</f>
        <v>748</v>
      </c>
      <c r="AO511" s="24">
        <f>AN511/AF511</f>
        <v>0.748</v>
      </c>
      <c r="AP511" s="11"/>
      <c r="AR511" s="142" t="s">
        <v>31</v>
      </c>
      <c r="AS511" s="142"/>
      <c r="AT511" s="25">
        <f>SUM(AT449,AT453,AT457,AT461,AT465,AT469,AT473,AT477,AT481,AT485,AT489,AT493,AT497)*100</f>
        <v>1200</v>
      </c>
      <c r="AU511" s="34"/>
      <c r="AV511" s="9"/>
      <c r="AW511" s="5" t="e">
        <f>AT511/AX511</f>
        <v>#DIV/0!</v>
      </c>
      <c r="AX511" s="25">
        <f>SUM(AX449,AX453,AX457,AX462,AX465,AX469,AX473,AX477,AX481,AX485,AX489,AX493,AX497)</f>
        <v>0</v>
      </c>
      <c r="AY511" s="9"/>
      <c r="AZ511" s="112" t="str">
        <f t="shared" si="561"/>
        <v>モンチッチマスコット</v>
      </c>
      <c r="BA511" s="40">
        <f t="shared" si="561"/>
        <v>528</v>
      </c>
      <c r="BB511" s="25">
        <f>SUM(BB449,BB453,BB457,BB462,BB465,BB469,BB473,BB477,BB481,BB485,BB489,BB493,BB497)</f>
        <v>0</v>
      </c>
      <c r="BC511" s="24">
        <f>BB511/AT511</f>
        <v>0</v>
      </c>
      <c r="BD511" s="11"/>
    </row>
    <row r="512" spans="1:56" x14ac:dyDescent="0.2">
      <c r="A512" s="142" t="s">
        <v>31</v>
      </c>
      <c r="B512" s="142"/>
      <c r="C512" s="142"/>
      <c r="D512" s="25">
        <f>SUM(D450,D454,D458,D462,D466,D470,D474,D478,D482,D486,D490,D494,D498)*100</f>
        <v>39900</v>
      </c>
      <c r="E512" s="34"/>
      <c r="F512" s="9"/>
      <c r="G512" s="5">
        <f>D512/H512</f>
        <v>1995</v>
      </c>
      <c r="H512" s="25">
        <f>SUM(H450,H454,H458,H461,H466,H470,H474,H478,H482,H486,H490,H494,H498)</f>
        <v>20</v>
      </c>
      <c r="I512" s="9"/>
      <c r="J512" s="112" t="str">
        <f t="shared" si="558"/>
        <v>Pro4</v>
      </c>
      <c r="K512" s="40">
        <f t="shared" si="558"/>
        <v>770</v>
      </c>
      <c r="L512" s="25">
        <f>SUM(L450,L454,L458,L461,L466,L470,L474,L478,L482,L486,L490,L494,L498)</f>
        <v>6952</v>
      </c>
      <c r="M512" s="24">
        <f>L512/D512</f>
        <v>0.17423558897243108</v>
      </c>
      <c r="N512" s="11"/>
      <c r="O512" s="1"/>
      <c r="P512" s="142" t="s">
        <v>31</v>
      </c>
      <c r="Q512" s="142"/>
      <c r="R512" s="25">
        <f>SUM(R450,R454,R458,R462,R466,R470,R474,R478,R482,R486,R490,R494,R498)*100</f>
        <v>40900</v>
      </c>
      <c r="S512" s="34"/>
      <c r="T512" s="9"/>
      <c r="U512" s="5">
        <f>R512/V512</f>
        <v>1363.3333333333333</v>
      </c>
      <c r="V512" s="25">
        <f>SUM(V450,V454,V458,V461,V466,V470,V474,V478,V482,V486,V490,V494,V498)</f>
        <v>30</v>
      </c>
      <c r="W512" s="9"/>
      <c r="X512" s="112" t="str">
        <f t="shared" si="559"/>
        <v>AIマスコット</v>
      </c>
      <c r="Y512" s="40">
        <f t="shared" si="559"/>
        <v>286</v>
      </c>
      <c r="Z512" s="25">
        <f>SUM(Z450,Z454,Z458,Z461,Z466,Z470,Z474,Z478,Z482,Z486,Z490,Z494,Z498)</f>
        <v>8052</v>
      </c>
      <c r="AA512" s="24">
        <f>Z512/R512</f>
        <v>0.19687041564792176</v>
      </c>
      <c r="AB512" s="11"/>
      <c r="AD512" s="142" t="s">
        <v>31</v>
      </c>
      <c r="AE512" s="142"/>
      <c r="AF512" s="25">
        <f>SUM(AF450,AF454,AF458,AF462,AF466,AF470,AF474,AF478,AF482,AF486,AF490,AF494,AF498)*100</f>
        <v>1400</v>
      </c>
      <c r="AG512" s="34"/>
      <c r="AH512" s="9"/>
      <c r="AI512" s="5" t="e">
        <f>AF512/AJ512</f>
        <v>#DIV/0!</v>
      </c>
      <c r="AJ512" s="25">
        <f>SUM(AJ450,AJ454,AJ458,AJ461,AJ466,AJ470,AJ474,AJ478,AJ482,AJ486,AJ490,AJ494,AJ498)</f>
        <v>0</v>
      </c>
      <c r="AK512" s="9"/>
      <c r="AL512" s="112" t="str">
        <f t="shared" si="560"/>
        <v>ピクミンマスコット</v>
      </c>
      <c r="AM512" s="40">
        <f t="shared" si="560"/>
        <v>748</v>
      </c>
      <c r="AN512" s="25">
        <f>SUM(AN450,AN454,AN458,AN461,AN466,AN470,AN474,AN478,AN482,AN486,AN490,AN494,AN498)</f>
        <v>0</v>
      </c>
      <c r="AO512" s="24">
        <f>AN512/AF512</f>
        <v>0</v>
      </c>
      <c r="AP512" s="11"/>
      <c r="AR512" s="142" t="s">
        <v>31</v>
      </c>
      <c r="AS512" s="142"/>
      <c r="AT512" s="25">
        <f>SUM(AT450,AT454,AT458,AT462,AT466,AT470,AT474,AT478,AT482,AT486,AT490,AT494,AT498)*100</f>
        <v>1600</v>
      </c>
      <c r="AU512" s="34"/>
      <c r="AV512" s="9"/>
      <c r="AW512" s="5" t="e">
        <f>AT512/AX512</f>
        <v>#DIV/0!</v>
      </c>
      <c r="AX512" s="25">
        <f>SUM(AX450,AX454,AX458,AX461,AX466,AX470,AX474,AX478,AX482,AX486,AX490,AX494,AX498)</f>
        <v>0</v>
      </c>
      <c r="AY512" s="9"/>
      <c r="AZ512" s="112" t="str">
        <f t="shared" si="561"/>
        <v>ジョージファン</v>
      </c>
      <c r="BA512" s="40">
        <f t="shared" si="561"/>
        <v>1100</v>
      </c>
      <c r="BB512" s="25">
        <f>SUM(BB450,BB454,BB458,BB461,BB466,BB470,BB474,BB478,BB482,BB486,BB490,BB494,BB498)</f>
        <v>0</v>
      </c>
      <c r="BC512" s="24">
        <f>BB512/AT512</f>
        <v>0</v>
      </c>
      <c r="BD512" s="11"/>
    </row>
    <row r="513" spans="1:56" x14ac:dyDescent="0.2">
      <c r="A513" s="12"/>
      <c r="B513" s="8"/>
      <c r="C513" s="5" t="s">
        <v>22</v>
      </c>
      <c r="D513" s="9">
        <f>SUM(D509:D512)</f>
        <v>202400</v>
      </c>
      <c r="E513" s="34"/>
      <c r="F513" s="9"/>
      <c r="G513" s="9"/>
      <c r="H513" s="9">
        <f>SUM(H509:H512)</f>
        <v>74</v>
      </c>
      <c r="I513" s="9"/>
      <c r="J513" s="143" t="s">
        <v>32</v>
      </c>
      <c r="K513" s="143"/>
      <c r="L513" s="33">
        <f>SUM(L509:L512)</f>
        <v>34423</v>
      </c>
      <c r="M513" s="44">
        <f>L513/D513</f>
        <v>0.17007411067193676</v>
      </c>
      <c r="N513" s="45"/>
      <c r="O513" s="1"/>
      <c r="P513" s="12"/>
      <c r="Q513" s="5" t="s">
        <v>22</v>
      </c>
      <c r="R513" s="9">
        <f>SUM(R509:R512)</f>
        <v>190200</v>
      </c>
      <c r="S513" s="34"/>
      <c r="T513" s="9"/>
      <c r="U513" s="9"/>
      <c r="V513" s="9">
        <f>SUM(V509:V512)</f>
        <v>50</v>
      </c>
      <c r="W513" s="9"/>
      <c r="X513" s="143" t="s">
        <v>32</v>
      </c>
      <c r="Y513" s="143"/>
      <c r="Z513" s="33">
        <f>SUM(Z509:Z512)</f>
        <v>15383</v>
      </c>
      <c r="AA513" s="44">
        <f>Z513/R513</f>
        <v>8.0878023133543642E-2</v>
      </c>
      <c r="AB513" s="11"/>
      <c r="AD513" s="12"/>
      <c r="AE513" s="5" t="s">
        <v>22</v>
      </c>
      <c r="AF513" s="9">
        <f>SUM(AF509:AF512)</f>
        <v>7000</v>
      </c>
      <c r="AG513" s="34"/>
      <c r="AH513" s="9"/>
      <c r="AI513" s="9"/>
      <c r="AJ513" s="9">
        <f>SUM(AJ509:AJ512)</f>
        <v>3</v>
      </c>
      <c r="AK513" s="9"/>
      <c r="AL513" s="143" t="s">
        <v>32</v>
      </c>
      <c r="AM513" s="143"/>
      <c r="AN513" s="33">
        <f>SUM(AN509:AN512)</f>
        <v>1986</v>
      </c>
      <c r="AO513" s="44">
        <f>AN513/AF513</f>
        <v>0.2837142857142857</v>
      </c>
      <c r="AP513" s="11"/>
      <c r="AR513" s="12"/>
      <c r="AS513" s="5" t="s">
        <v>22</v>
      </c>
      <c r="AT513" s="9">
        <f>SUM(AT509:AT512)</f>
        <v>13800</v>
      </c>
      <c r="AU513" s="34"/>
      <c r="AV513" s="9"/>
      <c r="AW513" s="9"/>
      <c r="AX513" s="9">
        <f>SUM(AX509:AX512)</f>
        <v>3</v>
      </c>
      <c r="AY513" s="9"/>
      <c r="AZ513" s="143" t="s">
        <v>32</v>
      </c>
      <c r="BA513" s="143"/>
      <c r="BB513" s="33">
        <f>SUM(BB509:BB512)</f>
        <v>2929</v>
      </c>
      <c r="BC513" s="44">
        <f>BB513/AT513</f>
        <v>0.2122463768115942</v>
      </c>
      <c r="BD513" s="11"/>
    </row>
    <row r="514" spans="1:56" x14ac:dyDescent="0.2">
      <c r="A514" s="28"/>
      <c r="B514" s="27"/>
      <c r="C514" s="2"/>
      <c r="D514" s="2"/>
      <c r="E514" s="2"/>
      <c r="F514" s="2"/>
      <c r="G514" s="2"/>
      <c r="H514" s="2"/>
      <c r="I514" s="2"/>
      <c r="J514" s="119"/>
      <c r="K514" s="2"/>
      <c r="L514" s="2"/>
      <c r="M514" s="2"/>
      <c r="N514" s="32"/>
      <c r="O514" s="1"/>
      <c r="P514" s="28"/>
      <c r="Q514" s="2"/>
      <c r="R514" s="2"/>
      <c r="S514" s="2"/>
      <c r="T514" s="2"/>
      <c r="U514" s="2"/>
      <c r="V514" s="2"/>
      <c r="W514" s="2"/>
      <c r="X514" s="119"/>
      <c r="Y514" s="2"/>
      <c r="Z514" s="2"/>
      <c r="AA514" s="2"/>
      <c r="AB514" s="32"/>
      <c r="AD514" s="28"/>
      <c r="AE514" s="2"/>
      <c r="AF514" s="2"/>
      <c r="AG514" s="2"/>
      <c r="AH514" s="2"/>
      <c r="AI514" s="2"/>
      <c r="AJ514" s="2"/>
      <c r="AK514" s="2"/>
      <c r="AL514" s="119"/>
      <c r="AM514" s="2"/>
      <c r="AN514" s="2"/>
      <c r="AO514" s="2"/>
      <c r="AP514" s="32"/>
      <c r="AR514" s="28"/>
      <c r="AS514" s="2"/>
      <c r="AT514" s="2"/>
      <c r="AU514" s="2"/>
      <c r="AV514" s="2"/>
      <c r="AW514" s="2"/>
      <c r="AX514" s="2"/>
      <c r="AY514" s="2"/>
      <c r="AZ514" s="119"/>
      <c r="BA514" s="2"/>
      <c r="BB514" s="2"/>
      <c r="BC514" s="2"/>
      <c r="BD514" s="32"/>
    </row>
    <row r="515" spans="1:56" ht="15" customHeight="1" x14ac:dyDescent="0.2">
      <c r="C515" s="152" t="s">
        <v>33</v>
      </c>
      <c r="D515" s="152"/>
      <c r="E515" s="153" t="s">
        <v>34</v>
      </c>
      <c r="F515" s="153"/>
      <c r="G515" s="153" t="s">
        <v>35</v>
      </c>
      <c r="H515" s="153"/>
      <c r="K515"/>
    </row>
    <row r="516" spans="1:56" x14ac:dyDescent="0.2">
      <c r="C516" s="156">
        <f>E504+S504+AG504+AU504</f>
        <v>413400</v>
      </c>
      <c r="D516" s="156"/>
      <c r="E516" s="155">
        <f>L503+Z503</f>
        <v>49806</v>
      </c>
      <c r="F516" s="155"/>
      <c r="G516" s="155">
        <f>L506+Z506</f>
        <v>65742</v>
      </c>
      <c r="H516" s="155"/>
      <c r="K516"/>
    </row>
    <row r="517" spans="1:56" x14ac:dyDescent="0.2">
      <c r="C517" s="54"/>
      <c r="D517" s="54"/>
      <c r="E517" s="69" t="s">
        <v>36</v>
      </c>
      <c r="F517" s="57">
        <f>E516/B507</f>
        <v>7.5520849128127371E-2</v>
      </c>
      <c r="G517" s="9"/>
      <c r="H517" s="9"/>
      <c r="K517"/>
    </row>
    <row r="518" spans="1:56" x14ac:dyDescent="0.2">
      <c r="E518" s="81"/>
      <c r="F518" s="82"/>
      <c r="G518" s="1"/>
      <c r="H518" s="1"/>
      <c r="K518"/>
    </row>
    <row r="519" spans="1:56" x14ac:dyDescent="0.2">
      <c r="A519" s="150" t="s">
        <v>53</v>
      </c>
      <c r="B519" s="150"/>
      <c r="C519" s="150"/>
      <c r="D519" s="150"/>
      <c r="E519" s="148" t="s">
        <v>0</v>
      </c>
      <c r="F519" s="148"/>
      <c r="G519" s="86"/>
      <c r="H519" s="86"/>
      <c r="I519" s="86"/>
      <c r="J519" s="108"/>
      <c r="K519" s="86"/>
      <c r="L519" s="86"/>
      <c r="M519" s="86"/>
      <c r="N519" s="87"/>
      <c r="O519" s="88"/>
      <c r="P519" s="150" t="s">
        <v>53</v>
      </c>
      <c r="Q519" s="150"/>
      <c r="R519" s="150"/>
      <c r="S519" s="148" t="s">
        <v>1</v>
      </c>
      <c r="T519" s="148"/>
      <c r="U519" s="86"/>
      <c r="V519" s="86"/>
      <c r="W519" s="86"/>
      <c r="X519" s="108"/>
      <c r="Y519" s="86"/>
      <c r="Z519" s="86"/>
      <c r="AA519" s="86"/>
      <c r="AB519" s="87"/>
      <c r="AD519" s="150" t="s">
        <v>53</v>
      </c>
      <c r="AE519" s="150"/>
      <c r="AF519" s="150"/>
      <c r="AG519" s="148" t="s">
        <v>1</v>
      </c>
      <c r="AH519" s="148"/>
      <c r="AI519" s="86"/>
      <c r="AJ519" s="86"/>
      <c r="AK519" s="86"/>
      <c r="AL519" s="108"/>
      <c r="AM519" s="86"/>
      <c r="AN519" s="86"/>
      <c r="AO519" s="86"/>
      <c r="AP519" s="87"/>
      <c r="AR519" s="150" t="s">
        <v>53</v>
      </c>
      <c r="AS519" s="150"/>
      <c r="AT519" s="150"/>
      <c r="AU519" s="148" t="s">
        <v>1</v>
      </c>
      <c r="AV519" s="148"/>
      <c r="AW519" s="86"/>
      <c r="AX519" s="86"/>
      <c r="AY519" s="86"/>
      <c r="AZ519" s="108"/>
      <c r="BA519" s="86"/>
      <c r="BB519" s="86"/>
      <c r="BC519" s="86"/>
      <c r="BD519" s="87"/>
    </row>
    <row r="520" spans="1:56" x14ac:dyDescent="0.2">
      <c r="A520" s="7" t="s">
        <v>2</v>
      </c>
      <c r="B520" s="60" t="s">
        <v>3</v>
      </c>
      <c r="C520" s="5" t="s">
        <v>4</v>
      </c>
      <c r="D520" s="5" t="s">
        <v>5</v>
      </c>
      <c r="E520" s="6" t="s">
        <v>6</v>
      </c>
      <c r="F520" s="5" t="s">
        <v>5</v>
      </c>
      <c r="G520" s="5" t="s">
        <v>7</v>
      </c>
      <c r="H520" s="5" t="s">
        <v>8</v>
      </c>
      <c r="I520" s="5" t="s">
        <v>9</v>
      </c>
      <c r="J520" s="92" t="s">
        <v>10</v>
      </c>
      <c r="K520" s="5" t="s">
        <v>11</v>
      </c>
      <c r="L520" s="5" t="s">
        <v>8</v>
      </c>
      <c r="M520" s="5" t="s">
        <v>12</v>
      </c>
      <c r="N520" s="5" t="s">
        <v>13</v>
      </c>
      <c r="O520" s="3"/>
      <c r="P520" s="7" t="s">
        <v>2</v>
      </c>
      <c r="Q520" s="5" t="s">
        <v>4</v>
      </c>
      <c r="R520" s="5" t="s">
        <v>5</v>
      </c>
      <c r="S520" s="6" t="s">
        <v>6</v>
      </c>
      <c r="T520" s="5" t="s">
        <v>5</v>
      </c>
      <c r="U520" s="5" t="s">
        <v>7</v>
      </c>
      <c r="V520" s="5" t="s">
        <v>8</v>
      </c>
      <c r="W520" s="5" t="s">
        <v>9</v>
      </c>
      <c r="X520" s="92" t="s">
        <v>10</v>
      </c>
      <c r="Y520" s="5" t="s">
        <v>11</v>
      </c>
      <c r="Z520" s="5" t="s">
        <v>8</v>
      </c>
      <c r="AA520" s="5" t="s">
        <v>12</v>
      </c>
      <c r="AB520" s="5" t="s">
        <v>13</v>
      </c>
      <c r="AD520" s="7" t="s">
        <v>2</v>
      </c>
      <c r="AE520" s="5" t="s">
        <v>4</v>
      </c>
      <c r="AF520" s="5" t="s">
        <v>5</v>
      </c>
      <c r="AG520" s="6" t="s">
        <v>6</v>
      </c>
      <c r="AH520" s="5" t="s">
        <v>5</v>
      </c>
      <c r="AI520" s="5" t="s">
        <v>7</v>
      </c>
      <c r="AJ520" s="5" t="s">
        <v>8</v>
      </c>
      <c r="AK520" s="5" t="s">
        <v>9</v>
      </c>
      <c r="AL520" s="92" t="s">
        <v>10</v>
      </c>
      <c r="AM520" s="5" t="s">
        <v>11</v>
      </c>
      <c r="AN520" s="5" t="s">
        <v>8</v>
      </c>
      <c r="AO520" s="5" t="s">
        <v>12</v>
      </c>
      <c r="AP520" s="5" t="s">
        <v>13</v>
      </c>
      <c r="AR520" s="7" t="s">
        <v>2</v>
      </c>
      <c r="AS520" s="5" t="s">
        <v>4</v>
      </c>
      <c r="AT520" s="5" t="s">
        <v>5</v>
      </c>
      <c r="AU520" s="6" t="s">
        <v>6</v>
      </c>
      <c r="AV520" s="5" t="s">
        <v>5</v>
      </c>
      <c r="AW520" s="5" t="s">
        <v>7</v>
      </c>
      <c r="AX520" s="5" t="s">
        <v>8</v>
      </c>
      <c r="AY520" s="5" t="s">
        <v>9</v>
      </c>
      <c r="AZ520" s="92" t="s">
        <v>10</v>
      </c>
      <c r="BA520" s="5" t="s">
        <v>11</v>
      </c>
      <c r="BB520" s="5" t="s">
        <v>8</v>
      </c>
      <c r="BC520" s="5" t="s">
        <v>12</v>
      </c>
      <c r="BD520" s="5" t="s">
        <v>13</v>
      </c>
    </row>
    <row r="521" spans="1:56" x14ac:dyDescent="0.2">
      <c r="A521" s="12">
        <v>45886</v>
      </c>
      <c r="B521" s="61"/>
      <c r="C521" s="33">
        <v>13739</v>
      </c>
      <c r="D521" s="33"/>
      <c r="E521" s="33">
        <v>1009</v>
      </c>
      <c r="F521" s="33"/>
      <c r="G521" s="33">
        <v>5</v>
      </c>
      <c r="H521" s="33"/>
      <c r="I521" s="33">
        <v>0</v>
      </c>
      <c r="J521" s="109" t="s">
        <v>14</v>
      </c>
      <c r="K521" s="40">
        <v>748</v>
      </c>
      <c r="L521" s="33">
        <v>2244</v>
      </c>
      <c r="M521" s="41">
        <v>0.24391304347826087</v>
      </c>
      <c r="N521" s="11"/>
      <c r="O521" s="1"/>
      <c r="P521" s="12">
        <v>45886</v>
      </c>
      <c r="Q521" s="33">
        <v>12860</v>
      </c>
      <c r="R521" s="33"/>
      <c r="S521" s="33">
        <v>1360</v>
      </c>
      <c r="T521" s="33"/>
      <c r="U521" s="33">
        <v>4</v>
      </c>
      <c r="V521" s="33"/>
      <c r="W521" s="33">
        <v>0</v>
      </c>
      <c r="X521" s="109" t="s">
        <v>21</v>
      </c>
      <c r="Y521" s="40">
        <v>957</v>
      </c>
      <c r="Z521" s="33">
        <v>2871</v>
      </c>
      <c r="AA521" s="41">
        <v>0.3417857142857143</v>
      </c>
      <c r="AB521" s="11"/>
      <c r="AD521" s="12">
        <v>45886</v>
      </c>
      <c r="AE521" s="33">
        <v>12860</v>
      </c>
      <c r="AF521" s="33"/>
      <c r="AG521" s="33">
        <v>1360</v>
      </c>
      <c r="AH521" s="33"/>
      <c r="AI521" s="33">
        <v>4</v>
      </c>
      <c r="AJ521" s="33"/>
      <c r="AK521" s="33">
        <v>0</v>
      </c>
      <c r="AL521" s="109" t="s">
        <v>21</v>
      </c>
      <c r="AM521" s="40">
        <v>957</v>
      </c>
      <c r="AN521" s="33">
        <v>2871</v>
      </c>
      <c r="AO521" s="41">
        <v>0.3417857142857143</v>
      </c>
      <c r="AP521" s="11"/>
      <c r="AR521" s="12">
        <v>45886</v>
      </c>
      <c r="AS521" s="33">
        <v>12860</v>
      </c>
      <c r="AT521" s="33"/>
      <c r="AU521" s="33">
        <v>1360</v>
      </c>
      <c r="AV521" s="33"/>
      <c r="AW521" s="33">
        <v>4</v>
      </c>
      <c r="AX521" s="33"/>
      <c r="AY521" s="33">
        <v>0</v>
      </c>
      <c r="AZ521" s="109" t="s">
        <v>21</v>
      </c>
      <c r="BA521" s="40">
        <v>957</v>
      </c>
      <c r="BB521" s="33">
        <v>2871</v>
      </c>
      <c r="BC521" s="41">
        <v>0.3417857142857143</v>
      </c>
      <c r="BD521" s="11"/>
    </row>
    <row r="522" spans="1:56" x14ac:dyDescent="0.2">
      <c r="A522" s="59"/>
      <c r="B522" s="8"/>
      <c r="C522" s="33">
        <v>15415</v>
      </c>
      <c r="D522" s="9"/>
      <c r="E522" s="33">
        <v>481</v>
      </c>
      <c r="F522" s="9"/>
      <c r="G522" s="9">
        <v>24</v>
      </c>
      <c r="H522" s="9"/>
      <c r="I522" s="9">
        <v>0</v>
      </c>
      <c r="J522" s="109" t="s">
        <v>37</v>
      </c>
      <c r="K522" s="33">
        <v>275</v>
      </c>
      <c r="L522" s="9">
        <v>550</v>
      </c>
      <c r="M522" s="10">
        <v>4.7008547008547008E-2</v>
      </c>
      <c r="N522" s="11"/>
      <c r="O522" s="1"/>
      <c r="P522" s="12"/>
      <c r="Q522" s="33">
        <v>12512</v>
      </c>
      <c r="R522" s="9"/>
      <c r="S522" s="33">
        <v>465</v>
      </c>
      <c r="T522" s="9"/>
      <c r="U522" s="9">
        <v>3</v>
      </c>
      <c r="V522" s="9"/>
      <c r="W522" s="9">
        <v>0</v>
      </c>
      <c r="X522" s="121" t="s">
        <v>16</v>
      </c>
      <c r="Y522" s="34">
        <v>1100</v>
      </c>
      <c r="Z522" s="9">
        <v>4400</v>
      </c>
      <c r="AA522" s="10">
        <v>0.25</v>
      </c>
      <c r="AB522" s="11"/>
      <c r="AD522" s="12"/>
      <c r="AE522" s="33">
        <v>12512</v>
      </c>
      <c r="AF522" s="9"/>
      <c r="AG522" s="33">
        <v>465</v>
      </c>
      <c r="AH522" s="9"/>
      <c r="AI522" s="9">
        <v>3</v>
      </c>
      <c r="AJ522" s="9"/>
      <c r="AK522" s="9">
        <v>0</v>
      </c>
      <c r="AL522" s="121" t="s">
        <v>16</v>
      </c>
      <c r="AM522" s="34">
        <v>1100</v>
      </c>
      <c r="AN522" s="9">
        <v>4400</v>
      </c>
      <c r="AO522" s="10">
        <v>0.25</v>
      </c>
      <c r="AP522" s="11"/>
      <c r="AR522" s="12"/>
      <c r="AS522" s="33">
        <v>12512</v>
      </c>
      <c r="AT522" s="9"/>
      <c r="AU522" s="33">
        <v>465</v>
      </c>
      <c r="AV522" s="9"/>
      <c r="AW522" s="9">
        <v>3</v>
      </c>
      <c r="AX522" s="9"/>
      <c r="AY522" s="9">
        <v>0</v>
      </c>
      <c r="AZ522" s="121" t="s">
        <v>16</v>
      </c>
      <c r="BA522" s="34">
        <v>1100</v>
      </c>
      <c r="BB522" s="9">
        <v>4400</v>
      </c>
      <c r="BC522" s="10">
        <v>0.25</v>
      </c>
      <c r="BD522" s="11"/>
    </row>
    <row r="523" spans="1:56" x14ac:dyDescent="0.2">
      <c r="A523" s="12"/>
      <c r="B523" s="8"/>
      <c r="C523" s="33">
        <v>13337</v>
      </c>
      <c r="D523" s="9"/>
      <c r="E523" s="33">
        <v>556</v>
      </c>
      <c r="F523" s="9"/>
      <c r="G523" s="9">
        <v>4</v>
      </c>
      <c r="H523" s="9"/>
      <c r="I523" s="9">
        <v>0</v>
      </c>
      <c r="J523" s="113" t="s">
        <v>17</v>
      </c>
      <c r="K523" s="34">
        <v>110</v>
      </c>
      <c r="L523" s="9">
        <v>660</v>
      </c>
      <c r="M523" s="10">
        <v>5.4098360655737705E-2</v>
      </c>
      <c r="N523" s="11"/>
      <c r="O523" s="1"/>
      <c r="P523" s="12"/>
      <c r="Q523" s="33">
        <v>11667</v>
      </c>
      <c r="R523" s="9"/>
      <c r="S523" s="33">
        <v>827</v>
      </c>
      <c r="T523" s="9"/>
      <c r="U523" s="9">
        <v>7</v>
      </c>
      <c r="V523" s="9"/>
      <c r="W523" s="9">
        <v>0</v>
      </c>
      <c r="X523" s="121" t="s">
        <v>38</v>
      </c>
      <c r="Y523" s="34">
        <v>726</v>
      </c>
      <c r="Z523" s="9">
        <v>726</v>
      </c>
      <c r="AA523" s="10">
        <v>0.11901639344262295</v>
      </c>
      <c r="AB523" s="11"/>
      <c r="AD523" s="12"/>
      <c r="AE523" s="33">
        <v>11667</v>
      </c>
      <c r="AF523" s="9"/>
      <c r="AG523" s="33">
        <v>827</v>
      </c>
      <c r="AH523" s="9"/>
      <c r="AI523" s="9">
        <v>7</v>
      </c>
      <c r="AJ523" s="9"/>
      <c r="AK523" s="9">
        <v>0</v>
      </c>
      <c r="AL523" s="121" t="s">
        <v>38</v>
      </c>
      <c r="AM523" s="34">
        <v>726</v>
      </c>
      <c r="AN523" s="9">
        <v>726</v>
      </c>
      <c r="AO523" s="10">
        <v>0.11901639344262295</v>
      </c>
      <c r="AP523" s="11"/>
      <c r="AR523" s="12"/>
      <c r="AS523" s="33">
        <v>11667</v>
      </c>
      <c r="AT523" s="9"/>
      <c r="AU523" s="33">
        <v>827</v>
      </c>
      <c r="AV523" s="9"/>
      <c r="AW523" s="9">
        <v>7</v>
      </c>
      <c r="AX523" s="9"/>
      <c r="AY523" s="9">
        <v>0</v>
      </c>
      <c r="AZ523" s="121" t="s">
        <v>38</v>
      </c>
      <c r="BA523" s="34">
        <v>726</v>
      </c>
      <c r="BB523" s="9">
        <v>726</v>
      </c>
      <c r="BC523" s="10">
        <v>0.11901639344262295</v>
      </c>
      <c r="BD523" s="11"/>
    </row>
    <row r="524" spans="1:56" ht="15" customHeight="1" thickBot="1" x14ac:dyDescent="0.25">
      <c r="A524" s="16"/>
      <c r="B524" s="62"/>
      <c r="C524" s="36">
        <v>10481</v>
      </c>
      <c r="D524" s="36"/>
      <c r="E524" s="36">
        <v>1126</v>
      </c>
      <c r="F524" s="17"/>
      <c r="G524" s="17">
        <v>6</v>
      </c>
      <c r="H524" s="17"/>
      <c r="I524" s="17">
        <v>0</v>
      </c>
      <c r="J524" s="114" t="s">
        <v>39</v>
      </c>
      <c r="K524" s="17">
        <v>682</v>
      </c>
      <c r="L524" s="17">
        <v>2728</v>
      </c>
      <c r="M524" s="18">
        <v>0.20666666666666667</v>
      </c>
      <c r="N524" s="11"/>
      <c r="O524" s="1"/>
      <c r="P524" s="16"/>
      <c r="Q524" s="36">
        <v>10171</v>
      </c>
      <c r="R524" s="36"/>
      <c r="S524" s="36">
        <v>999</v>
      </c>
      <c r="T524" s="17"/>
      <c r="U524" s="17">
        <v>9</v>
      </c>
      <c r="V524" s="17"/>
      <c r="W524" s="17">
        <v>0</v>
      </c>
      <c r="X524" s="122" t="s">
        <v>40</v>
      </c>
      <c r="Y524" s="17">
        <v>1045</v>
      </c>
      <c r="Z524" s="17">
        <v>2090</v>
      </c>
      <c r="AA524" s="18">
        <v>0.20693069306930692</v>
      </c>
      <c r="AB524" s="11"/>
      <c r="AD524" s="16"/>
      <c r="AE524" s="36">
        <v>10171</v>
      </c>
      <c r="AF524" s="36"/>
      <c r="AG524" s="36">
        <v>999</v>
      </c>
      <c r="AH524" s="17"/>
      <c r="AI524" s="17">
        <v>9</v>
      </c>
      <c r="AJ524" s="17"/>
      <c r="AK524" s="17">
        <v>0</v>
      </c>
      <c r="AL524" s="122" t="s">
        <v>40</v>
      </c>
      <c r="AM524" s="17">
        <v>1045</v>
      </c>
      <c r="AN524" s="17">
        <v>2090</v>
      </c>
      <c r="AO524" s="18">
        <v>0.20693069306930692</v>
      </c>
      <c r="AP524" s="11"/>
      <c r="AR524" s="16"/>
      <c r="AS524" s="36">
        <v>10171</v>
      </c>
      <c r="AT524" s="36"/>
      <c r="AU524" s="36">
        <v>999</v>
      </c>
      <c r="AV524" s="17"/>
      <c r="AW524" s="17">
        <v>9</v>
      </c>
      <c r="AX524" s="17"/>
      <c r="AY524" s="17">
        <v>0</v>
      </c>
      <c r="AZ524" s="122" t="s">
        <v>40</v>
      </c>
      <c r="BA524" s="17">
        <v>1045</v>
      </c>
      <c r="BB524" s="17">
        <v>2090</v>
      </c>
      <c r="BC524" s="18">
        <v>0.20693069306930692</v>
      </c>
      <c r="BD524" s="11"/>
    </row>
    <row r="525" spans="1:56" ht="15" customHeight="1" thickTop="1" x14ac:dyDescent="0.2">
      <c r="K525"/>
    </row>
    <row r="526" spans="1:56" x14ac:dyDescent="0.2">
      <c r="K526"/>
    </row>
    <row r="527" spans="1:56" x14ac:dyDescent="0.2">
      <c r="K527"/>
    </row>
    <row r="528" spans="1:56" ht="15" customHeight="1" x14ac:dyDescent="0.2">
      <c r="K528"/>
    </row>
    <row r="529" spans="11:11" ht="15" customHeight="1" x14ac:dyDescent="0.2">
      <c r="K529"/>
    </row>
    <row r="530" spans="11:11" x14ac:dyDescent="0.2">
      <c r="K530"/>
    </row>
    <row r="531" spans="11:11" ht="15" customHeight="1" x14ac:dyDescent="0.2">
      <c r="K531"/>
    </row>
    <row r="532" spans="11:11" ht="15" customHeight="1" x14ac:dyDescent="0.2">
      <c r="K532"/>
    </row>
    <row r="533" spans="11:11" ht="15" customHeight="1" x14ac:dyDescent="0.2">
      <c r="K533"/>
    </row>
    <row r="534" spans="11:11" ht="15" customHeight="1" x14ac:dyDescent="0.2">
      <c r="K534"/>
    </row>
    <row r="535" spans="11:11" ht="15" customHeight="1" x14ac:dyDescent="0.2">
      <c r="K535"/>
    </row>
    <row r="536" spans="11:11" ht="15" customHeight="1" x14ac:dyDescent="0.2">
      <c r="K536"/>
    </row>
    <row r="537" spans="11:11" ht="15" customHeight="1" x14ac:dyDescent="0.2">
      <c r="K537"/>
    </row>
    <row r="538" spans="11:11" ht="15" customHeight="1" x14ac:dyDescent="0.2">
      <c r="K538"/>
    </row>
    <row r="539" spans="11:11" ht="15" customHeight="1" x14ac:dyDescent="0.2">
      <c r="K539"/>
    </row>
    <row r="540" spans="11:11" ht="15" customHeight="1" x14ac:dyDescent="0.2">
      <c r="K540"/>
    </row>
    <row r="541" spans="11:11" ht="15" customHeight="1" x14ac:dyDescent="0.2">
      <c r="K541"/>
    </row>
    <row r="542" spans="11:11" ht="15" customHeight="1" x14ac:dyDescent="0.2">
      <c r="K542"/>
    </row>
    <row r="543" spans="11:11" ht="15" customHeight="1" x14ac:dyDescent="0.2">
      <c r="K543"/>
    </row>
    <row r="544" spans="11:11" ht="15" customHeight="1" x14ac:dyDescent="0.2">
      <c r="K544"/>
    </row>
    <row r="545" spans="11:11" ht="15" customHeight="1" x14ac:dyDescent="0.2">
      <c r="K545"/>
    </row>
    <row r="546" spans="11:11" ht="15" customHeight="1" x14ac:dyDescent="0.2">
      <c r="K546"/>
    </row>
    <row r="547" spans="11:11" ht="15" customHeight="1" x14ac:dyDescent="0.2">
      <c r="K547"/>
    </row>
    <row r="548" spans="11:11" ht="15" customHeight="1" x14ac:dyDescent="0.2">
      <c r="K548"/>
    </row>
    <row r="549" spans="11:11" ht="15" customHeight="1" x14ac:dyDescent="0.2">
      <c r="K549"/>
    </row>
    <row r="550" spans="11:11" ht="15" customHeight="1" x14ac:dyDescent="0.2">
      <c r="K550"/>
    </row>
    <row r="551" spans="11:11" ht="15" customHeight="1" x14ac:dyDescent="0.2">
      <c r="K551"/>
    </row>
    <row r="552" spans="11:11" ht="15" customHeight="1" x14ac:dyDescent="0.2">
      <c r="K552"/>
    </row>
    <row r="553" spans="11:11" ht="15" customHeight="1" x14ac:dyDescent="0.2">
      <c r="K553"/>
    </row>
    <row r="554" spans="11:11" ht="15" customHeight="1" x14ac:dyDescent="0.2">
      <c r="K554"/>
    </row>
    <row r="555" spans="11:11" ht="15" customHeight="1" x14ac:dyDescent="0.2">
      <c r="K555"/>
    </row>
    <row r="556" spans="11:11" ht="15" customHeight="1" x14ac:dyDescent="0.2">
      <c r="K556"/>
    </row>
    <row r="557" spans="11:11" ht="15" customHeight="1" x14ac:dyDescent="0.2">
      <c r="K557"/>
    </row>
    <row r="558" spans="11:11" ht="15" customHeight="1" x14ac:dyDescent="0.2">
      <c r="K558"/>
    </row>
    <row r="559" spans="11:11" ht="15" customHeight="1" x14ac:dyDescent="0.2">
      <c r="K559"/>
    </row>
    <row r="560" spans="11:11" ht="15" customHeight="1" x14ac:dyDescent="0.2">
      <c r="K560"/>
    </row>
    <row r="561" spans="11:11" ht="15" customHeight="1" x14ac:dyDescent="0.2">
      <c r="K561"/>
    </row>
    <row r="562" spans="11:11" ht="15" customHeight="1" x14ac:dyDescent="0.2">
      <c r="K562"/>
    </row>
    <row r="563" spans="11:11" ht="15" customHeight="1" x14ac:dyDescent="0.2">
      <c r="K563"/>
    </row>
    <row r="564" spans="11:11" ht="15" customHeight="1" x14ac:dyDescent="0.2">
      <c r="K564"/>
    </row>
    <row r="565" spans="11:11" ht="15" customHeight="1" x14ac:dyDescent="0.2">
      <c r="K565"/>
    </row>
    <row r="566" spans="11:11" ht="15" customHeight="1" x14ac:dyDescent="0.2">
      <c r="K566"/>
    </row>
    <row r="567" spans="11:11" ht="15" customHeight="1" x14ac:dyDescent="0.2">
      <c r="K567"/>
    </row>
    <row r="568" spans="11:11" ht="15" customHeight="1" x14ac:dyDescent="0.2">
      <c r="K568"/>
    </row>
    <row r="569" spans="11:11" ht="15" customHeight="1" x14ac:dyDescent="0.2">
      <c r="K569"/>
    </row>
    <row r="570" spans="11:11" ht="15" customHeight="1" x14ac:dyDescent="0.2">
      <c r="K570"/>
    </row>
    <row r="571" spans="11:11" ht="15" customHeight="1" x14ac:dyDescent="0.2">
      <c r="K571"/>
    </row>
    <row r="572" spans="11:11" ht="15" customHeight="1" x14ac:dyDescent="0.2">
      <c r="K572"/>
    </row>
    <row r="573" spans="11:11" ht="15" customHeight="1" x14ac:dyDescent="0.2">
      <c r="K573"/>
    </row>
    <row r="574" spans="11:11" ht="15" customHeight="1" x14ac:dyDescent="0.2">
      <c r="K574"/>
    </row>
    <row r="575" spans="11:11" x14ac:dyDescent="0.2">
      <c r="K575"/>
    </row>
    <row r="576" spans="11:11" x14ac:dyDescent="0.2">
      <c r="K576"/>
    </row>
    <row r="577" spans="11:11" x14ac:dyDescent="0.2">
      <c r="K577"/>
    </row>
    <row r="578" spans="11:11" x14ac:dyDescent="0.2">
      <c r="K578"/>
    </row>
    <row r="579" spans="11:11" x14ac:dyDescent="0.2">
      <c r="K579"/>
    </row>
    <row r="580" spans="11:11" x14ac:dyDescent="0.2">
      <c r="K580"/>
    </row>
    <row r="581" spans="11:11" ht="15" customHeight="1" x14ac:dyDescent="0.2">
      <c r="K581"/>
    </row>
    <row r="582" spans="11:11" x14ac:dyDescent="0.2">
      <c r="K582"/>
    </row>
    <row r="583" spans="11:11" x14ac:dyDescent="0.2">
      <c r="K583"/>
    </row>
    <row r="584" spans="11:11" x14ac:dyDescent="0.2">
      <c r="K584"/>
    </row>
    <row r="585" spans="11:11" x14ac:dyDescent="0.2">
      <c r="K585"/>
    </row>
    <row r="586" spans="11:11" x14ac:dyDescent="0.2">
      <c r="K586"/>
    </row>
    <row r="587" spans="11:11" ht="15" customHeight="1" x14ac:dyDescent="0.2">
      <c r="K587"/>
    </row>
    <row r="588" spans="11:11" ht="15" customHeight="1" x14ac:dyDescent="0.2">
      <c r="K588"/>
    </row>
    <row r="589" spans="11:11" x14ac:dyDescent="0.2">
      <c r="K589"/>
    </row>
    <row r="590" spans="11:11" ht="15" customHeight="1" x14ac:dyDescent="0.2">
      <c r="K590"/>
    </row>
    <row r="591" spans="11:11" ht="15" customHeight="1" x14ac:dyDescent="0.2">
      <c r="K591"/>
    </row>
    <row r="592" spans="11:11" ht="15" customHeight="1" x14ac:dyDescent="0.2">
      <c r="K592"/>
    </row>
    <row r="593" spans="11:11" ht="15" customHeight="1" x14ac:dyDescent="0.2">
      <c r="K593"/>
    </row>
    <row r="594" spans="11:11" ht="15" customHeight="1" x14ac:dyDescent="0.2">
      <c r="K594"/>
    </row>
    <row r="595" spans="11:11" ht="15" customHeight="1" x14ac:dyDescent="0.2">
      <c r="K595"/>
    </row>
    <row r="596" spans="11:11" ht="15" customHeight="1" x14ac:dyDescent="0.2">
      <c r="K596"/>
    </row>
    <row r="597" spans="11:11" ht="15" customHeight="1" x14ac:dyDescent="0.2">
      <c r="K597"/>
    </row>
    <row r="598" spans="11:11" ht="15" customHeight="1" x14ac:dyDescent="0.2">
      <c r="K598"/>
    </row>
    <row r="599" spans="11:11" ht="15" customHeight="1" x14ac:dyDescent="0.2">
      <c r="K599"/>
    </row>
    <row r="600" spans="11:11" ht="15" customHeight="1" x14ac:dyDescent="0.2">
      <c r="K600"/>
    </row>
    <row r="601" spans="11:11" ht="15" customHeight="1" x14ac:dyDescent="0.2">
      <c r="K601"/>
    </row>
    <row r="602" spans="11:11" ht="15" customHeight="1" x14ac:dyDescent="0.2">
      <c r="K602"/>
    </row>
    <row r="603" spans="11:11" ht="15" customHeight="1" x14ac:dyDescent="0.2">
      <c r="K603"/>
    </row>
    <row r="604" spans="11:11" ht="15" customHeight="1" x14ac:dyDescent="0.2">
      <c r="K604"/>
    </row>
    <row r="605" spans="11:11" ht="15" customHeight="1" x14ac:dyDescent="0.2">
      <c r="K605"/>
    </row>
    <row r="606" spans="11:11" ht="15" customHeight="1" x14ac:dyDescent="0.2">
      <c r="K606"/>
    </row>
    <row r="607" spans="11:11" ht="15" customHeight="1" x14ac:dyDescent="0.2">
      <c r="K607"/>
    </row>
    <row r="608" spans="11:11" ht="15" customHeight="1" x14ac:dyDescent="0.2">
      <c r="K608"/>
    </row>
    <row r="609" spans="11:11" ht="15" customHeight="1" x14ac:dyDescent="0.2">
      <c r="K609"/>
    </row>
    <row r="610" spans="11:11" ht="15" customHeight="1" x14ac:dyDescent="0.2">
      <c r="K610"/>
    </row>
    <row r="611" spans="11:11" ht="15" customHeight="1" x14ac:dyDescent="0.2">
      <c r="K611"/>
    </row>
    <row r="612" spans="11:11" ht="15" customHeight="1" x14ac:dyDescent="0.2">
      <c r="K612"/>
    </row>
    <row r="613" spans="11:11" ht="15" customHeight="1" x14ac:dyDescent="0.2">
      <c r="K613"/>
    </row>
    <row r="614" spans="11:11" ht="15" customHeight="1" x14ac:dyDescent="0.2">
      <c r="K614"/>
    </row>
    <row r="615" spans="11:11" ht="15" customHeight="1" x14ac:dyDescent="0.2">
      <c r="K615"/>
    </row>
    <row r="616" spans="11:11" ht="15" customHeight="1" x14ac:dyDescent="0.2">
      <c r="K616"/>
    </row>
    <row r="617" spans="11:11" ht="15" customHeight="1" x14ac:dyDescent="0.2">
      <c r="K617"/>
    </row>
    <row r="618" spans="11:11" ht="15" customHeight="1" x14ac:dyDescent="0.2">
      <c r="K618"/>
    </row>
    <row r="619" spans="11:11" ht="15" customHeight="1" x14ac:dyDescent="0.2">
      <c r="K619"/>
    </row>
    <row r="620" spans="11:11" ht="15" customHeight="1" x14ac:dyDescent="0.2">
      <c r="K620"/>
    </row>
    <row r="621" spans="11:11" ht="15" customHeight="1" x14ac:dyDescent="0.2">
      <c r="K621"/>
    </row>
    <row r="622" spans="11:11" ht="15" customHeight="1" x14ac:dyDescent="0.2">
      <c r="K622"/>
    </row>
    <row r="623" spans="11:11" ht="15" customHeight="1" x14ac:dyDescent="0.2">
      <c r="K623"/>
    </row>
    <row r="624" spans="11:11" ht="15" customHeight="1" x14ac:dyDescent="0.2">
      <c r="K624"/>
    </row>
    <row r="625" spans="11:11" ht="15" customHeight="1" x14ac:dyDescent="0.2">
      <c r="K625"/>
    </row>
    <row r="626" spans="11:11" ht="15" customHeight="1" x14ac:dyDescent="0.2">
      <c r="K626"/>
    </row>
    <row r="627" spans="11:11" ht="15" customHeight="1" x14ac:dyDescent="0.2">
      <c r="K627"/>
    </row>
    <row r="628" spans="11:11" ht="15" customHeight="1" x14ac:dyDescent="0.2">
      <c r="K628"/>
    </row>
    <row r="629" spans="11:11" ht="15" customHeight="1" x14ac:dyDescent="0.2">
      <c r="K629"/>
    </row>
    <row r="630" spans="11:11" ht="15" customHeight="1" x14ac:dyDescent="0.2">
      <c r="K630"/>
    </row>
    <row r="631" spans="11:11" ht="15" customHeight="1" x14ac:dyDescent="0.2">
      <c r="K631"/>
    </row>
    <row r="632" spans="11:11" ht="15" customHeight="1" x14ac:dyDescent="0.2">
      <c r="K632"/>
    </row>
    <row r="633" spans="11:11" x14ac:dyDescent="0.2">
      <c r="K633"/>
    </row>
    <row r="634" spans="11:11" x14ac:dyDescent="0.2">
      <c r="K634"/>
    </row>
    <row r="635" spans="11:11" ht="15" customHeight="1" x14ac:dyDescent="0.2">
      <c r="K635"/>
    </row>
    <row r="636" spans="11:11" ht="15" customHeight="1" x14ac:dyDescent="0.2">
      <c r="K636"/>
    </row>
    <row r="637" spans="11:11" ht="15" customHeight="1" x14ac:dyDescent="0.2">
      <c r="K637"/>
    </row>
    <row r="638" spans="11:11" ht="15" customHeight="1" x14ac:dyDescent="0.2">
      <c r="K638"/>
    </row>
    <row r="639" spans="11:11" ht="15" customHeight="1" x14ac:dyDescent="0.2">
      <c r="K639"/>
    </row>
    <row r="640" spans="11:11" ht="15" customHeight="1" x14ac:dyDescent="0.2">
      <c r="K640"/>
    </row>
    <row r="641" spans="11:11" x14ac:dyDescent="0.2">
      <c r="K641"/>
    </row>
    <row r="642" spans="11:11" x14ac:dyDescent="0.2">
      <c r="K642"/>
    </row>
    <row r="643" spans="11:11" x14ac:dyDescent="0.2">
      <c r="K643"/>
    </row>
    <row r="644" spans="11:11" x14ac:dyDescent="0.2">
      <c r="K644"/>
    </row>
    <row r="645" spans="11:11" ht="15" customHeight="1" x14ac:dyDescent="0.2">
      <c r="K645"/>
    </row>
    <row r="646" spans="11:11" ht="15" customHeight="1" x14ac:dyDescent="0.2">
      <c r="K646"/>
    </row>
    <row r="647" spans="11:11" x14ac:dyDescent="0.2">
      <c r="K647"/>
    </row>
    <row r="648" spans="11:11" x14ac:dyDescent="0.2">
      <c r="K648"/>
    </row>
    <row r="649" spans="11:11" ht="15" customHeight="1" x14ac:dyDescent="0.2">
      <c r="K649"/>
    </row>
    <row r="650" spans="11:11" ht="15" customHeight="1" x14ac:dyDescent="0.2">
      <c r="K650"/>
    </row>
    <row r="651" spans="11:11" x14ac:dyDescent="0.2">
      <c r="K651"/>
    </row>
    <row r="652" spans="11:11" x14ac:dyDescent="0.2">
      <c r="K652"/>
    </row>
    <row r="653" spans="11:11" ht="15" customHeight="1" x14ac:dyDescent="0.2">
      <c r="K653"/>
    </row>
    <row r="654" spans="11:11" ht="15" customHeight="1" x14ac:dyDescent="0.2">
      <c r="K654"/>
    </row>
    <row r="655" spans="11:11" ht="15" customHeight="1" x14ac:dyDescent="0.2">
      <c r="K655"/>
    </row>
    <row r="656" spans="11:11" x14ac:dyDescent="0.2">
      <c r="K656"/>
    </row>
    <row r="657" spans="11:11" ht="15" customHeight="1" x14ac:dyDescent="0.2">
      <c r="K657"/>
    </row>
    <row r="658" spans="11:11" ht="15" customHeight="1" x14ac:dyDescent="0.2">
      <c r="K658"/>
    </row>
    <row r="659" spans="11:11" x14ac:dyDescent="0.2">
      <c r="K659"/>
    </row>
    <row r="660" spans="11:11" ht="15" customHeight="1" x14ac:dyDescent="0.2">
      <c r="K660"/>
    </row>
    <row r="661" spans="11:11" ht="15" customHeight="1" x14ac:dyDescent="0.2">
      <c r="K661"/>
    </row>
    <row r="662" spans="11:11" ht="15" customHeight="1" x14ac:dyDescent="0.2">
      <c r="K662"/>
    </row>
    <row r="663" spans="11:11" ht="15" customHeight="1" x14ac:dyDescent="0.2">
      <c r="K663"/>
    </row>
    <row r="664" spans="11:11" ht="15" customHeight="1" x14ac:dyDescent="0.2">
      <c r="K664"/>
    </row>
    <row r="665" spans="11:11" ht="15" customHeight="1" x14ac:dyDescent="0.2">
      <c r="K665"/>
    </row>
    <row r="666" spans="11:11" ht="15" customHeight="1" x14ac:dyDescent="0.2">
      <c r="K666"/>
    </row>
    <row r="667" spans="11:11" ht="15" customHeight="1" x14ac:dyDescent="0.2">
      <c r="K667"/>
    </row>
    <row r="668" spans="11:11" ht="15" customHeight="1" x14ac:dyDescent="0.2">
      <c r="K668"/>
    </row>
    <row r="669" spans="11:11" ht="15" customHeight="1" x14ac:dyDescent="0.2">
      <c r="K669"/>
    </row>
    <row r="670" spans="11:11" ht="15" customHeight="1" x14ac:dyDescent="0.2">
      <c r="K670"/>
    </row>
    <row r="671" spans="11:11" ht="15" customHeight="1" x14ac:dyDescent="0.2">
      <c r="K671"/>
    </row>
    <row r="672" spans="11:11" ht="15" customHeight="1" x14ac:dyDescent="0.2">
      <c r="K672"/>
    </row>
    <row r="673" spans="11:11" ht="15" customHeight="1" x14ac:dyDescent="0.2">
      <c r="K673"/>
    </row>
    <row r="674" spans="11:11" ht="15" customHeight="1" x14ac:dyDescent="0.2">
      <c r="K674"/>
    </row>
    <row r="675" spans="11:11" ht="15" customHeight="1" x14ac:dyDescent="0.2">
      <c r="K675"/>
    </row>
    <row r="676" spans="11:11" ht="15" customHeight="1" x14ac:dyDescent="0.2">
      <c r="K676"/>
    </row>
    <row r="677" spans="11:11" ht="15" customHeight="1" x14ac:dyDescent="0.2">
      <c r="K677"/>
    </row>
    <row r="678" spans="11:11" ht="15" customHeight="1" x14ac:dyDescent="0.2">
      <c r="K678"/>
    </row>
    <row r="679" spans="11:11" ht="15" customHeight="1" x14ac:dyDescent="0.2">
      <c r="K679"/>
    </row>
    <row r="680" spans="11:11" ht="15" customHeight="1" x14ac:dyDescent="0.2">
      <c r="K680"/>
    </row>
    <row r="681" spans="11:11" ht="15" customHeight="1" x14ac:dyDescent="0.2">
      <c r="K681"/>
    </row>
    <row r="682" spans="11:11" ht="15" customHeight="1" x14ac:dyDescent="0.2">
      <c r="K682"/>
    </row>
    <row r="683" spans="11:11" ht="15" customHeight="1" x14ac:dyDescent="0.2">
      <c r="K683"/>
    </row>
    <row r="684" spans="11:11" ht="15" customHeight="1" x14ac:dyDescent="0.2">
      <c r="K684"/>
    </row>
    <row r="685" spans="11:11" ht="15" customHeight="1" x14ac:dyDescent="0.2">
      <c r="K685"/>
    </row>
    <row r="686" spans="11:11" ht="15" customHeight="1" x14ac:dyDescent="0.2">
      <c r="K686"/>
    </row>
    <row r="687" spans="11:11" ht="15" customHeight="1" x14ac:dyDescent="0.2">
      <c r="K687"/>
    </row>
    <row r="688" spans="11:11" ht="15" customHeight="1" x14ac:dyDescent="0.2">
      <c r="K688"/>
    </row>
    <row r="689" spans="11:11" ht="15" customHeight="1" x14ac:dyDescent="0.2">
      <c r="K689"/>
    </row>
    <row r="690" spans="11:11" ht="15" customHeight="1" x14ac:dyDescent="0.2">
      <c r="K690"/>
    </row>
    <row r="691" spans="11:11" ht="15" customHeight="1" x14ac:dyDescent="0.2">
      <c r="K691"/>
    </row>
    <row r="692" spans="11:11" ht="15" customHeight="1" x14ac:dyDescent="0.2">
      <c r="K692"/>
    </row>
    <row r="693" spans="11:11" ht="15" customHeight="1" x14ac:dyDescent="0.2">
      <c r="K693"/>
    </row>
    <row r="694" spans="11:11" ht="15" customHeight="1" x14ac:dyDescent="0.2">
      <c r="K694"/>
    </row>
    <row r="695" spans="11:11" ht="15" customHeight="1" x14ac:dyDescent="0.2">
      <c r="K695"/>
    </row>
    <row r="696" spans="11:11" ht="15" customHeight="1" x14ac:dyDescent="0.2">
      <c r="K696"/>
    </row>
    <row r="697" spans="11:11" ht="15" customHeight="1" x14ac:dyDescent="0.2">
      <c r="K697"/>
    </row>
    <row r="698" spans="11:11" ht="15" customHeight="1" x14ac:dyDescent="0.2">
      <c r="K698"/>
    </row>
    <row r="699" spans="11:11" ht="15" customHeight="1" x14ac:dyDescent="0.2">
      <c r="K699"/>
    </row>
    <row r="700" spans="11:11" ht="15" customHeight="1" x14ac:dyDescent="0.2">
      <c r="K700"/>
    </row>
    <row r="701" spans="11:11" x14ac:dyDescent="0.2">
      <c r="K701"/>
    </row>
    <row r="702" spans="11:11" ht="15" customHeight="1" x14ac:dyDescent="0.2">
      <c r="K702"/>
    </row>
    <row r="703" spans="11:11" x14ac:dyDescent="0.2">
      <c r="K703"/>
    </row>
    <row r="704" spans="11:11" x14ac:dyDescent="0.2">
      <c r="K704"/>
    </row>
    <row r="705" spans="11:11" ht="15" customHeight="1" x14ac:dyDescent="0.2">
      <c r="K705"/>
    </row>
    <row r="706" spans="11:11" ht="15" customHeight="1" x14ac:dyDescent="0.2">
      <c r="K706"/>
    </row>
    <row r="707" spans="11:11" ht="15" customHeight="1" x14ac:dyDescent="0.2">
      <c r="K707"/>
    </row>
    <row r="708" spans="11:11" ht="15" customHeight="1" x14ac:dyDescent="0.2">
      <c r="K708"/>
    </row>
    <row r="709" spans="11:11" ht="15" customHeight="1" x14ac:dyDescent="0.2">
      <c r="K709"/>
    </row>
    <row r="710" spans="11:11" ht="15" customHeight="1" x14ac:dyDescent="0.2">
      <c r="K710"/>
    </row>
    <row r="711" spans="11:11" x14ac:dyDescent="0.2">
      <c r="K711"/>
    </row>
    <row r="712" spans="11:11" x14ac:dyDescent="0.2">
      <c r="K712"/>
    </row>
    <row r="713" spans="11:11" x14ac:dyDescent="0.2">
      <c r="K713"/>
    </row>
    <row r="714" spans="11:11" x14ac:dyDescent="0.2">
      <c r="K714"/>
    </row>
    <row r="715" spans="11:11" x14ac:dyDescent="0.2">
      <c r="K715"/>
    </row>
    <row r="716" spans="11:11" x14ac:dyDescent="0.2">
      <c r="K716"/>
    </row>
    <row r="717" spans="11:11" x14ac:dyDescent="0.2">
      <c r="K717"/>
    </row>
    <row r="718" spans="11:11" x14ac:dyDescent="0.2">
      <c r="K718"/>
    </row>
    <row r="719" spans="11:11" x14ac:dyDescent="0.2">
      <c r="K719"/>
    </row>
    <row r="720" spans="11:11" x14ac:dyDescent="0.2">
      <c r="K720"/>
    </row>
    <row r="721" spans="11:11" x14ac:dyDescent="0.2">
      <c r="K721"/>
    </row>
    <row r="722" spans="11:11" x14ac:dyDescent="0.2">
      <c r="K722"/>
    </row>
    <row r="723" spans="11:11" x14ac:dyDescent="0.2">
      <c r="K723"/>
    </row>
    <row r="724" spans="11:11" x14ac:dyDescent="0.2">
      <c r="K724"/>
    </row>
    <row r="725" spans="11:11" x14ac:dyDescent="0.2">
      <c r="K725"/>
    </row>
    <row r="726" spans="11:11" ht="16.5" customHeight="1" x14ac:dyDescent="0.2">
      <c r="K726"/>
    </row>
    <row r="727" spans="11:11" x14ac:dyDescent="0.2">
      <c r="K727"/>
    </row>
    <row r="728" spans="11:11" x14ac:dyDescent="0.2">
      <c r="K728"/>
    </row>
    <row r="729" spans="11:11" x14ac:dyDescent="0.2">
      <c r="K729"/>
    </row>
    <row r="730" spans="11:11" x14ac:dyDescent="0.2">
      <c r="K730"/>
    </row>
    <row r="731" spans="11:11" ht="15.75" customHeight="1" x14ac:dyDescent="0.2">
      <c r="K731"/>
    </row>
    <row r="732" spans="11:11" ht="15.75" customHeight="1" x14ac:dyDescent="0.2">
      <c r="K732"/>
    </row>
    <row r="733" spans="11:11" ht="15.75" customHeight="1" x14ac:dyDescent="0.2">
      <c r="K733"/>
    </row>
    <row r="734" spans="11:11" ht="15.75" customHeight="1" x14ac:dyDescent="0.2">
      <c r="K734"/>
    </row>
    <row r="735" spans="11:11" ht="15.75" customHeight="1" x14ac:dyDescent="0.2">
      <c r="K735"/>
    </row>
    <row r="736" spans="11:11" ht="15.75" customHeight="1" x14ac:dyDescent="0.2">
      <c r="K736"/>
    </row>
    <row r="737" spans="11:11" ht="15.75" customHeight="1" x14ac:dyDescent="0.2">
      <c r="K737"/>
    </row>
    <row r="738" spans="11:11" ht="15.75" customHeight="1" x14ac:dyDescent="0.2">
      <c r="K738"/>
    </row>
    <row r="739" spans="11:11" ht="15.75" customHeight="1" x14ac:dyDescent="0.2">
      <c r="K739"/>
    </row>
    <row r="740" spans="11:11" ht="15.75" customHeight="1" x14ac:dyDescent="0.2">
      <c r="K740"/>
    </row>
    <row r="741" spans="11:11" ht="15.75" customHeight="1" x14ac:dyDescent="0.2">
      <c r="K741"/>
    </row>
    <row r="742" spans="11:11" ht="15.75" customHeight="1" x14ac:dyDescent="0.2">
      <c r="K742"/>
    </row>
    <row r="743" spans="11:11" ht="15.75" customHeight="1" x14ac:dyDescent="0.2">
      <c r="K743"/>
    </row>
    <row r="744" spans="11:11" ht="15.75" customHeight="1" x14ac:dyDescent="0.2">
      <c r="K744"/>
    </row>
    <row r="745" spans="11:11" ht="15.75" customHeight="1" x14ac:dyDescent="0.2">
      <c r="K745"/>
    </row>
    <row r="746" spans="11:11" ht="15" customHeight="1" x14ac:dyDescent="0.2">
      <c r="K746"/>
    </row>
    <row r="747" spans="11:11" ht="15.75" customHeight="1" x14ac:dyDescent="0.2">
      <c r="K747"/>
    </row>
    <row r="748" spans="11:11" ht="15.75" customHeight="1" x14ac:dyDescent="0.2">
      <c r="K748"/>
    </row>
    <row r="749" spans="11:11" ht="15.75" customHeight="1" x14ac:dyDescent="0.2">
      <c r="K749"/>
    </row>
    <row r="750" spans="11:11" ht="15.75" customHeight="1" x14ac:dyDescent="0.2">
      <c r="K750"/>
    </row>
    <row r="751" spans="11:11" ht="15.75" customHeight="1" x14ac:dyDescent="0.2">
      <c r="K751"/>
    </row>
    <row r="752" spans="11:11" ht="15.75" customHeight="1" x14ac:dyDescent="0.2">
      <c r="K752"/>
    </row>
    <row r="753" spans="11:11" ht="15.75" customHeight="1" x14ac:dyDescent="0.2">
      <c r="K753"/>
    </row>
    <row r="754" spans="11:11" ht="15.75" customHeight="1" x14ac:dyDescent="0.2">
      <c r="K754"/>
    </row>
    <row r="755" spans="11:11" ht="15.75" customHeight="1" x14ac:dyDescent="0.2">
      <c r="K755"/>
    </row>
    <row r="756" spans="11:11" ht="15.75" customHeight="1" x14ac:dyDescent="0.2">
      <c r="K756"/>
    </row>
    <row r="757" spans="11:11" ht="15.75" customHeight="1" x14ac:dyDescent="0.2">
      <c r="K757"/>
    </row>
    <row r="758" spans="11:11" ht="15.75" customHeight="1" x14ac:dyDescent="0.2">
      <c r="K758"/>
    </row>
    <row r="759" spans="11:11" ht="15.75" customHeight="1" x14ac:dyDescent="0.2">
      <c r="K759"/>
    </row>
    <row r="760" spans="11:11" ht="15.75" customHeight="1" x14ac:dyDescent="0.2">
      <c r="K760"/>
    </row>
    <row r="761" spans="11:11" ht="15.75" customHeight="1" x14ac:dyDescent="0.2">
      <c r="K761"/>
    </row>
    <row r="762" spans="11:11" ht="15.75" customHeight="1" x14ac:dyDescent="0.2">
      <c r="K762"/>
    </row>
    <row r="763" spans="11:11" ht="15.75" customHeight="1" x14ac:dyDescent="0.2">
      <c r="K763"/>
    </row>
    <row r="764" spans="11:11" ht="15.75" customHeight="1" x14ac:dyDescent="0.2">
      <c r="K764"/>
    </row>
    <row r="765" spans="11:11" ht="15.75" customHeight="1" x14ac:dyDescent="0.2">
      <c r="K765"/>
    </row>
    <row r="766" spans="11:11" ht="15.75" customHeight="1" x14ac:dyDescent="0.2">
      <c r="K766"/>
    </row>
    <row r="767" spans="11:11" ht="15.75" customHeight="1" x14ac:dyDescent="0.2">
      <c r="K767"/>
    </row>
    <row r="768" spans="11:11" ht="15.75" customHeight="1" x14ac:dyDescent="0.2">
      <c r="K768"/>
    </row>
    <row r="769" spans="11:11" ht="15.75" customHeight="1" x14ac:dyDescent="0.2">
      <c r="K769"/>
    </row>
    <row r="770" spans="11:11" ht="15.75" customHeight="1" x14ac:dyDescent="0.2">
      <c r="K770"/>
    </row>
    <row r="771" spans="11:11" ht="15.75" customHeight="1" x14ac:dyDescent="0.2">
      <c r="K771"/>
    </row>
    <row r="772" spans="11:11" ht="15.75" customHeight="1" x14ac:dyDescent="0.2">
      <c r="K772"/>
    </row>
    <row r="773" spans="11:11" ht="15.75" customHeight="1" x14ac:dyDescent="0.2">
      <c r="K773"/>
    </row>
    <row r="774" spans="11:11" ht="15.75" customHeight="1" x14ac:dyDescent="0.2">
      <c r="K774"/>
    </row>
    <row r="775" spans="11:11" ht="15.75" customHeight="1" x14ac:dyDescent="0.2">
      <c r="K775"/>
    </row>
    <row r="776" spans="11:11" ht="15.75" customHeight="1" x14ac:dyDescent="0.2">
      <c r="K776"/>
    </row>
    <row r="777" spans="11:11" ht="15.75" customHeight="1" x14ac:dyDescent="0.2">
      <c r="K777"/>
    </row>
    <row r="778" spans="11:11" ht="15.75" customHeight="1" x14ac:dyDescent="0.2">
      <c r="K778"/>
    </row>
    <row r="779" spans="11:11" ht="15.75" customHeight="1" x14ac:dyDescent="0.2">
      <c r="K779"/>
    </row>
    <row r="780" spans="11:11" ht="15.75" customHeight="1" x14ac:dyDescent="0.2">
      <c r="K780"/>
    </row>
    <row r="781" spans="11:11" ht="15.75" customHeight="1" x14ac:dyDescent="0.2">
      <c r="K781"/>
    </row>
    <row r="782" spans="11:11" ht="15.75" customHeight="1" x14ac:dyDescent="0.2">
      <c r="K782"/>
    </row>
    <row r="783" spans="11:11" ht="15.75" customHeight="1" x14ac:dyDescent="0.2">
      <c r="K783"/>
    </row>
    <row r="784" spans="11:11" ht="15.75" customHeight="1" x14ac:dyDescent="0.2">
      <c r="K784"/>
    </row>
    <row r="785" spans="11:11" ht="15.75" customHeight="1" x14ac:dyDescent="0.2">
      <c r="K785"/>
    </row>
    <row r="786" spans="11:11" ht="15.75" customHeight="1" x14ac:dyDescent="0.2">
      <c r="K786"/>
    </row>
    <row r="787" spans="11:11" ht="15.75" customHeight="1" x14ac:dyDescent="0.2">
      <c r="K787"/>
    </row>
    <row r="788" spans="11:11" ht="15.75" customHeight="1" x14ac:dyDescent="0.2">
      <c r="K788"/>
    </row>
    <row r="789" spans="11:11" ht="15.75" customHeight="1" x14ac:dyDescent="0.2">
      <c r="K789"/>
    </row>
    <row r="790" spans="11:11" ht="15.75" customHeight="1" x14ac:dyDescent="0.2">
      <c r="K790"/>
    </row>
    <row r="791" spans="11:11" ht="15.75" customHeight="1" x14ac:dyDescent="0.2">
      <c r="K791"/>
    </row>
    <row r="792" spans="11:11" ht="15.75" customHeight="1" x14ac:dyDescent="0.2">
      <c r="K792"/>
    </row>
    <row r="793" spans="11:11" ht="15.75" customHeight="1" x14ac:dyDescent="0.2">
      <c r="K793"/>
    </row>
    <row r="794" spans="11:11" ht="15.75" customHeight="1" x14ac:dyDescent="0.2">
      <c r="K794"/>
    </row>
    <row r="795" spans="11:11" ht="15.75" customHeight="1" x14ac:dyDescent="0.2">
      <c r="K795"/>
    </row>
    <row r="796" spans="11:11" ht="15.75" customHeight="1" x14ac:dyDescent="0.2">
      <c r="K796"/>
    </row>
    <row r="797" spans="11:11" ht="16.5" customHeight="1" x14ac:dyDescent="0.2">
      <c r="K797"/>
    </row>
    <row r="798" spans="11:11" ht="15.75" customHeight="1" x14ac:dyDescent="0.2">
      <c r="K798"/>
    </row>
    <row r="799" spans="11:11" ht="15.75" customHeight="1" x14ac:dyDescent="0.2">
      <c r="K799"/>
    </row>
    <row r="800" spans="11:11" ht="15.75" customHeight="1" x14ac:dyDescent="0.2">
      <c r="K800"/>
    </row>
    <row r="801" spans="11:11" ht="15.75" customHeight="1" x14ac:dyDescent="0.2">
      <c r="K801"/>
    </row>
    <row r="802" spans="11:11" ht="15.75" customHeight="1" x14ac:dyDescent="0.2">
      <c r="K802"/>
    </row>
    <row r="803" spans="11:11" ht="15.75" customHeight="1" x14ac:dyDescent="0.2">
      <c r="K803"/>
    </row>
    <row r="804" spans="11:11" ht="15.75" customHeight="1" x14ac:dyDescent="0.2">
      <c r="K804"/>
    </row>
    <row r="805" spans="11:11" ht="15.75" customHeight="1" x14ac:dyDescent="0.2">
      <c r="K805"/>
    </row>
    <row r="806" spans="11:11" ht="15.75" customHeight="1" x14ac:dyDescent="0.2">
      <c r="K806"/>
    </row>
    <row r="807" spans="11:11" ht="15.75" customHeight="1" x14ac:dyDescent="0.2">
      <c r="K807"/>
    </row>
    <row r="808" spans="11:11" ht="15.75" customHeight="1" x14ac:dyDescent="0.2">
      <c r="K808"/>
    </row>
    <row r="809" spans="11:11" ht="15.75" customHeight="1" x14ac:dyDescent="0.2">
      <c r="K809"/>
    </row>
    <row r="810" spans="11:11" ht="15.75" customHeight="1" x14ac:dyDescent="0.2">
      <c r="K810"/>
    </row>
    <row r="811" spans="11:11" ht="15.75" customHeight="1" x14ac:dyDescent="0.2">
      <c r="K811"/>
    </row>
    <row r="812" spans="11:11" ht="15.75" customHeight="1" x14ac:dyDescent="0.2">
      <c r="K812"/>
    </row>
    <row r="813" spans="11:11" ht="15.75" customHeight="1" x14ac:dyDescent="0.2">
      <c r="K813"/>
    </row>
    <row r="814" spans="11:11" ht="15.75" customHeight="1" x14ac:dyDescent="0.2">
      <c r="K814"/>
    </row>
    <row r="815" spans="11:11" ht="15.75" customHeight="1" x14ac:dyDescent="0.2">
      <c r="K815"/>
    </row>
    <row r="816" spans="11:11" ht="15.75" customHeight="1" x14ac:dyDescent="0.2">
      <c r="K816"/>
    </row>
    <row r="817" spans="11:11" ht="15" customHeight="1" x14ac:dyDescent="0.2">
      <c r="K817"/>
    </row>
    <row r="818" spans="11:11" ht="15.75" customHeight="1" x14ac:dyDescent="0.2">
      <c r="K818"/>
    </row>
    <row r="819" spans="11:11" ht="15.75" customHeight="1" x14ac:dyDescent="0.2">
      <c r="K819"/>
    </row>
    <row r="820" spans="11:11" ht="15.75" customHeight="1" x14ac:dyDescent="0.2">
      <c r="K820"/>
    </row>
    <row r="821" spans="11:11" ht="15.75" customHeight="1" x14ac:dyDescent="0.2">
      <c r="K821"/>
    </row>
    <row r="822" spans="11:11" ht="15.75" customHeight="1" x14ac:dyDescent="0.2">
      <c r="K822"/>
    </row>
    <row r="823" spans="11:11" ht="15.75" customHeight="1" x14ac:dyDescent="0.2">
      <c r="K823"/>
    </row>
    <row r="824" spans="11:11" ht="15.75" customHeight="1" x14ac:dyDescent="0.2">
      <c r="K824"/>
    </row>
    <row r="825" spans="11:11" ht="15.75" customHeight="1" x14ac:dyDescent="0.2">
      <c r="K825"/>
    </row>
    <row r="826" spans="11:11" ht="15.75" customHeight="1" x14ac:dyDescent="0.2">
      <c r="K826"/>
    </row>
    <row r="827" spans="11:11" ht="15.75" customHeight="1" x14ac:dyDescent="0.2">
      <c r="K827"/>
    </row>
    <row r="828" spans="11:11" ht="15.75" customHeight="1" x14ac:dyDescent="0.2">
      <c r="K828"/>
    </row>
    <row r="829" spans="11:11" ht="15.75" customHeight="1" x14ac:dyDescent="0.2">
      <c r="K829"/>
    </row>
    <row r="830" spans="11:11" ht="15.75" customHeight="1" x14ac:dyDescent="0.2">
      <c r="K830"/>
    </row>
    <row r="831" spans="11:11" ht="15.75" customHeight="1" x14ac:dyDescent="0.2">
      <c r="K831"/>
    </row>
    <row r="832" spans="11:11" ht="15.75" customHeight="1" x14ac:dyDescent="0.2">
      <c r="K832"/>
    </row>
    <row r="833" spans="11:11" ht="15.75" customHeight="1" x14ac:dyDescent="0.2">
      <c r="K833"/>
    </row>
    <row r="834" spans="11:11" ht="15.75" customHeight="1" x14ac:dyDescent="0.2">
      <c r="K834"/>
    </row>
    <row r="835" spans="11:11" ht="15.75" customHeight="1" x14ac:dyDescent="0.2">
      <c r="K835"/>
    </row>
    <row r="836" spans="11:11" ht="15.75" customHeight="1" x14ac:dyDescent="0.2">
      <c r="K836"/>
    </row>
    <row r="837" spans="11:11" ht="15.75" customHeight="1" x14ac:dyDescent="0.2">
      <c r="K837"/>
    </row>
    <row r="838" spans="11:11" ht="15.75" customHeight="1" x14ac:dyDescent="0.2">
      <c r="K838"/>
    </row>
    <row r="839" spans="11:11" ht="15.75" customHeight="1" x14ac:dyDescent="0.2">
      <c r="K839"/>
    </row>
    <row r="840" spans="11:11" ht="15.75" customHeight="1" x14ac:dyDescent="0.2">
      <c r="K840"/>
    </row>
    <row r="841" spans="11:11" ht="15.75" customHeight="1" x14ac:dyDescent="0.2">
      <c r="K841"/>
    </row>
    <row r="842" spans="11:11" ht="15.75" customHeight="1" x14ac:dyDescent="0.2">
      <c r="K842"/>
    </row>
    <row r="843" spans="11:11" ht="15.75" customHeight="1" x14ac:dyDescent="0.2">
      <c r="K843"/>
    </row>
    <row r="844" spans="11:11" ht="15.75" customHeight="1" x14ac:dyDescent="0.2">
      <c r="K844"/>
    </row>
    <row r="845" spans="11:11" ht="15.75" customHeight="1" x14ac:dyDescent="0.2">
      <c r="K845"/>
    </row>
    <row r="846" spans="11:11" ht="15.75" customHeight="1" x14ac:dyDescent="0.2">
      <c r="K846"/>
    </row>
    <row r="847" spans="11:11" ht="15.75" customHeight="1" x14ac:dyDescent="0.2">
      <c r="K847"/>
    </row>
    <row r="848" spans="11:11" ht="15.75" customHeight="1" x14ac:dyDescent="0.2">
      <c r="K848"/>
    </row>
    <row r="849" spans="11:11" ht="15.75" customHeight="1" x14ac:dyDescent="0.2">
      <c r="K849"/>
    </row>
    <row r="850" spans="11:11" ht="15.75" customHeight="1" x14ac:dyDescent="0.2">
      <c r="K850"/>
    </row>
    <row r="851" spans="11:11" ht="15.75" customHeight="1" x14ac:dyDescent="0.2">
      <c r="K851"/>
    </row>
    <row r="852" spans="11:11" ht="15.75" customHeight="1" x14ac:dyDescent="0.2">
      <c r="K852"/>
    </row>
    <row r="853" spans="11:11" ht="15.75" customHeight="1" x14ac:dyDescent="0.2">
      <c r="K853"/>
    </row>
    <row r="854" spans="11:11" ht="15.75" customHeight="1" x14ac:dyDescent="0.2">
      <c r="K854"/>
    </row>
    <row r="855" spans="11:11" ht="15.75" customHeight="1" x14ac:dyDescent="0.2">
      <c r="K855"/>
    </row>
    <row r="856" spans="11:11" ht="15.75" customHeight="1" x14ac:dyDescent="0.2">
      <c r="K856"/>
    </row>
    <row r="857" spans="11:11" ht="15.75" customHeight="1" x14ac:dyDescent="0.2">
      <c r="K857"/>
    </row>
    <row r="858" spans="11:11" ht="15.75" customHeight="1" x14ac:dyDescent="0.2">
      <c r="K858"/>
    </row>
    <row r="859" spans="11:11" ht="15.75" customHeight="1" x14ac:dyDescent="0.2">
      <c r="K859"/>
    </row>
    <row r="860" spans="11:11" ht="15.75" customHeight="1" x14ac:dyDescent="0.2">
      <c r="K860"/>
    </row>
    <row r="861" spans="11:11" ht="15.75" customHeight="1" x14ac:dyDescent="0.2">
      <c r="K861"/>
    </row>
    <row r="862" spans="11:11" ht="15.75" customHeight="1" x14ac:dyDescent="0.2">
      <c r="K862"/>
    </row>
    <row r="863" spans="11:11" ht="15.75" customHeight="1" x14ac:dyDescent="0.2">
      <c r="K863"/>
    </row>
    <row r="864" spans="11:11" ht="15.75" customHeight="1" x14ac:dyDescent="0.2">
      <c r="K864"/>
    </row>
    <row r="865" spans="11:11" ht="15.75" customHeight="1" x14ac:dyDescent="0.2">
      <c r="K865"/>
    </row>
    <row r="866" spans="11:11" ht="15.75" customHeight="1" x14ac:dyDescent="0.2">
      <c r="K866"/>
    </row>
    <row r="867" spans="11:11" ht="15.75" customHeight="1" x14ac:dyDescent="0.2">
      <c r="K867"/>
    </row>
    <row r="868" spans="11:11" ht="16.5" customHeight="1" x14ac:dyDescent="0.2">
      <c r="K868"/>
    </row>
    <row r="869" spans="11:11" ht="15.75" customHeight="1" x14ac:dyDescent="0.2">
      <c r="K869"/>
    </row>
    <row r="870" spans="11:11" ht="15.75" customHeight="1" x14ac:dyDescent="0.2">
      <c r="K870"/>
    </row>
    <row r="871" spans="11:11" ht="15.75" customHeight="1" x14ac:dyDescent="0.2">
      <c r="K871"/>
    </row>
    <row r="872" spans="11:11" ht="15.75" customHeight="1" x14ac:dyDescent="0.2">
      <c r="K872"/>
    </row>
    <row r="873" spans="11:11" ht="15.75" customHeight="1" x14ac:dyDescent="0.2">
      <c r="K873"/>
    </row>
    <row r="874" spans="11:11" ht="15.75" customHeight="1" x14ac:dyDescent="0.2">
      <c r="K874"/>
    </row>
    <row r="875" spans="11:11" ht="15.75" customHeight="1" x14ac:dyDescent="0.2">
      <c r="K875"/>
    </row>
    <row r="876" spans="11:11" ht="15.75" customHeight="1" x14ac:dyDescent="0.2">
      <c r="K876"/>
    </row>
    <row r="877" spans="11:11" ht="15.75" customHeight="1" x14ac:dyDescent="0.2">
      <c r="K877"/>
    </row>
    <row r="878" spans="11:11" ht="15.75" customHeight="1" x14ac:dyDescent="0.2">
      <c r="K878"/>
    </row>
    <row r="879" spans="11:11" ht="15.75" customHeight="1" x14ac:dyDescent="0.2">
      <c r="K879"/>
    </row>
    <row r="880" spans="11:11" ht="15.75" customHeight="1" x14ac:dyDescent="0.2">
      <c r="K880"/>
    </row>
    <row r="881" spans="11:11" ht="15.75" customHeight="1" x14ac:dyDescent="0.2">
      <c r="K881"/>
    </row>
    <row r="882" spans="11:11" ht="15.75" customHeight="1" x14ac:dyDescent="0.2">
      <c r="K882"/>
    </row>
    <row r="883" spans="11:11" ht="15.75" customHeight="1" x14ac:dyDescent="0.2">
      <c r="K883"/>
    </row>
    <row r="884" spans="11:11" ht="15.75" customHeight="1" x14ac:dyDescent="0.2">
      <c r="K884"/>
    </row>
    <row r="885" spans="11:11" ht="15.75" customHeight="1" x14ac:dyDescent="0.2">
      <c r="K885"/>
    </row>
    <row r="886" spans="11:11" ht="15.75" customHeight="1" x14ac:dyDescent="0.2">
      <c r="K886"/>
    </row>
    <row r="887" spans="11:11" ht="15.75" customHeight="1" x14ac:dyDescent="0.2">
      <c r="K887"/>
    </row>
    <row r="888" spans="11:11" ht="15" customHeight="1" x14ac:dyDescent="0.2">
      <c r="K888"/>
    </row>
    <row r="889" spans="11:11" ht="15.75" customHeight="1" x14ac:dyDescent="0.2">
      <c r="K889"/>
    </row>
    <row r="890" spans="11:11" ht="15.75" customHeight="1" x14ac:dyDescent="0.2">
      <c r="K890"/>
    </row>
    <row r="891" spans="11:11" ht="15.75" customHeight="1" x14ac:dyDescent="0.2">
      <c r="K891"/>
    </row>
    <row r="892" spans="11:11" ht="15.75" customHeight="1" x14ac:dyDescent="0.2">
      <c r="K892"/>
    </row>
    <row r="893" spans="11:11" ht="15.75" customHeight="1" x14ac:dyDescent="0.2">
      <c r="K893"/>
    </row>
    <row r="894" spans="11:11" ht="15.75" customHeight="1" x14ac:dyDescent="0.2">
      <c r="K894"/>
    </row>
    <row r="895" spans="11:11" ht="15.75" customHeight="1" x14ac:dyDescent="0.2">
      <c r="K895"/>
    </row>
    <row r="896" spans="11:11" ht="15.75" customHeight="1" x14ac:dyDescent="0.2">
      <c r="K896"/>
    </row>
    <row r="897" spans="11:11" ht="15.75" customHeight="1" x14ac:dyDescent="0.2">
      <c r="K897"/>
    </row>
    <row r="898" spans="11:11" ht="15.75" customHeight="1" x14ac:dyDescent="0.2">
      <c r="K898"/>
    </row>
    <row r="899" spans="11:11" ht="15.75" customHeight="1" x14ac:dyDescent="0.2">
      <c r="K899"/>
    </row>
    <row r="900" spans="11:11" ht="15.75" customHeight="1" x14ac:dyDescent="0.2">
      <c r="K900"/>
    </row>
    <row r="901" spans="11:11" ht="15.75" customHeight="1" x14ac:dyDescent="0.2">
      <c r="K901"/>
    </row>
    <row r="902" spans="11:11" ht="15.75" customHeight="1" x14ac:dyDescent="0.2">
      <c r="K902"/>
    </row>
    <row r="903" spans="11:11" ht="15.75" customHeight="1" x14ac:dyDescent="0.2">
      <c r="K903"/>
    </row>
    <row r="904" spans="11:11" ht="15.75" customHeight="1" x14ac:dyDescent="0.2">
      <c r="K904"/>
    </row>
    <row r="905" spans="11:11" ht="15.75" customHeight="1" x14ac:dyDescent="0.2">
      <c r="K905"/>
    </row>
    <row r="906" spans="11:11" ht="15.75" customHeight="1" x14ac:dyDescent="0.2">
      <c r="K906"/>
    </row>
    <row r="907" spans="11:11" ht="15.75" customHeight="1" x14ac:dyDescent="0.2">
      <c r="K907"/>
    </row>
    <row r="908" spans="11:11" ht="15.75" customHeight="1" x14ac:dyDescent="0.2">
      <c r="K908"/>
    </row>
    <row r="909" spans="11:11" ht="15.75" customHeight="1" x14ac:dyDescent="0.2">
      <c r="K909"/>
    </row>
    <row r="910" spans="11:11" ht="15.75" customHeight="1" x14ac:dyDescent="0.2">
      <c r="K910"/>
    </row>
    <row r="911" spans="11:11" ht="15.75" customHeight="1" x14ac:dyDescent="0.2">
      <c r="K911"/>
    </row>
    <row r="912" spans="11:11" ht="15.75" customHeight="1" x14ac:dyDescent="0.2">
      <c r="K912"/>
    </row>
    <row r="913" spans="11:11" ht="15.75" customHeight="1" x14ac:dyDescent="0.2">
      <c r="K913"/>
    </row>
    <row r="914" spans="11:11" ht="15.75" customHeight="1" x14ac:dyDescent="0.2">
      <c r="K914"/>
    </row>
    <row r="915" spans="11:11" ht="15.75" customHeight="1" x14ac:dyDescent="0.2">
      <c r="K915"/>
    </row>
    <row r="916" spans="11:11" ht="15.75" customHeight="1" x14ac:dyDescent="0.2">
      <c r="K916"/>
    </row>
    <row r="917" spans="11:11" ht="15.75" customHeight="1" x14ac:dyDescent="0.2">
      <c r="K917"/>
    </row>
    <row r="918" spans="11:11" ht="15.75" customHeight="1" x14ac:dyDescent="0.2">
      <c r="K918"/>
    </row>
    <row r="919" spans="11:11" ht="15.75" customHeight="1" x14ac:dyDescent="0.2">
      <c r="K919"/>
    </row>
    <row r="920" spans="11:11" ht="15.75" customHeight="1" x14ac:dyDescent="0.2">
      <c r="K920"/>
    </row>
    <row r="921" spans="11:11" ht="15.75" customHeight="1" x14ac:dyDescent="0.2">
      <c r="K921"/>
    </row>
    <row r="922" spans="11:11" ht="15.75" customHeight="1" x14ac:dyDescent="0.2">
      <c r="K922"/>
    </row>
    <row r="923" spans="11:11" ht="15.75" customHeight="1" x14ac:dyDescent="0.2">
      <c r="K923"/>
    </row>
    <row r="924" spans="11:11" ht="15.75" customHeight="1" x14ac:dyDescent="0.2">
      <c r="K924"/>
    </row>
    <row r="925" spans="11:11" ht="15.75" customHeight="1" x14ac:dyDescent="0.2">
      <c r="K925"/>
    </row>
    <row r="926" spans="11:11" ht="14.25" customHeight="1" x14ac:dyDescent="0.2">
      <c r="K926"/>
    </row>
    <row r="927" spans="11:11" ht="15.75" customHeight="1" x14ac:dyDescent="0.2">
      <c r="K927"/>
    </row>
    <row r="928" spans="11:11" ht="15.75" customHeight="1" x14ac:dyDescent="0.2">
      <c r="K928"/>
    </row>
    <row r="929" spans="11:11" ht="15.75" customHeight="1" x14ac:dyDescent="0.2">
      <c r="K929"/>
    </row>
    <row r="930" spans="11:11" ht="15.75" customHeight="1" x14ac:dyDescent="0.2">
      <c r="K930"/>
    </row>
    <row r="931" spans="11:11" ht="15.75" customHeight="1" x14ac:dyDescent="0.2">
      <c r="K931"/>
    </row>
    <row r="932" spans="11:11" ht="15.75" customHeight="1" x14ac:dyDescent="0.2">
      <c r="K932"/>
    </row>
    <row r="933" spans="11:11" ht="15.75" customHeight="1" x14ac:dyDescent="0.2">
      <c r="K933"/>
    </row>
    <row r="934" spans="11:11" ht="15.75" customHeight="1" x14ac:dyDescent="0.2">
      <c r="K934"/>
    </row>
    <row r="935" spans="11:11" ht="15.75" customHeight="1" x14ac:dyDescent="0.2">
      <c r="K935"/>
    </row>
    <row r="936" spans="11:11" ht="15.75" customHeight="1" x14ac:dyDescent="0.2">
      <c r="K936"/>
    </row>
    <row r="937" spans="11:11" ht="15.75" customHeight="1" x14ac:dyDescent="0.2">
      <c r="K937"/>
    </row>
    <row r="938" spans="11:11" ht="15.75" customHeight="1" x14ac:dyDescent="0.2">
      <c r="K938"/>
    </row>
    <row r="939" spans="11:11" ht="15.75" customHeight="1" x14ac:dyDescent="0.2">
      <c r="K939"/>
    </row>
    <row r="940" spans="11:11" ht="15.75" customHeight="1" x14ac:dyDescent="0.2">
      <c r="K940"/>
    </row>
    <row r="941" spans="11:11" ht="15.75" customHeight="1" x14ac:dyDescent="0.2">
      <c r="K941"/>
    </row>
    <row r="942" spans="11:11" ht="15.75" customHeight="1" x14ac:dyDescent="0.2">
      <c r="K942"/>
    </row>
    <row r="943" spans="11:11" ht="16.5" customHeight="1" x14ac:dyDescent="0.2">
      <c r="K943"/>
    </row>
    <row r="944" spans="11:11" ht="15.75" customHeight="1" x14ac:dyDescent="0.2">
      <c r="K944"/>
    </row>
    <row r="945" spans="11:11" ht="15.75" customHeight="1" x14ac:dyDescent="0.2">
      <c r="K945"/>
    </row>
    <row r="946" spans="11:11" ht="15.75" customHeight="1" x14ac:dyDescent="0.2">
      <c r="K946"/>
    </row>
    <row r="947" spans="11:11" ht="15.75" customHeight="1" x14ac:dyDescent="0.2">
      <c r="K947"/>
    </row>
    <row r="948" spans="11:11" ht="15.75" customHeight="1" x14ac:dyDescent="0.2">
      <c r="K948"/>
    </row>
    <row r="949" spans="11:11" ht="15.75" customHeight="1" x14ac:dyDescent="0.2">
      <c r="K949"/>
    </row>
    <row r="950" spans="11:11" ht="15.75" customHeight="1" x14ac:dyDescent="0.2">
      <c r="K950"/>
    </row>
    <row r="951" spans="11:11" ht="15.75" customHeight="1" x14ac:dyDescent="0.2">
      <c r="K951"/>
    </row>
    <row r="952" spans="11:11" ht="15.75" customHeight="1" x14ac:dyDescent="0.2">
      <c r="K952"/>
    </row>
    <row r="953" spans="11:11" ht="15.75" customHeight="1" x14ac:dyDescent="0.2">
      <c r="K953"/>
    </row>
    <row r="954" spans="11:11" ht="15.75" customHeight="1" x14ac:dyDescent="0.2">
      <c r="K954"/>
    </row>
    <row r="955" spans="11:11" ht="15.75" customHeight="1" x14ac:dyDescent="0.2">
      <c r="K955"/>
    </row>
    <row r="956" spans="11:11" ht="15.75" customHeight="1" x14ac:dyDescent="0.2">
      <c r="K956"/>
    </row>
    <row r="957" spans="11:11" ht="15.75" customHeight="1" x14ac:dyDescent="0.2">
      <c r="K957"/>
    </row>
    <row r="958" spans="11:11" ht="15.75" customHeight="1" x14ac:dyDescent="0.2">
      <c r="K958"/>
    </row>
    <row r="959" spans="11:11" ht="15.75" customHeight="1" x14ac:dyDescent="0.2">
      <c r="K959"/>
    </row>
    <row r="960" spans="11:11" ht="15.75" customHeight="1" x14ac:dyDescent="0.2">
      <c r="K960"/>
    </row>
    <row r="961" spans="11:11" ht="15.75" customHeight="1" x14ac:dyDescent="0.2">
      <c r="K961"/>
    </row>
    <row r="962" spans="11:11" ht="15.75" customHeight="1" x14ac:dyDescent="0.2">
      <c r="K962"/>
    </row>
    <row r="963" spans="11:11" ht="15" customHeight="1" x14ac:dyDescent="0.2">
      <c r="K963"/>
    </row>
    <row r="964" spans="11:11" ht="15.75" customHeight="1" x14ac:dyDescent="0.2">
      <c r="K964"/>
    </row>
    <row r="965" spans="11:11" ht="15.75" customHeight="1" x14ac:dyDescent="0.2">
      <c r="K965"/>
    </row>
    <row r="966" spans="11:11" ht="15.75" customHeight="1" x14ac:dyDescent="0.2">
      <c r="K966"/>
    </row>
    <row r="967" spans="11:11" ht="15.75" customHeight="1" x14ac:dyDescent="0.2">
      <c r="K967"/>
    </row>
    <row r="968" spans="11:11" ht="15.75" customHeight="1" x14ac:dyDescent="0.2">
      <c r="K968"/>
    </row>
    <row r="969" spans="11:11" ht="15.75" customHeight="1" x14ac:dyDescent="0.2">
      <c r="K969"/>
    </row>
    <row r="970" spans="11:11" ht="15.75" customHeight="1" x14ac:dyDescent="0.2">
      <c r="K970"/>
    </row>
    <row r="971" spans="11:11" ht="15.75" customHeight="1" x14ac:dyDescent="0.2">
      <c r="K971"/>
    </row>
    <row r="972" spans="11:11" ht="15.75" customHeight="1" x14ac:dyDescent="0.2">
      <c r="K972"/>
    </row>
    <row r="973" spans="11:11" ht="15.75" customHeight="1" x14ac:dyDescent="0.2">
      <c r="K973"/>
    </row>
    <row r="974" spans="11:11" ht="15.75" customHeight="1" x14ac:dyDescent="0.2">
      <c r="K974"/>
    </row>
    <row r="975" spans="11:11" ht="15.75" customHeight="1" x14ac:dyDescent="0.2">
      <c r="K975"/>
    </row>
    <row r="976" spans="11:11" ht="15.75" customHeight="1" x14ac:dyDescent="0.2">
      <c r="K976"/>
    </row>
    <row r="977" spans="11:11" ht="15.75" customHeight="1" x14ac:dyDescent="0.2">
      <c r="K977"/>
    </row>
    <row r="978" spans="11:11" ht="15.75" customHeight="1" x14ac:dyDescent="0.2">
      <c r="K978"/>
    </row>
    <row r="979" spans="11:11" ht="15.75" customHeight="1" x14ac:dyDescent="0.2">
      <c r="K979"/>
    </row>
    <row r="980" spans="11:11" ht="15.75" customHeight="1" x14ac:dyDescent="0.2">
      <c r="K980"/>
    </row>
    <row r="981" spans="11:11" ht="15.75" customHeight="1" x14ac:dyDescent="0.2">
      <c r="K981"/>
    </row>
    <row r="982" spans="11:11" ht="15.75" customHeight="1" x14ac:dyDescent="0.2">
      <c r="K982"/>
    </row>
    <row r="983" spans="11:11" ht="15.75" customHeight="1" x14ac:dyDescent="0.2">
      <c r="K983"/>
    </row>
    <row r="984" spans="11:11" ht="15.75" customHeight="1" x14ac:dyDescent="0.2">
      <c r="K984"/>
    </row>
    <row r="985" spans="11:11" ht="15.75" customHeight="1" x14ac:dyDescent="0.2">
      <c r="K985"/>
    </row>
    <row r="986" spans="11:11" ht="15.75" customHeight="1" x14ac:dyDescent="0.2">
      <c r="K986"/>
    </row>
    <row r="987" spans="11:11" ht="15.75" customHeight="1" x14ac:dyDescent="0.2">
      <c r="K987"/>
    </row>
    <row r="988" spans="11:11" ht="15.75" customHeight="1" x14ac:dyDescent="0.2">
      <c r="K988"/>
    </row>
    <row r="989" spans="11:11" ht="15.75" customHeight="1" x14ac:dyDescent="0.2">
      <c r="K989"/>
    </row>
    <row r="990" spans="11:11" ht="15.75" customHeight="1" x14ac:dyDescent="0.2">
      <c r="K990"/>
    </row>
    <row r="991" spans="11:11" ht="15.75" customHeight="1" x14ac:dyDescent="0.2">
      <c r="K991"/>
    </row>
    <row r="992" spans="11:11" ht="15.75" customHeight="1" x14ac:dyDescent="0.2">
      <c r="K992"/>
    </row>
    <row r="993" spans="11:11" ht="15.75" customHeight="1" x14ac:dyDescent="0.2">
      <c r="K993"/>
    </row>
    <row r="994" spans="11:11" ht="15.75" customHeight="1" x14ac:dyDescent="0.2">
      <c r="K994"/>
    </row>
    <row r="995" spans="11:11" ht="15.75" customHeight="1" x14ac:dyDescent="0.2">
      <c r="K995"/>
    </row>
    <row r="996" spans="11:11" ht="15.75" customHeight="1" x14ac:dyDescent="0.2">
      <c r="K996"/>
    </row>
    <row r="997" spans="11:11" ht="15.75" customHeight="1" x14ac:dyDescent="0.2">
      <c r="K997"/>
    </row>
    <row r="998" spans="11:11" ht="15.75" customHeight="1" x14ac:dyDescent="0.2">
      <c r="K998"/>
    </row>
    <row r="999" spans="11:11" ht="15.75" customHeight="1" x14ac:dyDescent="0.2">
      <c r="K999"/>
    </row>
    <row r="1000" spans="11:11" ht="15.75" customHeight="1" x14ac:dyDescent="0.2">
      <c r="K1000"/>
    </row>
    <row r="1001" spans="11:11" ht="15.75" customHeight="1" x14ac:dyDescent="0.2">
      <c r="K1001"/>
    </row>
    <row r="1002" spans="11:11" ht="15.75" customHeight="1" x14ac:dyDescent="0.2">
      <c r="K1002"/>
    </row>
    <row r="1003" spans="11:11" ht="15.75" customHeight="1" x14ac:dyDescent="0.2">
      <c r="K1003"/>
    </row>
    <row r="1004" spans="11:11" ht="15.75" customHeight="1" x14ac:dyDescent="0.2">
      <c r="K1004"/>
    </row>
    <row r="1005" spans="11:11" ht="15.75" customHeight="1" x14ac:dyDescent="0.2">
      <c r="K1005"/>
    </row>
    <row r="1006" spans="11:11" ht="15.75" customHeight="1" x14ac:dyDescent="0.2">
      <c r="K1006"/>
    </row>
    <row r="1007" spans="11:11" ht="15.75" customHeight="1" x14ac:dyDescent="0.2">
      <c r="K1007"/>
    </row>
    <row r="1008" spans="11:11" ht="15.75" customHeight="1" x14ac:dyDescent="0.2">
      <c r="K1008"/>
    </row>
    <row r="1009" spans="11:11" ht="15.75" customHeight="1" x14ac:dyDescent="0.2">
      <c r="K1009"/>
    </row>
    <row r="1010" spans="11:11" ht="15.75" customHeight="1" x14ac:dyDescent="0.2">
      <c r="K1010"/>
    </row>
    <row r="1011" spans="11:11" ht="15.75" customHeight="1" x14ac:dyDescent="0.2">
      <c r="K1011"/>
    </row>
    <row r="1012" spans="11:11" ht="15.75" customHeight="1" x14ac:dyDescent="0.2">
      <c r="K1012"/>
    </row>
    <row r="1013" spans="11:11" ht="15.75" customHeight="1" x14ac:dyDescent="0.2">
      <c r="K1013"/>
    </row>
    <row r="1014" spans="11:11" ht="15.75" customHeight="1" x14ac:dyDescent="0.2">
      <c r="K1014"/>
    </row>
    <row r="1015" spans="11:11" ht="15.75" customHeight="1" x14ac:dyDescent="0.2">
      <c r="K1015"/>
    </row>
    <row r="1016" spans="11:11" ht="15.75" customHeight="1" x14ac:dyDescent="0.2">
      <c r="K1016"/>
    </row>
    <row r="1017" spans="11:11" ht="15.75" customHeight="1" x14ac:dyDescent="0.2">
      <c r="K1017"/>
    </row>
    <row r="1018" spans="11:11" ht="12.75" customHeight="1" x14ac:dyDescent="0.2">
      <c r="K1018"/>
    </row>
    <row r="1019" spans="11:11" ht="15.75" customHeight="1" x14ac:dyDescent="0.2">
      <c r="K1019"/>
    </row>
    <row r="1020" spans="11:11" ht="15.75" customHeight="1" x14ac:dyDescent="0.2">
      <c r="K1020"/>
    </row>
    <row r="1021" spans="11:11" ht="15.75" customHeight="1" x14ac:dyDescent="0.2">
      <c r="K1021"/>
    </row>
    <row r="1022" spans="11:11" ht="15.75" customHeight="1" x14ac:dyDescent="0.2">
      <c r="K1022"/>
    </row>
    <row r="1023" spans="11:11" ht="15.75" customHeight="1" x14ac:dyDescent="0.2">
      <c r="K1023"/>
    </row>
    <row r="1024" spans="11:11" ht="15.75" customHeight="1" x14ac:dyDescent="0.2">
      <c r="K1024"/>
    </row>
    <row r="1025" spans="11:11" ht="15.75" customHeight="1" x14ac:dyDescent="0.2">
      <c r="K1025"/>
    </row>
    <row r="1026" spans="11:11" ht="15.75" customHeight="1" x14ac:dyDescent="0.2">
      <c r="K1026"/>
    </row>
    <row r="1027" spans="11:11" ht="15.75" customHeight="1" x14ac:dyDescent="0.2">
      <c r="K1027"/>
    </row>
    <row r="1028" spans="11:11" ht="15.75" customHeight="1" x14ac:dyDescent="0.2">
      <c r="K1028"/>
    </row>
    <row r="1029" spans="11:11" ht="15.75" customHeight="1" x14ac:dyDescent="0.2">
      <c r="K1029"/>
    </row>
    <row r="1030" spans="11:11" ht="15.75" customHeight="1" x14ac:dyDescent="0.2">
      <c r="K1030"/>
    </row>
    <row r="1031" spans="11:11" ht="15.75" customHeight="1" x14ac:dyDescent="0.2">
      <c r="K1031"/>
    </row>
    <row r="1032" spans="11:11" ht="15.75" customHeight="1" x14ac:dyDescent="0.2">
      <c r="K1032"/>
    </row>
    <row r="1033" spans="11:11" ht="15.75" customHeight="1" x14ac:dyDescent="0.2">
      <c r="K1033"/>
    </row>
    <row r="1034" spans="11:11" ht="15.75" customHeight="1" x14ac:dyDescent="0.2">
      <c r="K1034"/>
    </row>
    <row r="1035" spans="11:11" ht="15.75" customHeight="1" x14ac:dyDescent="0.2">
      <c r="K1035"/>
    </row>
    <row r="1036" spans="11:11" ht="15.75" customHeight="1" x14ac:dyDescent="0.2">
      <c r="K1036"/>
    </row>
    <row r="1037" spans="11:11" ht="15.75" customHeight="1" x14ac:dyDescent="0.2">
      <c r="K1037"/>
    </row>
    <row r="1038" spans="11:11" ht="15" customHeight="1" x14ac:dyDescent="0.2">
      <c r="K1038"/>
    </row>
    <row r="1039" spans="11:11" ht="15.75" customHeight="1" x14ac:dyDescent="0.2">
      <c r="K1039"/>
    </row>
    <row r="1040" spans="11:11" ht="15.75" customHeight="1" x14ac:dyDescent="0.2">
      <c r="K1040"/>
    </row>
    <row r="1041" spans="11:11" ht="15.75" customHeight="1" x14ac:dyDescent="0.2">
      <c r="K1041"/>
    </row>
    <row r="1042" spans="11:11" ht="15.75" customHeight="1" x14ac:dyDescent="0.2">
      <c r="K1042"/>
    </row>
    <row r="1043" spans="11:11" ht="15.75" customHeight="1" x14ac:dyDescent="0.2">
      <c r="K1043"/>
    </row>
    <row r="1044" spans="11:11" ht="15.75" customHeight="1" x14ac:dyDescent="0.2">
      <c r="K1044"/>
    </row>
    <row r="1045" spans="11:11" ht="15.75" customHeight="1" x14ac:dyDescent="0.2">
      <c r="K1045"/>
    </row>
    <row r="1046" spans="11:11" ht="15.75" customHeight="1" x14ac:dyDescent="0.2">
      <c r="K1046"/>
    </row>
    <row r="1047" spans="11:11" ht="15.75" customHeight="1" x14ac:dyDescent="0.2">
      <c r="K1047"/>
    </row>
    <row r="1048" spans="11:11" ht="15.75" customHeight="1" x14ac:dyDescent="0.2">
      <c r="K1048"/>
    </row>
    <row r="1049" spans="11:11" ht="15.75" customHeight="1" x14ac:dyDescent="0.2">
      <c r="K1049"/>
    </row>
    <row r="1050" spans="11:11" ht="15.75" customHeight="1" x14ac:dyDescent="0.2">
      <c r="K1050"/>
    </row>
    <row r="1051" spans="11:11" ht="15.75" customHeight="1" x14ac:dyDescent="0.2">
      <c r="K1051"/>
    </row>
    <row r="1052" spans="11:11" ht="15.75" customHeight="1" x14ac:dyDescent="0.2">
      <c r="K1052"/>
    </row>
    <row r="1053" spans="11:11" ht="15.75" customHeight="1" x14ac:dyDescent="0.2">
      <c r="K1053"/>
    </row>
    <row r="1054" spans="11:11" ht="15.75" customHeight="1" x14ac:dyDescent="0.2">
      <c r="K1054"/>
    </row>
    <row r="1055" spans="11:11" ht="15.75" customHeight="1" x14ac:dyDescent="0.2">
      <c r="K1055"/>
    </row>
    <row r="1056" spans="11:11" ht="15.75" customHeight="1" x14ac:dyDescent="0.2">
      <c r="K1056"/>
    </row>
    <row r="1057" spans="11:11" ht="15.75" customHeight="1" x14ac:dyDescent="0.2">
      <c r="K1057"/>
    </row>
    <row r="1058" spans="11:11" ht="15.75" customHeight="1" x14ac:dyDescent="0.2">
      <c r="K1058"/>
    </row>
    <row r="1059" spans="11:11" ht="15.75" customHeight="1" x14ac:dyDescent="0.2">
      <c r="K1059"/>
    </row>
    <row r="1060" spans="11:11" ht="15.75" customHeight="1" x14ac:dyDescent="0.2">
      <c r="K1060"/>
    </row>
    <row r="1061" spans="11:11" ht="15.75" customHeight="1" x14ac:dyDescent="0.2">
      <c r="K1061"/>
    </row>
    <row r="1062" spans="11:11" ht="15.75" customHeight="1" x14ac:dyDescent="0.2">
      <c r="K1062"/>
    </row>
    <row r="1063" spans="11:11" ht="15.75" customHeight="1" x14ac:dyDescent="0.2">
      <c r="K1063"/>
    </row>
    <row r="1064" spans="11:11" ht="15.75" customHeight="1" x14ac:dyDescent="0.2">
      <c r="K1064"/>
    </row>
    <row r="1065" spans="11:11" ht="15.75" customHeight="1" x14ac:dyDescent="0.2">
      <c r="K1065"/>
    </row>
    <row r="1066" spans="11:11" ht="15.75" customHeight="1" x14ac:dyDescent="0.2">
      <c r="K1066"/>
    </row>
    <row r="1067" spans="11:11" ht="15.75" customHeight="1" x14ac:dyDescent="0.2">
      <c r="K1067"/>
    </row>
    <row r="1068" spans="11:11" ht="15.75" customHeight="1" x14ac:dyDescent="0.2">
      <c r="K1068"/>
    </row>
    <row r="1069" spans="11:11" ht="15.75" customHeight="1" x14ac:dyDescent="0.2">
      <c r="K1069"/>
    </row>
    <row r="1070" spans="11:11" ht="15.75" customHeight="1" x14ac:dyDescent="0.2">
      <c r="K1070"/>
    </row>
    <row r="1071" spans="11:11" ht="15.75" customHeight="1" x14ac:dyDescent="0.2">
      <c r="K1071"/>
    </row>
    <row r="1072" spans="11:11" ht="15.75" customHeight="1" x14ac:dyDescent="0.2">
      <c r="K1072"/>
    </row>
    <row r="1073" spans="11:11" ht="15.75" customHeight="1" x14ac:dyDescent="0.2">
      <c r="K1073"/>
    </row>
    <row r="1074" spans="11:11" ht="15.75" customHeight="1" x14ac:dyDescent="0.2">
      <c r="K1074"/>
    </row>
    <row r="1075" spans="11:11" ht="15.75" customHeight="1" x14ac:dyDescent="0.2">
      <c r="K1075"/>
    </row>
    <row r="1076" spans="11:11" ht="15.75" customHeight="1" x14ac:dyDescent="0.2">
      <c r="K1076"/>
    </row>
    <row r="1077" spans="11:11" ht="15.75" customHeight="1" x14ac:dyDescent="0.2">
      <c r="K1077"/>
    </row>
    <row r="1078" spans="11:11" ht="15.75" customHeight="1" x14ac:dyDescent="0.2">
      <c r="K1078"/>
    </row>
    <row r="1079" spans="11:11" ht="15.75" customHeight="1" x14ac:dyDescent="0.2">
      <c r="K1079"/>
    </row>
    <row r="1080" spans="11:11" ht="15.75" customHeight="1" x14ac:dyDescent="0.2">
      <c r="K1080"/>
    </row>
    <row r="1081" spans="11:11" ht="15.75" customHeight="1" x14ac:dyDescent="0.2">
      <c r="K1081"/>
    </row>
    <row r="1082" spans="11:11" ht="15.75" customHeight="1" x14ac:dyDescent="0.2">
      <c r="K1082"/>
    </row>
    <row r="1083" spans="11:11" ht="15.75" customHeight="1" x14ac:dyDescent="0.2">
      <c r="K1083"/>
    </row>
    <row r="1084" spans="11:11" ht="15.75" customHeight="1" x14ac:dyDescent="0.2">
      <c r="K1084"/>
    </row>
    <row r="1085" spans="11:11" ht="15.75" customHeight="1" x14ac:dyDescent="0.2">
      <c r="K1085"/>
    </row>
    <row r="1086" spans="11:11" ht="15.75" customHeight="1" x14ac:dyDescent="0.2">
      <c r="K1086"/>
    </row>
    <row r="1087" spans="11:11" ht="15.75" customHeight="1" x14ac:dyDescent="0.2">
      <c r="K1087"/>
    </row>
    <row r="1088" spans="11:11" ht="15.75" customHeight="1" x14ac:dyDescent="0.2">
      <c r="K1088"/>
    </row>
    <row r="1089" spans="11:11" ht="15.75" customHeight="1" x14ac:dyDescent="0.2">
      <c r="K1089"/>
    </row>
    <row r="1090" spans="11:11" ht="15.75" customHeight="1" x14ac:dyDescent="0.2">
      <c r="K1090"/>
    </row>
    <row r="1091" spans="11:11" ht="15.75" customHeight="1" x14ac:dyDescent="0.2">
      <c r="K1091"/>
    </row>
    <row r="1092" spans="11:11" ht="15.75" customHeight="1" x14ac:dyDescent="0.2">
      <c r="K1092"/>
    </row>
    <row r="1093" spans="11:11" ht="15.75" customHeight="1" x14ac:dyDescent="0.2">
      <c r="K1093"/>
    </row>
    <row r="1094" spans="11:11" ht="15.75" customHeight="1" x14ac:dyDescent="0.2">
      <c r="K1094"/>
    </row>
    <row r="1095" spans="11:11" ht="15.75" customHeight="1" x14ac:dyDescent="0.2">
      <c r="K1095"/>
    </row>
    <row r="1096" spans="11:11" ht="15.75" customHeight="1" x14ac:dyDescent="0.2">
      <c r="K1096"/>
    </row>
    <row r="1097" spans="11:11" ht="15.75" customHeight="1" x14ac:dyDescent="0.2">
      <c r="K1097"/>
    </row>
    <row r="1098" spans="11:11" ht="15.75" customHeight="1" x14ac:dyDescent="0.2">
      <c r="K1098"/>
    </row>
    <row r="1099" spans="11:11" ht="15.75" customHeight="1" x14ac:dyDescent="0.2">
      <c r="K1099"/>
    </row>
    <row r="1100" spans="11:11" ht="15.75" customHeight="1" x14ac:dyDescent="0.2">
      <c r="K1100"/>
    </row>
    <row r="1101" spans="11:11" ht="15.75" customHeight="1" x14ac:dyDescent="0.2">
      <c r="K1101"/>
    </row>
    <row r="1102" spans="11:11" ht="15.75" customHeight="1" x14ac:dyDescent="0.2">
      <c r="K1102"/>
    </row>
    <row r="1103" spans="11:11" ht="15.75" customHeight="1" x14ac:dyDescent="0.2">
      <c r="K1103"/>
    </row>
    <row r="1104" spans="11:11" ht="15.75" customHeight="1" x14ac:dyDescent="0.2">
      <c r="K1104"/>
    </row>
    <row r="1105" spans="11:11" ht="15.75" customHeight="1" x14ac:dyDescent="0.2">
      <c r="K1105"/>
    </row>
    <row r="1106" spans="11:11" ht="15.75" customHeight="1" x14ac:dyDescent="0.2">
      <c r="K1106"/>
    </row>
    <row r="1107" spans="11:11" ht="15.75" customHeight="1" x14ac:dyDescent="0.2">
      <c r="K1107"/>
    </row>
    <row r="1108" spans="11:11" ht="15.75" customHeight="1" x14ac:dyDescent="0.2">
      <c r="K1108"/>
    </row>
    <row r="1109" spans="11:11" ht="15.75" customHeight="1" x14ac:dyDescent="0.2">
      <c r="K1109"/>
    </row>
    <row r="1110" spans="11:11" ht="15.75" customHeight="1" x14ac:dyDescent="0.2">
      <c r="K1110"/>
    </row>
    <row r="1111" spans="11:11" ht="15.75" customHeight="1" x14ac:dyDescent="0.2">
      <c r="K1111"/>
    </row>
    <row r="1112" spans="11:11" ht="15.75" customHeight="1" x14ac:dyDescent="0.2">
      <c r="K1112"/>
    </row>
    <row r="1113" spans="11:11" ht="15.75" customHeight="1" x14ac:dyDescent="0.2">
      <c r="K1113"/>
    </row>
    <row r="1114" spans="11:11" ht="15.75" customHeight="1" x14ac:dyDescent="0.2">
      <c r="K1114"/>
    </row>
    <row r="1115" spans="11:11" ht="15.75" customHeight="1" x14ac:dyDescent="0.2">
      <c r="K1115"/>
    </row>
    <row r="1116" spans="11:11" ht="15.75" customHeight="1" x14ac:dyDescent="0.2">
      <c r="K1116"/>
    </row>
    <row r="1117" spans="11:11" ht="15.75" customHeight="1" x14ac:dyDescent="0.2">
      <c r="K1117"/>
    </row>
    <row r="1118" spans="11:11" ht="15.75" customHeight="1" x14ac:dyDescent="0.2">
      <c r="K1118"/>
    </row>
    <row r="1119" spans="11:11" ht="15.75" customHeight="1" x14ac:dyDescent="0.2">
      <c r="K1119"/>
    </row>
    <row r="1120" spans="11:11" ht="15.75" customHeight="1" x14ac:dyDescent="0.2">
      <c r="K1120"/>
    </row>
    <row r="1121" spans="11:11" ht="15.75" customHeight="1" x14ac:dyDescent="0.2">
      <c r="K1121"/>
    </row>
    <row r="1122" spans="11:11" ht="15.75" customHeight="1" x14ac:dyDescent="0.2">
      <c r="K1122"/>
    </row>
    <row r="1123" spans="11:11" ht="15.75" customHeight="1" x14ac:dyDescent="0.2">
      <c r="K1123"/>
    </row>
    <row r="1124" spans="11:11" ht="15.75" customHeight="1" x14ac:dyDescent="0.2">
      <c r="K1124"/>
    </row>
    <row r="1125" spans="11:11" ht="15.75" customHeight="1" x14ac:dyDescent="0.2">
      <c r="K1125"/>
    </row>
    <row r="1126" spans="11:11" ht="15.75" customHeight="1" x14ac:dyDescent="0.2">
      <c r="K1126"/>
    </row>
    <row r="1127" spans="11:11" ht="15.75" customHeight="1" x14ac:dyDescent="0.2">
      <c r="K1127"/>
    </row>
    <row r="1128" spans="11:11" ht="15.75" customHeight="1" x14ac:dyDescent="0.2">
      <c r="K1128"/>
    </row>
    <row r="1129" spans="11:11" ht="15.75" customHeight="1" x14ac:dyDescent="0.2">
      <c r="K1129"/>
    </row>
    <row r="1130" spans="11:11" ht="15.75" customHeight="1" x14ac:dyDescent="0.2">
      <c r="K1130"/>
    </row>
    <row r="1131" spans="11:11" ht="15.75" customHeight="1" x14ac:dyDescent="0.2">
      <c r="K1131"/>
    </row>
    <row r="1132" spans="11:11" ht="15.75" customHeight="1" x14ac:dyDescent="0.2">
      <c r="K1132"/>
    </row>
    <row r="1133" spans="11:11" ht="15.75" customHeight="1" x14ac:dyDescent="0.2">
      <c r="K1133"/>
    </row>
    <row r="1134" spans="11:11" ht="15.75" customHeight="1" x14ac:dyDescent="0.2">
      <c r="K1134"/>
    </row>
    <row r="1135" spans="11:11" ht="15.75" customHeight="1" x14ac:dyDescent="0.2">
      <c r="K1135"/>
    </row>
    <row r="1136" spans="11:11" ht="15.75" customHeight="1" x14ac:dyDescent="0.2">
      <c r="K1136"/>
    </row>
    <row r="1137" spans="11:11" ht="15.75" customHeight="1" x14ac:dyDescent="0.2">
      <c r="K1137"/>
    </row>
    <row r="1138" spans="11:11" ht="15.75" customHeight="1" x14ac:dyDescent="0.2">
      <c r="K1138"/>
    </row>
    <row r="1139" spans="11:11" ht="15.75" customHeight="1" x14ac:dyDescent="0.2">
      <c r="K1139"/>
    </row>
    <row r="1140" spans="11:11" ht="15.75" customHeight="1" x14ac:dyDescent="0.2">
      <c r="K1140"/>
    </row>
    <row r="1141" spans="11:11" ht="15.75" customHeight="1" x14ac:dyDescent="0.2">
      <c r="K1141"/>
    </row>
    <row r="1142" spans="11:11" ht="15.75" customHeight="1" x14ac:dyDescent="0.2">
      <c r="K1142"/>
    </row>
    <row r="1143" spans="11:11" ht="15.75" customHeight="1" x14ac:dyDescent="0.2">
      <c r="K1143"/>
    </row>
    <row r="1144" spans="11:11" ht="15.75" customHeight="1" x14ac:dyDescent="0.2">
      <c r="K1144"/>
    </row>
    <row r="1145" spans="11:11" ht="15.75" customHeight="1" x14ac:dyDescent="0.2">
      <c r="K1145"/>
    </row>
    <row r="1146" spans="11:11" ht="15.75" customHeight="1" x14ac:dyDescent="0.2">
      <c r="K1146"/>
    </row>
    <row r="1147" spans="11:11" ht="15.75" customHeight="1" x14ac:dyDescent="0.2">
      <c r="K1147"/>
    </row>
    <row r="1148" spans="11:11" ht="15.75" customHeight="1" x14ac:dyDescent="0.2">
      <c r="K1148"/>
    </row>
    <row r="1149" spans="11:11" ht="15.75" customHeight="1" x14ac:dyDescent="0.2">
      <c r="K1149"/>
    </row>
    <row r="1150" spans="11:11" ht="15.75" customHeight="1" x14ac:dyDescent="0.2">
      <c r="K1150"/>
    </row>
    <row r="1151" spans="11:11" ht="15.75" customHeight="1" x14ac:dyDescent="0.2">
      <c r="K1151"/>
    </row>
    <row r="1152" spans="11:11" ht="15.75" customHeight="1" x14ac:dyDescent="0.2">
      <c r="K1152"/>
    </row>
    <row r="1153" spans="11:11" ht="15.75" customHeight="1" x14ac:dyDescent="0.2">
      <c r="K1153"/>
    </row>
    <row r="1154" spans="11:11" ht="15.75" customHeight="1" x14ac:dyDescent="0.2">
      <c r="K1154"/>
    </row>
    <row r="1155" spans="11:11" ht="15.75" customHeight="1" x14ac:dyDescent="0.2">
      <c r="K1155"/>
    </row>
    <row r="1156" spans="11:11" ht="15.75" customHeight="1" x14ac:dyDescent="0.2">
      <c r="K1156"/>
    </row>
    <row r="1157" spans="11:11" ht="15.75" customHeight="1" x14ac:dyDescent="0.2">
      <c r="K1157"/>
    </row>
    <row r="1158" spans="11:11" ht="15.75" customHeight="1" x14ac:dyDescent="0.2">
      <c r="K1158"/>
    </row>
    <row r="1159" spans="11:11" ht="15.75" customHeight="1" x14ac:dyDescent="0.2">
      <c r="K1159"/>
    </row>
    <row r="1160" spans="11:11" ht="15.75" customHeight="1" x14ac:dyDescent="0.2">
      <c r="K1160"/>
    </row>
    <row r="1161" spans="11:11" ht="15.75" customHeight="1" x14ac:dyDescent="0.2">
      <c r="K1161"/>
    </row>
    <row r="1162" spans="11:11" ht="15.75" customHeight="1" x14ac:dyDescent="0.2">
      <c r="K1162"/>
    </row>
    <row r="1163" spans="11:11" ht="15.75" customHeight="1" x14ac:dyDescent="0.2">
      <c r="K1163"/>
    </row>
    <row r="1164" spans="11:11" ht="15.75" customHeight="1" x14ac:dyDescent="0.2">
      <c r="K1164"/>
    </row>
    <row r="1165" spans="11:11" ht="15.75" customHeight="1" x14ac:dyDescent="0.2">
      <c r="K1165"/>
    </row>
    <row r="1166" spans="11:11" ht="15.75" customHeight="1" x14ac:dyDescent="0.2">
      <c r="K1166"/>
    </row>
    <row r="1167" spans="11:11" ht="15.75" customHeight="1" x14ac:dyDescent="0.2">
      <c r="K1167"/>
    </row>
    <row r="1168" spans="11:11" ht="15.75" customHeight="1" x14ac:dyDescent="0.2">
      <c r="K1168"/>
    </row>
    <row r="1169" spans="11:11" ht="15.75" customHeight="1" x14ac:dyDescent="0.2">
      <c r="K1169"/>
    </row>
    <row r="1170" spans="11:11" ht="15.75" customHeight="1" x14ac:dyDescent="0.2">
      <c r="K1170"/>
    </row>
    <row r="1171" spans="11:11" ht="15.75" customHeight="1" x14ac:dyDescent="0.2">
      <c r="K1171"/>
    </row>
    <row r="1172" spans="11:11" ht="15.75" customHeight="1" x14ac:dyDescent="0.2">
      <c r="K1172"/>
    </row>
    <row r="1173" spans="11:11" ht="15.75" customHeight="1" x14ac:dyDescent="0.2">
      <c r="K1173"/>
    </row>
    <row r="1174" spans="11:11" ht="15.75" customHeight="1" x14ac:dyDescent="0.2">
      <c r="K1174"/>
    </row>
    <row r="1175" spans="11:11" ht="15.75" customHeight="1" x14ac:dyDescent="0.2">
      <c r="K1175"/>
    </row>
    <row r="1176" spans="11:11" ht="15.75" customHeight="1" x14ac:dyDescent="0.2">
      <c r="K1176"/>
    </row>
    <row r="1177" spans="11:11" ht="15.75" customHeight="1" x14ac:dyDescent="0.2">
      <c r="K1177"/>
    </row>
    <row r="1178" spans="11:11" ht="15.75" customHeight="1" x14ac:dyDescent="0.2">
      <c r="K1178"/>
    </row>
    <row r="1179" spans="11:11" ht="15.75" customHeight="1" x14ac:dyDescent="0.2">
      <c r="K1179"/>
    </row>
    <row r="1180" spans="11:11" ht="15.75" customHeight="1" x14ac:dyDescent="0.2">
      <c r="K1180"/>
    </row>
    <row r="1181" spans="11:11" ht="15.75" customHeight="1" x14ac:dyDescent="0.2">
      <c r="K1181"/>
    </row>
    <row r="1182" spans="11:11" ht="15.75" customHeight="1" x14ac:dyDescent="0.2">
      <c r="K1182"/>
    </row>
    <row r="1183" spans="11:11" ht="15.75" customHeight="1" x14ac:dyDescent="0.2">
      <c r="K1183"/>
    </row>
    <row r="1184" spans="11:11" ht="15.75" customHeight="1" x14ac:dyDescent="0.2">
      <c r="K1184"/>
    </row>
    <row r="1185" spans="11:11" ht="15.75" customHeight="1" x14ac:dyDescent="0.2">
      <c r="K1185"/>
    </row>
    <row r="1186" spans="11:11" ht="15.75" customHeight="1" x14ac:dyDescent="0.2">
      <c r="K1186"/>
    </row>
    <row r="1187" spans="11:11" ht="15.75" customHeight="1" x14ac:dyDescent="0.2">
      <c r="K1187"/>
    </row>
    <row r="1188" spans="11:11" ht="15.75" customHeight="1" x14ac:dyDescent="0.2">
      <c r="K1188"/>
    </row>
    <row r="1189" spans="11:11" ht="15.75" customHeight="1" x14ac:dyDescent="0.2">
      <c r="K1189"/>
    </row>
    <row r="1190" spans="11:11" ht="15.75" customHeight="1" x14ac:dyDescent="0.2">
      <c r="K1190"/>
    </row>
    <row r="1191" spans="11:11" ht="15.75" customHeight="1" x14ac:dyDescent="0.2">
      <c r="K1191"/>
    </row>
    <row r="1192" spans="11:11" ht="15.75" customHeight="1" x14ac:dyDescent="0.2">
      <c r="K1192"/>
    </row>
    <row r="1193" spans="11:11" ht="15.75" customHeight="1" x14ac:dyDescent="0.2">
      <c r="K1193"/>
    </row>
    <row r="1194" spans="11:11" ht="15.75" customHeight="1" x14ac:dyDescent="0.2">
      <c r="K1194"/>
    </row>
    <row r="1195" spans="11:11" ht="15.75" customHeight="1" x14ac:dyDescent="0.2">
      <c r="K1195"/>
    </row>
    <row r="1196" spans="11:11" ht="15.75" customHeight="1" x14ac:dyDescent="0.2">
      <c r="K1196"/>
    </row>
    <row r="1197" spans="11:11" ht="15.75" customHeight="1" x14ac:dyDescent="0.2">
      <c r="K1197"/>
    </row>
    <row r="1198" spans="11:11" ht="15.75" customHeight="1" x14ac:dyDescent="0.2">
      <c r="K1198"/>
    </row>
    <row r="1199" spans="11:11" ht="15.75" customHeight="1" x14ac:dyDescent="0.2">
      <c r="K1199"/>
    </row>
    <row r="1200" spans="11:11" ht="15.75" customHeight="1" x14ac:dyDescent="0.2">
      <c r="K1200"/>
    </row>
    <row r="1201" spans="11:11" ht="15.75" customHeight="1" x14ac:dyDescent="0.2">
      <c r="K1201"/>
    </row>
    <row r="1202" spans="11:11" ht="15.75" customHeight="1" x14ac:dyDescent="0.2">
      <c r="K1202"/>
    </row>
    <row r="1203" spans="11:11" ht="15.75" customHeight="1" x14ac:dyDescent="0.2">
      <c r="K1203"/>
    </row>
    <row r="1204" spans="11:11" ht="15.75" customHeight="1" x14ac:dyDescent="0.2">
      <c r="K1204"/>
    </row>
    <row r="1205" spans="11:11" ht="15.75" customHeight="1" x14ac:dyDescent="0.2">
      <c r="K1205"/>
    </row>
    <row r="1206" spans="11:11" ht="15.75" customHeight="1" x14ac:dyDescent="0.2">
      <c r="K1206"/>
    </row>
    <row r="1207" spans="11:11" ht="15.75" customHeight="1" x14ac:dyDescent="0.2">
      <c r="K1207"/>
    </row>
    <row r="1208" spans="11:11" ht="15.75" customHeight="1" x14ac:dyDescent="0.2">
      <c r="K1208"/>
    </row>
    <row r="1209" spans="11:11" ht="15.75" customHeight="1" x14ac:dyDescent="0.2">
      <c r="K1209"/>
    </row>
    <row r="1210" spans="11:11" ht="15.75" customHeight="1" x14ac:dyDescent="0.2">
      <c r="K1210"/>
    </row>
    <row r="1211" spans="11:11" ht="15.75" customHeight="1" x14ac:dyDescent="0.2">
      <c r="K1211"/>
    </row>
    <row r="1212" spans="11:11" ht="15.75" customHeight="1" x14ac:dyDescent="0.2">
      <c r="K1212"/>
    </row>
    <row r="1213" spans="11:11" ht="15.75" customHeight="1" x14ac:dyDescent="0.2">
      <c r="K1213"/>
    </row>
    <row r="1214" spans="11:11" ht="15.75" customHeight="1" x14ac:dyDescent="0.2">
      <c r="K1214"/>
    </row>
    <row r="1215" spans="11:11" ht="15.75" customHeight="1" x14ac:dyDescent="0.2">
      <c r="K1215"/>
    </row>
    <row r="1216" spans="11:11" ht="15.75" customHeight="1" x14ac:dyDescent="0.2">
      <c r="K1216"/>
    </row>
    <row r="1217" spans="11:11" ht="15.75" customHeight="1" x14ac:dyDescent="0.2">
      <c r="K1217"/>
    </row>
    <row r="1218" spans="11:11" ht="15.75" customHeight="1" x14ac:dyDescent="0.2">
      <c r="K1218"/>
    </row>
    <row r="1219" spans="11:11" ht="15.75" customHeight="1" x14ac:dyDescent="0.2">
      <c r="K1219"/>
    </row>
    <row r="1220" spans="11:11" ht="15.75" customHeight="1" x14ac:dyDescent="0.2">
      <c r="K1220"/>
    </row>
    <row r="1221" spans="11:11" ht="15.75" customHeight="1" x14ac:dyDescent="0.2">
      <c r="K1221"/>
    </row>
    <row r="1222" spans="11:11" ht="15.75" customHeight="1" x14ac:dyDescent="0.2">
      <c r="K1222"/>
    </row>
    <row r="1223" spans="11:11" ht="15.75" customHeight="1" x14ac:dyDescent="0.2">
      <c r="K1223"/>
    </row>
    <row r="1224" spans="11:11" ht="15.75" customHeight="1" x14ac:dyDescent="0.2">
      <c r="K1224"/>
    </row>
    <row r="1225" spans="11:11" ht="15.75" customHeight="1" x14ac:dyDescent="0.2">
      <c r="K1225"/>
    </row>
    <row r="1226" spans="11:11" ht="15.75" customHeight="1" x14ac:dyDescent="0.2">
      <c r="K1226"/>
    </row>
    <row r="1227" spans="11:11" ht="15.75" customHeight="1" x14ac:dyDescent="0.2">
      <c r="K1227"/>
    </row>
    <row r="1228" spans="11:11" ht="15.75" customHeight="1" x14ac:dyDescent="0.2">
      <c r="K1228"/>
    </row>
    <row r="1229" spans="11:11" ht="15.75" customHeight="1" x14ac:dyDescent="0.2">
      <c r="K1229"/>
    </row>
    <row r="1230" spans="11:11" ht="15.75" customHeight="1" x14ac:dyDescent="0.2">
      <c r="K1230"/>
    </row>
    <row r="1231" spans="11:11" ht="15.75" customHeight="1" x14ac:dyDescent="0.2">
      <c r="K1231"/>
    </row>
    <row r="1232" spans="11:11" ht="15.75" customHeight="1" x14ac:dyDescent="0.2">
      <c r="K1232"/>
    </row>
    <row r="1233" spans="11:11" ht="15.75" customHeight="1" x14ac:dyDescent="0.2">
      <c r="K1233"/>
    </row>
    <row r="1234" spans="11:11" ht="15.75" customHeight="1" x14ac:dyDescent="0.2">
      <c r="K1234"/>
    </row>
    <row r="1235" spans="11:11" ht="15.75" customHeight="1" x14ac:dyDescent="0.2">
      <c r="K1235"/>
    </row>
    <row r="1236" spans="11:11" ht="15.75" customHeight="1" x14ac:dyDescent="0.2">
      <c r="K1236"/>
    </row>
    <row r="1237" spans="11:11" ht="15.75" customHeight="1" x14ac:dyDescent="0.2">
      <c r="K1237"/>
    </row>
    <row r="1238" spans="11:11" ht="15.75" customHeight="1" x14ac:dyDescent="0.2">
      <c r="K1238"/>
    </row>
    <row r="1239" spans="11:11" ht="15.75" customHeight="1" x14ac:dyDescent="0.2">
      <c r="K1239"/>
    </row>
    <row r="1240" spans="11:11" ht="15.75" customHeight="1" x14ac:dyDescent="0.2">
      <c r="K1240"/>
    </row>
    <row r="1241" spans="11:11" ht="15.75" customHeight="1" x14ac:dyDescent="0.2">
      <c r="K1241"/>
    </row>
    <row r="1242" spans="11:11" ht="15.75" customHeight="1" x14ac:dyDescent="0.2">
      <c r="K1242"/>
    </row>
    <row r="1243" spans="11:11" ht="15.75" customHeight="1" x14ac:dyDescent="0.2">
      <c r="K1243"/>
    </row>
    <row r="1244" spans="11:11" ht="15.75" customHeight="1" x14ac:dyDescent="0.2">
      <c r="K1244"/>
    </row>
    <row r="1245" spans="11:11" ht="15.75" customHeight="1" x14ac:dyDescent="0.2">
      <c r="K1245"/>
    </row>
    <row r="1246" spans="11:11" ht="15.75" customHeight="1" x14ac:dyDescent="0.2">
      <c r="K1246"/>
    </row>
    <row r="1247" spans="11:11" ht="15.75" customHeight="1" x14ac:dyDescent="0.2">
      <c r="K1247"/>
    </row>
    <row r="1248" spans="11:11" ht="15.75" customHeight="1" x14ac:dyDescent="0.2">
      <c r="K1248"/>
    </row>
    <row r="1249" spans="11:11" ht="15.75" customHeight="1" x14ac:dyDescent="0.2">
      <c r="K1249"/>
    </row>
    <row r="1250" spans="11:11" ht="15.75" customHeight="1" x14ac:dyDescent="0.2">
      <c r="K1250"/>
    </row>
    <row r="1251" spans="11:11" ht="15.75" customHeight="1" x14ac:dyDescent="0.2">
      <c r="K1251"/>
    </row>
    <row r="1252" spans="11:11" ht="15.75" customHeight="1" x14ac:dyDescent="0.2">
      <c r="K1252"/>
    </row>
    <row r="1253" spans="11:11" ht="15.75" customHeight="1" x14ac:dyDescent="0.2">
      <c r="K1253"/>
    </row>
    <row r="1254" spans="11:11" ht="15.75" customHeight="1" x14ac:dyDescent="0.2">
      <c r="K1254"/>
    </row>
    <row r="1255" spans="11:11" ht="15.75" customHeight="1" x14ac:dyDescent="0.2">
      <c r="K1255"/>
    </row>
    <row r="1256" spans="11:11" ht="15.75" customHeight="1" x14ac:dyDescent="0.2">
      <c r="K1256"/>
    </row>
    <row r="1257" spans="11:11" ht="15.75" customHeight="1" x14ac:dyDescent="0.2">
      <c r="K1257"/>
    </row>
    <row r="1258" spans="11:11" ht="15.75" customHeight="1" x14ac:dyDescent="0.2">
      <c r="K1258"/>
    </row>
    <row r="1259" spans="11:11" ht="15.75" customHeight="1" x14ac:dyDescent="0.2">
      <c r="K1259"/>
    </row>
    <row r="1260" spans="11:11" ht="15.75" customHeight="1" x14ac:dyDescent="0.2">
      <c r="K1260"/>
    </row>
    <row r="1261" spans="11:11" ht="15.75" customHeight="1" x14ac:dyDescent="0.2">
      <c r="K1261"/>
    </row>
    <row r="1262" spans="11:11" ht="15.75" customHeight="1" x14ac:dyDescent="0.2">
      <c r="K1262"/>
    </row>
    <row r="1263" spans="11:11" ht="15.75" customHeight="1" x14ac:dyDescent="0.2">
      <c r="K1263"/>
    </row>
    <row r="1264" spans="11:11" ht="15.75" customHeight="1" x14ac:dyDescent="0.2">
      <c r="K1264"/>
    </row>
    <row r="1265" spans="11:11" ht="15.75" customHeight="1" x14ac:dyDescent="0.2">
      <c r="K1265"/>
    </row>
    <row r="1266" spans="11:11" ht="15.75" customHeight="1" x14ac:dyDescent="0.2">
      <c r="K1266"/>
    </row>
    <row r="1267" spans="11:11" ht="15.75" customHeight="1" x14ac:dyDescent="0.2">
      <c r="K1267"/>
    </row>
    <row r="1268" spans="11:11" ht="15.75" customHeight="1" x14ac:dyDescent="0.2">
      <c r="K1268"/>
    </row>
    <row r="1269" spans="11:11" ht="15.75" customHeight="1" x14ac:dyDescent="0.2">
      <c r="K1269"/>
    </row>
    <row r="1270" spans="11:11" ht="15.75" customHeight="1" x14ac:dyDescent="0.2">
      <c r="K1270"/>
    </row>
    <row r="1271" spans="11:11" ht="15.75" customHeight="1" x14ac:dyDescent="0.2">
      <c r="K1271"/>
    </row>
    <row r="1272" spans="11:11" ht="15.75" customHeight="1" x14ac:dyDescent="0.2">
      <c r="K1272"/>
    </row>
    <row r="1273" spans="11:11" ht="15.75" customHeight="1" x14ac:dyDescent="0.2">
      <c r="K1273"/>
    </row>
    <row r="1274" spans="11:11" ht="15.75" customHeight="1" x14ac:dyDescent="0.2">
      <c r="K1274"/>
    </row>
    <row r="1275" spans="11:11" ht="15.75" customHeight="1" x14ac:dyDescent="0.2">
      <c r="K1275"/>
    </row>
    <row r="1276" spans="11:11" ht="15.75" customHeight="1" x14ac:dyDescent="0.2">
      <c r="K1276"/>
    </row>
    <row r="1277" spans="11:11" ht="15.75" customHeight="1" x14ac:dyDescent="0.2">
      <c r="K1277"/>
    </row>
    <row r="1278" spans="11:11" ht="15.75" customHeight="1" x14ac:dyDescent="0.2">
      <c r="K1278"/>
    </row>
    <row r="1279" spans="11:11" ht="15.75" customHeight="1" x14ac:dyDescent="0.2">
      <c r="K1279"/>
    </row>
    <row r="1280" spans="11:11" ht="15.75" customHeight="1" x14ac:dyDescent="0.2">
      <c r="K1280"/>
    </row>
    <row r="1281" spans="11:11" ht="15.75" customHeight="1" x14ac:dyDescent="0.2">
      <c r="K1281"/>
    </row>
    <row r="1282" spans="11:11" ht="15.75" customHeight="1" x14ac:dyDescent="0.2">
      <c r="K1282"/>
    </row>
    <row r="1283" spans="11:11" ht="15.75" customHeight="1" x14ac:dyDescent="0.2">
      <c r="K1283"/>
    </row>
    <row r="1284" spans="11:11" ht="15.75" customHeight="1" x14ac:dyDescent="0.2">
      <c r="K1284"/>
    </row>
    <row r="1285" spans="11:11" ht="15.75" customHeight="1" x14ac:dyDescent="0.2">
      <c r="K1285"/>
    </row>
    <row r="1286" spans="11:11" ht="15.75" customHeight="1" x14ac:dyDescent="0.2">
      <c r="K1286"/>
    </row>
    <row r="1287" spans="11:11" ht="15.75" customHeight="1" x14ac:dyDescent="0.2">
      <c r="K1287"/>
    </row>
    <row r="1288" spans="11:11" ht="15.75" customHeight="1" x14ac:dyDescent="0.2">
      <c r="K1288"/>
    </row>
    <row r="1289" spans="11:11" ht="15.75" customHeight="1" x14ac:dyDescent="0.2">
      <c r="K1289"/>
    </row>
    <row r="1290" spans="11:11" ht="15.75" customHeight="1" x14ac:dyDescent="0.2">
      <c r="K1290"/>
    </row>
    <row r="1291" spans="11:11" ht="15.75" customHeight="1" x14ac:dyDescent="0.2">
      <c r="K1291"/>
    </row>
    <row r="1292" spans="11:11" ht="15.75" customHeight="1" x14ac:dyDescent="0.2">
      <c r="K1292"/>
    </row>
    <row r="1293" spans="11:11" ht="15.75" customHeight="1" x14ac:dyDescent="0.2">
      <c r="K1293"/>
    </row>
    <row r="1294" spans="11:11" ht="15.75" customHeight="1" x14ac:dyDescent="0.2">
      <c r="K1294"/>
    </row>
    <row r="1295" spans="11:11" ht="15.75" customHeight="1" x14ac:dyDescent="0.2">
      <c r="K1295"/>
    </row>
    <row r="1296" spans="11:11" ht="15.75" customHeight="1" x14ac:dyDescent="0.2">
      <c r="K1296"/>
    </row>
    <row r="1297" spans="11:11" ht="15.75" customHeight="1" x14ac:dyDescent="0.2">
      <c r="K1297"/>
    </row>
    <row r="1298" spans="11:11" ht="15.75" customHeight="1" x14ac:dyDescent="0.2">
      <c r="K1298"/>
    </row>
    <row r="1299" spans="11:11" ht="15.75" customHeight="1" x14ac:dyDescent="0.2">
      <c r="K1299"/>
    </row>
    <row r="1300" spans="11:11" ht="15.75" customHeight="1" x14ac:dyDescent="0.2">
      <c r="K1300"/>
    </row>
    <row r="1301" spans="11:11" ht="15.75" customHeight="1" x14ac:dyDescent="0.2">
      <c r="K1301"/>
    </row>
    <row r="1302" spans="11:11" ht="15.75" customHeight="1" x14ac:dyDescent="0.2">
      <c r="K1302"/>
    </row>
    <row r="1303" spans="11:11" ht="15.75" customHeight="1" x14ac:dyDescent="0.2">
      <c r="K1303"/>
    </row>
    <row r="1304" spans="11:11" ht="15.75" customHeight="1" x14ac:dyDescent="0.2">
      <c r="K1304"/>
    </row>
    <row r="1305" spans="11:11" ht="15.75" customHeight="1" x14ac:dyDescent="0.2">
      <c r="K1305"/>
    </row>
    <row r="1306" spans="11:11" ht="15.75" customHeight="1" x14ac:dyDescent="0.2">
      <c r="K1306"/>
    </row>
    <row r="1307" spans="11:11" ht="15.75" customHeight="1" x14ac:dyDescent="0.2">
      <c r="K1307"/>
    </row>
    <row r="1308" spans="11:11" ht="15.75" customHeight="1" x14ac:dyDescent="0.2">
      <c r="K1308"/>
    </row>
    <row r="1309" spans="11:11" ht="15.75" customHeight="1" x14ac:dyDescent="0.2">
      <c r="K1309"/>
    </row>
    <row r="1310" spans="11:11" ht="15.75" customHeight="1" x14ac:dyDescent="0.2">
      <c r="K1310"/>
    </row>
    <row r="1311" spans="11:11" ht="15.75" customHeight="1" x14ac:dyDescent="0.2">
      <c r="K1311"/>
    </row>
    <row r="1312" spans="11:11" ht="15.75" customHeight="1" x14ac:dyDescent="0.2">
      <c r="K1312"/>
    </row>
    <row r="1313" spans="11:11" ht="15.75" customHeight="1" x14ac:dyDescent="0.2">
      <c r="K1313"/>
    </row>
    <row r="1314" spans="11:11" ht="15.75" customHeight="1" x14ac:dyDescent="0.2">
      <c r="K1314"/>
    </row>
    <row r="1315" spans="11:11" ht="15.75" customHeight="1" x14ac:dyDescent="0.2">
      <c r="K1315"/>
    </row>
    <row r="1316" spans="11:11" ht="15.75" customHeight="1" x14ac:dyDescent="0.2">
      <c r="K1316"/>
    </row>
    <row r="1317" spans="11:11" ht="15.75" customHeight="1" x14ac:dyDescent="0.2">
      <c r="K1317"/>
    </row>
    <row r="1318" spans="11:11" ht="15.75" customHeight="1" x14ac:dyDescent="0.2">
      <c r="K1318"/>
    </row>
    <row r="1319" spans="11:11" ht="15.75" customHeight="1" x14ac:dyDescent="0.2">
      <c r="K1319"/>
    </row>
    <row r="1320" spans="11:11" ht="15.75" customHeight="1" x14ac:dyDescent="0.2">
      <c r="K1320"/>
    </row>
    <row r="1321" spans="11:11" ht="15.75" customHeight="1" x14ac:dyDescent="0.2">
      <c r="K1321"/>
    </row>
    <row r="1322" spans="11:11" ht="15.75" customHeight="1" x14ac:dyDescent="0.2">
      <c r="K1322"/>
    </row>
    <row r="1323" spans="11:11" ht="15.75" customHeight="1" x14ac:dyDescent="0.2">
      <c r="K1323"/>
    </row>
    <row r="1324" spans="11:11" ht="15.75" customHeight="1" x14ac:dyDescent="0.2">
      <c r="K1324"/>
    </row>
    <row r="1325" spans="11:11" ht="15.75" customHeight="1" x14ac:dyDescent="0.2">
      <c r="K1325"/>
    </row>
    <row r="1326" spans="11:11" ht="15.75" customHeight="1" x14ac:dyDescent="0.2">
      <c r="K1326"/>
    </row>
    <row r="1327" spans="11:11" ht="15.75" customHeight="1" x14ac:dyDescent="0.2">
      <c r="K1327"/>
    </row>
    <row r="1328" spans="11:11" ht="15.75" customHeight="1" x14ac:dyDescent="0.2">
      <c r="K1328"/>
    </row>
    <row r="1329" spans="11:11" ht="15.75" customHeight="1" x14ac:dyDescent="0.2">
      <c r="K1329"/>
    </row>
    <row r="1330" spans="11:11" ht="15.75" customHeight="1" x14ac:dyDescent="0.2">
      <c r="K1330"/>
    </row>
    <row r="1331" spans="11:11" ht="15.75" customHeight="1" x14ac:dyDescent="0.2">
      <c r="K1331"/>
    </row>
    <row r="1332" spans="11:11" ht="15.75" customHeight="1" x14ac:dyDescent="0.2">
      <c r="K1332"/>
    </row>
    <row r="1333" spans="11:11" ht="15.75" customHeight="1" x14ac:dyDescent="0.2">
      <c r="K1333"/>
    </row>
    <row r="1334" spans="11:11" ht="15.75" customHeight="1" x14ac:dyDescent="0.2">
      <c r="K1334"/>
    </row>
    <row r="1335" spans="11:11" ht="15.75" customHeight="1" x14ac:dyDescent="0.2">
      <c r="K1335"/>
    </row>
    <row r="1336" spans="11:11" ht="15.75" customHeight="1" x14ac:dyDescent="0.2">
      <c r="K1336"/>
    </row>
    <row r="1337" spans="11:11" ht="15.75" customHeight="1" x14ac:dyDescent="0.2">
      <c r="K1337"/>
    </row>
    <row r="1338" spans="11:11" ht="15.75" customHeight="1" x14ac:dyDescent="0.2">
      <c r="K1338"/>
    </row>
    <row r="1339" spans="11:11" ht="15.75" customHeight="1" x14ac:dyDescent="0.2">
      <c r="K1339"/>
    </row>
    <row r="1340" spans="11:11" ht="15.75" customHeight="1" x14ac:dyDescent="0.2">
      <c r="K1340"/>
    </row>
    <row r="1341" spans="11:11" ht="15.75" customHeight="1" x14ac:dyDescent="0.2">
      <c r="K1341"/>
    </row>
    <row r="1342" spans="11:11" ht="15.75" customHeight="1" x14ac:dyDescent="0.2">
      <c r="K1342"/>
    </row>
    <row r="1343" spans="11:11" ht="15.75" customHeight="1" x14ac:dyDescent="0.2">
      <c r="K1343"/>
    </row>
    <row r="1344" spans="11:11" ht="15.75" customHeight="1" x14ac:dyDescent="0.2">
      <c r="K1344"/>
    </row>
    <row r="1345" spans="11:11" ht="15.75" customHeight="1" x14ac:dyDescent="0.2">
      <c r="K1345"/>
    </row>
    <row r="1346" spans="11:11" ht="15.75" customHeight="1" x14ac:dyDescent="0.2">
      <c r="K1346"/>
    </row>
    <row r="1347" spans="11:11" ht="15.75" customHeight="1" x14ac:dyDescent="0.2">
      <c r="K1347"/>
    </row>
    <row r="1348" spans="11:11" ht="15.75" customHeight="1" x14ac:dyDescent="0.2">
      <c r="K1348"/>
    </row>
    <row r="1349" spans="11:11" ht="15.75" customHeight="1" x14ac:dyDescent="0.2">
      <c r="K1349"/>
    </row>
    <row r="1350" spans="11:11" ht="15.75" customHeight="1" x14ac:dyDescent="0.2">
      <c r="K1350"/>
    </row>
    <row r="1351" spans="11:11" ht="15.75" customHeight="1" x14ac:dyDescent="0.2">
      <c r="K1351"/>
    </row>
    <row r="1352" spans="11:11" ht="15.75" customHeight="1" x14ac:dyDescent="0.2">
      <c r="K1352"/>
    </row>
    <row r="1353" spans="11:11" ht="15.75" customHeight="1" x14ac:dyDescent="0.2">
      <c r="K1353"/>
    </row>
    <row r="1354" spans="11:11" ht="15.75" customHeight="1" x14ac:dyDescent="0.2">
      <c r="K1354"/>
    </row>
    <row r="1355" spans="11:11" ht="15.75" customHeight="1" x14ac:dyDescent="0.2">
      <c r="K1355"/>
    </row>
    <row r="1356" spans="11:11" ht="15.75" customHeight="1" x14ac:dyDescent="0.2">
      <c r="K1356"/>
    </row>
    <row r="1357" spans="11:11" ht="15.75" customHeight="1" x14ac:dyDescent="0.2">
      <c r="K1357"/>
    </row>
    <row r="1358" spans="11:11" ht="15.75" customHeight="1" x14ac:dyDescent="0.2">
      <c r="K1358"/>
    </row>
    <row r="1359" spans="11:11" ht="15.75" customHeight="1" x14ac:dyDescent="0.2">
      <c r="K1359"/>
    </row>
    <row r="1360" spans="11:11" ht="15.75" customHeight="1" x14ac:dyDescent="0.2">
      <c r="K1360"/>
    </row>
    <row r="1361" spans="11:11" ht="15.75" customHeight="1" x14ac:dyDescent="0.2">
      <c r="K1361"/>
    </row>
    <row r="1362" spans="11:11" ht="15.75" customHeight="1" x14ac:dyDescent="0.2">
      <c r="K1362"/>
    </row>
    <row r="1363" spans="11:11" ht="15.75" customHeight="1" x14ac:dyDescent="0.2">
      <c r="K1363"/>
    </row>
    <row r="1364" spans="11:11" ht="15.75" customHeight="1" x14ac:dyDescent="0.2">
      <c r="K1364"/>
    </row>
    <row r="1365" spans="11:11" ht="15.75" customHeight="1" x14ac:dyDescent="0.2">
      <c r="K1365"/>
    </row>
    <row r="1366" spans="11:11" ht="15.75" customHeight="1" x14ac:dyDescent="0.2">
      <c r="K1366"/>
    </row>
    <row r="1367" spans="11:11" ht="15.75" customHeight="1" x14ac:dyDescent="0.2">
      <c r="K1367"/>
    </row>
    <row r="1368" spans="11:11" ht="15.75" customHeight="1" x14ac:dyDescent="0.2">
      <c r="K1368"/>
    </row>
    <row r="1369" spans="11:11" ht="15.75" customHeight="1" x14ac:dyDescent="0.2">
      <c r="K1369"/>
    </row>
    <row r="1370" spans="11:11" ht="15.75" customHeight="1" x14ac:dyDescent="0.2">
      <c r="K1370"/>
    </row>
    <row r="1371" spans="11:11" ht="15.75" customHeight="1" x14ac:dyDescent="0.2">
      <c r="K1371"/>
    </row>
    <row r="1372" spans="11:11" ht="15.75" customHeight="1" x14ac:dyDescent="0.2">
      <c r="K1372"/>
    </row>
    <row r="1373" spans="11:11" ht="15.75" customHeight="1" x14ac:dyDescent="0.2">
      <c r="K1373"/>
    </row>
    <row r="1374" spans="11:11" ht="15.75" customHeight="1" x14ac:dyDescent="0.2">
      <c r="K1374"/>
    </row>
    <row r="1375" spans="11:11" ht="15.75" customHeight="1" x14ac:dyDescent="0.2">
      <c r="K1375"/>
    </row>
    <row r="1376" spans="11:11" ht="15.75" customHeight="1" x14ac:dyDescent="0.2">
      <c r="K1376"/>
    </row>
    <row r="1377" spans="11:11" ht="15.75" customHeight="1" x14ac:dyDescent="0.2">
      <c r="K1377"/>
    </row>
    <row r="1378" spans="11:11" ht="15.75" customHeight="1" x14ac:dyDescent="0.2">
      <c r="K1378"/>
    </row>
    <row r="1379" spans="11:11" ht="15.75" customHeight="1" x14ac:dyDescent="0.2">
      <c r="K1379"/>
    </row>
    <row r="1380" spans="11:11" ht="15.75" customHeight="1" x14ac:dyDescent="0.2">
      <c r="K1380"/>
    </row>
    <row r="1381" spans="11:11" ht="15.75" customHeight="1" x14ac:dyDescent="0.2">
      <c r="K1381"/>
    </row>
    <row r="1382" spans="11:11" ht="15.75" customHeight="1" x14ac:dyDescent="0.2">
      <c r="K1382"/>
    </row>
    <row r="1383" spans="11:11" ht="15.75" customHeight="1" x14ac:dyDescent="0.2">
      <c r="K1383"/>
    </row>
    <row r="1384" spans="11:11" ht="15.75" customHeight="1" x14ac:dyDescent="0.2">
      <c r="K1384"/>
    </row>
    <row r="1385" spans="11:11" ht="15.75" customHeight="1" x14ac:dyDescent="0.2">
      <c r="K1385"/>
    </row>
    <row r="1386" spans="11:11" ht="15.75" customHeight="1" x14ac:dyDescent="0.2">
      <c r="K1386"/>
    </row>
    <row r="1387" spans="11:11" ht="15.75" customHeight="1" x14ac:dyDescent="0.2">
      <c r="K1387"/>
    </row>
    <row r="1388" spans="11:11" ht="15.75" customHeight="1" x14ac:dyDescent="0.2">
      <c r="K1388"/>
    </row>
    <row r="1389" spans="11:11" ht="15.75" customHeight="1" x14ac:dyDescent="0.2">
      <c r="K1389"/>
    </row>
    <row r="1390" spans="11:11" ht="15.75" customHeight="1" x14ac:dyDescent="0.2">
      <c r="K1390"/>
    </row>
    <row r="1391" spans="11:11" ht="15.75" customHeight="1" x14ac:dyDescent="0.2">
      <c r="K1391"/>
    </row>
    <row r="1392" spans="11:11" ht="15.75" customHeight="1" x14ac:dyDescent="0.2">
      <c r="K1392"/>
    </row>
    <row r="1393" spans="11:11" ht="15.75" customHeight="1" x14ac:dyDescent="0.2">
      <c r="K1393"/>
    </row>
    <row r="1394" spans="11:11" ht="15.75" customHeight="1" x14ac:dyDescent="0.2">
      <c r="K1394"/>
    </row>
    <row r="1395" spans="11:11" ht="15.75" customHeight="1" x14ac:dyDescent="0.2">
      <c r="K1395"/>
    </row>
    <row r="1396" spans="11:11" ht="15.75" customHeight="1" x14ac:dyDescent="0.2">
      <c r="K1396"/>
    </row>
    <row r="1397" spans="11:11" ht="15.75" customHeight="1" x14ac:dyDescent="0.2">
      <c r="K1397"/>
    </row>
    <row r="1398" spans="11:11" ht="15.75" customHeight="1" x14ac:dyDescent="0.2">
      <c r="K1398"/>
    </row>
    <row r="1399" spans="11:11" ht="15.75" customHeight="1" x14ac:dyDescent="0.2">
      <c r="K1399"/>
    </row>
    <row r="1400" spans="11:11" ht="15.75" customHeight="1" x14ac:dyDescent="0.2">
      <c r="K1400"/>
    </row>
    <row r="1401" spans="11:11" ht="15.75" customHeight="1" x14ac:dyDescent="0.2">
      <c r="K1401"/>
    </row>
    <row r="1402" spans="11:11" ht="15.75" customHeight="1" x14ac:dyDescent="0.2">
      <c r="K1402"/>
    </row>
    <row r="1403" spans="11:11" ht="15.75" customHeight="1" x14ac:dyDescent="0.2">
      <c r="K1403"/>
    </row>
    <row r="1404" spans="11:11" ht="15.75" customHeight="1" x14ac:dyDescent="0.2">
      <c r="K1404"/>
    </row>
    <row r="1405" spans="11:11" ht="15.75" customHeight="1" x14ac:dyDescent="0.2">
      <c r="K1405"/>
    </row>
    <row r="1406" spans="11:11" ht="15.75" customHeight="1" x14ac:dyDescent="0.2">
      <c r="K1406"/>
    </row>
    <row r="1407" spans="11:11" ht="15.75" customHeight="1" x14ac:dyDescent="0.2">
      <c r="K1407"/>
    </row>
    <row r="1408" spans="11:11" ht="15.75" customHeight="1" x14ac:dyDescent="0.2">
      <c r="K1408"/>
    </row>
    <row r="1409" spans="11:11" ht="15.75" customHeight="1" x14ac:dyDescent="0.2">
      <c r="K1409"/>
    </row>
    <row r="1410" spans="11:11" ht="15.75" customHeight="1" x14ac:dyDescent="0.2">
      <c r="K1410"/>
    </row>
    <row r="1411" spans="11:11" ht="15.75" customHeight="1" x14ac:dyDescent="0.2">
      <c r="K1411"/>
    </row>
    <row r="1412" spans="11:11" ht="15.75" customHeight="1" x14ac:dyDescent="0.2">
      <c r="K1412"/>
    </row>
    <row r="1413" spans="11:11" ht="15.75" customHeight="1" x14ac:dyDescent="0.2">
      <c r="K1413"/>
    </row>
    <row r="1414" spans="11:11" ht="15.75" customHeight="1" x14ac:dyDescent="0.2">
      <c r="K1414"/>
    </row>
    <row r="1415" spans="11:11" ht="15.75" customHeight="1" x14ac:dyDescent="0.2">
      <c r="K1415"/>
    </row>
    <row r="1416" spans="11:11" ht="15.75" customHeight="1" x14ac:dyDescent="0.2">
      <c r="K1416"/>
    </row>
    <row r="1417" spans="11:11" ht="15.75" customHeight="1" x14ac:dyDescent="0.2">
      <c r="K1417"/>
    </row>
    <row r="1418" spans="11:11" ht="15.75" customHeight="1" x14ac:dyDescent="0.2">
      <c r="K1418"/>
    </row>
    <row r="1419" spans="11:11" ht="15.75" customHeight="1" x14ac:dyDescent="0.2">
      <c r="K1419"/>
    </row>
    <row r="1420" spans="11:11" ht="15.75" customHeight="1" x14ac:dyDescent="0.2">
      <c r="K1420"/>
    </row>
    <row r="1421" spans="11:11" ht="15.75" customHeight="1" x14ac:dyDescent="0.2">
      <c r="K1421"/>
    </row>
    <row r="1422" spans="11:11" ht="15.75" customHeight="1" x14ac:dyDescent="0.2">
      <c r="K1422"/>
    </row>
    <row r="1423" spans="11:11" ht="15.75" customHeight="1" x14ac:dyDescent="0.2">
      <c r="K1423"/>
    </row>
    <row r="1424" spans="11:11" ht="15.75" customHeight="1" x14ac:dyDescent="0.2">
      <c r="K1424"/>
    </row>
    <row r="1425" spans="11:11" ht="15.75" customHeight="1" x14ac:dyDescent="0.2">
      <c r="K1425"/>
    </row>
    <row r="1426" spans="11:11" ht="15.75" customHeight="1" x14ac:dyDescent="0.2">
      <c r="K1426"/>
    </row>
    <row r="1427" spans="11:11" ht="15.75" customHeight="1" x14ac:dyDescent="0.2">
      <c r="K1427"/>
    </row>
    <row r="1428" spans="11:11" ht="15.75" customHeight="1" x14ac:dyDescent="0.2">
      <c r="K1428"/>
    </row>
    <row r="1429" spans="11:11" ht="15.75" customHeight="1" x14ac:dyDescent="0.2">
      <c r="K1429"/>
    </row>
    <row r="1430" spans="11:11" ht="15.75" customHeight="1" x14ac:dyDescent="0.2">
      <c r="K1430"/>
    </row>
    <row r="1431" spans="11:11" ht="15.75" customHeight="1" x14ac:dyDescent="0.2">
      <c r="K1431"/>
    </row>
    <row r="1432" spans="11:11" ht="15.75" customHeight="1" x14ac:dyDescent="0.2">
      <c r="K1432"/>
    </row>
    <row r="1433" spans="11:11" ht="15.75" customHeight="1" x14ac:dyDescent="0.2">
      <c r="K1433"/>
    </row>
    <row r="1434" spans="11:11" ht="15.75" customHeight="1" x14ac:dyDescent="0.2">
      <c r="K1434"/>
    </row>
    <row r="1435" spans="11:11" ht="15.75" customHeight="1" x14ac:dyDescent="0.2">
      <c r="K1435"/>
    </row>
    <row r="1436" spans="11:11" ht="15.75" customHeight="1" x14ac:dyDescent="0.2">
      <c r="K1436"/>
    </row>
    <row r="1437" spans="11:11" ht="15.75" customHeight="1" x14ac:dyDescent="0.2">
      <c r="K1437"/>
    </row>
    <row r="1438" spans="11:11" ht="15.75" customHeight="1" x14ac:dyDescent="0.2">
      <c r="K1438"/>
    </row>
    <row r="1439" spans="11:11" ht="15.75" customHeight="1" x14ac:dyDescent="0.2">
      <c r="K1439"/>
    </row>
    <row r="1440" spans="11:11" ht="15.75" customHeight="1" x14ac:dyDescent="0.2">
      <c r="K1440"/>
    </row>
    <row r="1441" spans="11:11" ht="15.75" customHeight="1" x14ac:dyDescent="0.2">
      <c r="K1441"/>
    </row>
    <row r="1442" spans="11:11" ht="15.75" customHeight="1" x14ac:dyDescent="0.2">
      <c r="K1442"/>
    </row>
    <row r="1443" spans="11:11" ht="15.75" customHeight="1" x14ac:dyDescent="0.2">
      <c r="K1443"/>
    </row>
    <row r="1444" spans="11:11" ht="15.75" customHeight="1" x14ac:dyDescent="0.2">
      <c r="K1444"/>
    </row>
    <row r="1445" spans="11:11" ht="15.75" customHeight="1" x14ac:dyDescent="0.2">
      <c r="K1445"/>
    </row>
    <row r="1446" spans="11:11" ht="15.75" customHeight="1" x14ac:dyDescent="0.2">
      <c r="K1446"/>
    </row>
    <row r="1447" spans="11:11" ht="15.75" customHeight="1" x14ac:dyDescent="0.2">
      <c r="K1447"/>
    </row>
    <row r="1448" spans="11:11" ht="15.75" customHeight="1" x14ac:dyDescent="0.2">
      <c r="K1448"/>
    </row>
    <row r="1449" spans="11:11" ht="15.75" customHeight="1" x14ac:dyDescent="0.2">
      <c r="K1449"/>
    </row>
    <row r="1450" spans="11:11" ht="15.75" customHeight="1" x14ac:dyDescent="0.2">
      <c r="K1450"/>
    </row>
    <row r="1451" spans="11:11" ht="15.75" customHeight="1" x14ac:dyDescent="0.2">
      <c r="K1451"/>
    </row>
    <row r="1452" spans="11:11" ht="15.75" customHeight="1" x14ac:dyDescent="0.2">
      <c r="K1452"/>
    </row>
    <row r="1453" spans="11:11" ht="15.75" customHeight="1" x14ac:dyDescent="0.2">
      <c r="K1453"/>
    </row>
    <row r="1454" spans="11:11" ht="15.75" customHeight="1" x14ac:dyDescent="0.2">
      <c r="K1454"/>
    </row>
    <row r="1455" spans="11:11" ht="15.75" customHeight="1" x14ac:dyDescent="0.2">
      <c r="K1455"/>
    </row>
    <row r="1456" spans="11:11" ht="15.75" customHeight="1" x14ac:dyDescent="0.2">
      <c r="K1456"/>
    </row>
    <row r="1457" spans="11:11" ht="15.75" customHeight="1" x14ac:dyDescent="0.2">
      <c r="K1457"/>
    </row>
    <row r="1458" spans="11:11" ht="15.75" customHeight="1" x14ac:dyDescent="0.2">
      <c r="K1458"/>
    </row>
    <row r="1459" spans="11:11" ht="15.75" customHeight="1" x14ac:dyDescent="0.2">
      <c r="K1459"/>
    </row>
    <row r="1460" spans="11:11" ht="15.75" customHeight="1" x14ac:dyDescent="0.2">
      <c r="K1460"/>
    </row>
    <row r="1461" spans="11:11" ht="15.75" customHeight="1" x14ac:dyDescent="0.2">
      <c r="K1461"/>
    </row>
    <row r="1462" spans="11:11" ht="15.75" customHeight="1" x14ac:dyDescent="0.2">
      <c r="K1462"/>
    </row>
    <row r="1463" spans="11:11" ht="15.75" customHeight="1" x14ac:dyDescent="0.2">
      <c r="K1463"/>
    </row>
    <row r="1464" spans="11:11" ht="15.75" customHeight="1" x14ac:dyDescent="0.2">
      <c r="K1464"/>
    </row>
    <row r="1465" spans="11:11" ht="15.75" customHeight="1" x14ac:dyDescent="0.2">
      <c r="K1465"/>
    </row>
    <row r="1466" spans="11:11" ht="15.75" customHeight="1" x14ac:dyDescent="0.2">
      <c r="K1466"/>
    </row>
    <row r="1467" spans="11:11" ht="15.75" customHeight="1" x14ac:dyDescent="0.2">
      <c r="K1467"/>
    </row>
    <row r="1468" spans="11:11" ht="15.75" customHeight="1" x14ac:dyDescent="0.2">
      <c r="K1468"/>
    </row>
    <row r="1469" spans="11:11" ht="15.75" customHeight="1" x14ac:dyDescent="0.2">
      <c r="K1469"/>
    </row>
    <row r="1470" spans="11:11" ht="15.75" customHeight="1" x14ac:dyDescent="0.2">
      <c r="K1470"/>
    </row>
    <row r="1471" spans="11:11" ht="15.75" customHeight="1" x14ac:dyDescent="0.2">
      <c r="K1471"/>
    </row>
    <row r="1472" spans="11:11" ht="15.75" customHeight="1" x14ac:dyDescent="0.2">
      <c r="K1472"/>
    </row>
    <row r="1473" spans="11:11" ht="15.75" customHeight="1" x14ac:dyDescent="0.2">
      <c r="K1473"/>
    </row>
    <row r="1474" spans="11:11" ht="15.75" customHeight="1" x14ac:dyDescent="0.2">
      <c r="K1474"/>
    </row>
    <row r="1475" spans="11:11" ht="15.75" customHeight="1" x14ac:dyDescent="0.2">
      <c r="K1475"/>
    </row>
    <row r="1476" spans="11:11" ht="15.75" customHeight="1" x14ac:dyDescent="0.2">
      <c r="K1476"/>
    </row>
    <row r="1477" spans="11:11" ht="15.75" customHeight="1" x14ac:dyDescent="0.2">
      <c r="K1477"/>
    </row>
    <row r="1478" spans="11:11" ht="15.75" customHeight="1" x14ac:dyDescent="0.2">
      <c r="K1478"/>
    </row>
    <row r="1479" spans="11:11" ht="15.75" customHeight="1" x14ac:dyDescent="0.2">
      <c r="K1479"/>
    </row>
    <row r="1480" spans="11:11" ht="15.75" customHeight="1" x14ac:dyDescent="0.2">
      <c r="K1480"/>
    </row>
    <row r="1481" spans="11:11" ht="15.75" customHeight="1" x14ac:dyDescent="0.2">
      <c r="K1481"/>
    </row>
    <row r="1482" spans="11:11" ht="15.75" customHeight="1" x14ac:dyDescent="0.2">
      <c r="K1482"/>
    </row>
    <row r="1483" spans="11:11" ht="15.75" customHeight="1" x14ac:dyDescent="0.2">
      <c r="K1483"/>
    </row>
    <row r="1484" spans="11:11" ht="15.75" customHeight="1" x14ac:dyDescent="0.2">
      <c r="K1484"/>
    </row>
    <row r="1485" spans="11:11" ht="15.75" customHeight="1" x14ac:dyDescent="0.2">
      <c r="K1485"/>
    </row>
    <row r="1486" spans="11:11" ht="15.75" customHeight="1" x14ac:dyDescent="0.2">
      <c r="K1486"/>
    </row>
    <row r="1487" spans="11:11" ht="15.75" customHeight="1" x14ac:dyDescent="0.2">
      <c r="K1487"/>
    </row>
    <row r="1488" spans="11:11" ht="15.75" customHeight="1" x14ac:dyDescent="0.2">
      <c r="K1488"/>
    </row>
    <row r="1489" spans="11:11" ht="15.75" customHeight="1" x14ac:dyDescent="0.2">
      <c r="K1489"/>
    </row>
    <row r="1490" spans="11:11" ht="15.75" customHeight="1" x14ac:dyDescent="0.2">
      <c r="K1490"/>
    </row>
    <row r="1491" spans="11:11" ht="15.75" customHeight="1" x14ac:dyDescent="0.2">
      <c r="K1491"/>
    </row>
    <row r="1492" spans="11:11" ht="15.75" customHeight="1" x14ac:dyDescent="0.2">
      <c r="K1492"/>
    </row>
    <row r="1493" spans="11:11" ht="15.75" customHeight="1" x14ac:dyDescent="0.2">
      <c r="K1493"/>
    </row>
    <row r="1494" spans="11:11" ht="15.75" customHeight="1" x14ac:dyDescent="0.2">
      <c r="K1494"/>
    </row>
    <row r="1495" spans="11:11" ht="15.75" customHeight="1" x14ac:dyDescent="0.2">
      <c r="K1495"/>
    </row>
    <row r="1496" spans="11:11" ht="15.75" customHeight="1" x14ac:dyDescent="0.2">
      <c r="K1496"/>
    </row>
    <row r="1497" spans="11:11" ht="15.75" customHeight="1" x14ac:dyDescent="0.2">
      <c r="K1497"/>
    </row>
    <row r="1498" spans="11:11" ht="15.75" customHeight="1" x14ac:dyDescent="0.2">
      <c r="K1498"/>
    </row>
    <row r="1499" spans="11:11" ht="15.75" customHeight="1" x14ac:dyDescent="0.2">
      <c r="K1499"/>
    </row>
    <row r="1500" spans="11:11" ht="15.75" customHeight="1" x14ac:dyDescent="0.2">
      <c r="K1500"/>
    </row>
    <row r="1501" spans="11:11" ht="15.75" customHeight="1" x14ac:dyDescent="0.2">
      <c r="K1501"/>
    </row>
    <row r="1502" spans="11:11" ht="15.75" customHeight="1" x14ac:dyDescent="0.2">
      <c r="K1502"/>
    </row>
    <row r="1503" spans="11:11" ht="15.75" customHeight="1" x14ac:dyDescent="0.2">
      <c r="K1503"/>
    </row>
    <row r="1504" spans="11:11" ht="15.75" customHeight="1" x14ac:dyDescent="0.2">
      <c r="K1504"/>
    </row>
    <row r="1505" spans="11:11" ht="15.75" customHeight="1" x14ac:dyDescent="0.2">
      <c r="K1505"/>
    </row>
    <row r="1506" spans="11:11" ht="15.75" customHeight="1" x14ac:dyDescent="0.2">
      <c r="K1506"/>
    </row>
    <row r="1507" spans="11:11" ht="15.75" customHeight="1" x14ac:dyDescent="0.2">
      <c r="K1507"/>
    </row>
    <row r="1508" spans="11:11" ht="15.75" customHeight="1" x14ac:dyDescent="0.2">
      <c r="K1508"/>
    </row>
    <row r="1509" spans="11:11" ht="15.75" customHeight="1" x14ac:dyDescent="0.2">
      <c r="K1509"/>
    </row>
    <row r="1510" spans="11:11" ht="15.75" customHeight="1" x14ac:dyDescent="0.2">
      <c r="K1510"/>
    </row>
    <row r="1511" spans="11:11" ht="15.75" customHeight="1" x14ac:dyDescent="0.2">
      <c r="K1511"/>
    </row>
    <row r="1512" spans="11:11" ht="15.75" customHeight="1" x14ac:dyDescent="0.2">
      <c r="K1512"/>
    </row>
    <row r="1513" spans="11:11" ht="15.75" customHeight="1" x14ac:dyDescent="0.2">
      <c r="K1513"/>
    </row>
    <row r="1514" spans="11:11" ht="15.75" customHeight="1" x14ac:dyDescent="0.2">
      <c r="K1514"/>
    </row>
    <row r="1515" spans="11:11" ht="15.75" customHeight="1" x14ac:dyDescent="0.2">
      <c r="K1515"/>
    </row>
    <row r="1516" spans="11:11" ht="15.75" customHeight="1" x14ac:dyDescent="0.2">
      <c r="K1516"/>
    </row>
    <row r="1517" spans="11:11" ht="15.75" customHeight="1" x14ac:dyDescent="0.2">
      <c r="K1517"/>
    </row>
    <row r="1518" spans="11:11" ht="15.75" customHeight="1" x14ac:dyDescent="0.2">
      <c r="K1518"/>
    </row>
    <row r="1519" spans="11:11" ht="15.75" customHeight="1" x14ac:dyDescent="0.2">
      <c r="K1519"/>
    </row>
    <row r="1520" spans="11:11" ht="15.75" customHeight="1" x14ac:dyDescent="0.2">
      <c r="K1520"/>
    </row>
    <row r="1521" spans="11:11" ht="15.75" customHeight="1" x14ac:dyDescent="0.2">
      <c r="K1521"/>
    </row>
    <row r="1522" spans="11:11" ht="15.75" customHeight="1" x14ac:dyDescent="0.2">
      <c r="K1522"/>
    </row>
    <row r="1523" spans="11:11" ht="15.75" customHeight="1" x14ac:dyDescent="0.2">
      <c r="K1523"/>
    </row>
    <row r="1524" spans="11:11" ht="15.75" customHeight="1" x14ac:dyDescent="0.2">
      <c r="K1524"/>
    </row>
    <row r="1525" spans="11:11" ht="15.75" customHeight="1" x14ac:dyDescent="0.2">
      <c r="K1525"/>
    </row>
    <row r="1526" spans="11:11" ht="15.75" customHeight="1" x14ac:dyDescent="0.2">
      <c r="K1526"/>
    </row>
    <row r="1527" spans="11:11" ht="15.75" customHeight="1" x14ac:dyDescent="0.2">
      <c r="K1527"/>
    </row>
    <row r="1528" spans="11:11" ht="15.75" customHeight="1" x14ac:dyDescent="0.2">
      <c r="K1528"/>
    </row>
    <row r="1529" spans="11:11" ht="15.75" customHeight="1" x14ac:dyDescent="0.2">
      <c r="K1529"/>
    </row>
    <row r="1530" spans="11:11" ht="15.75" customHeight="1" x14ac:dyDescent="0.2">
      <c r="K1530"/>
    </row>
    <row r="1531" spans="11:11" ht="15.75" customHeight="1" x14ac:dyDescent="0.2">
      <c r="K1531"/>
    </row>
    <row r="1532" spans="11:11" ht="15.75" customHeight="1" x14ac:dyDescent="0.2">
      <c r="K1532"/>
    </row>
    <row r="1533" spans="11:11" ht="15.75" customHeight="1" x14ac:dyDescent="0.2">
      <c r="K1533"/>
    </row>
    <row r="1534" spans="11:11" ht="15.75" customHeight="1" x14ac:dyDescent="0.2">
      <c r="K1534"/>
    </row>
    <row r="1535" spans="11:11" ht="15.75" customHeight="1" x14ac:dyDescent="0.2">
      <c r="K1535"/>
    </row>
    <row r="1536" spans="11:11" ht="15.75" customHeight="1" x14ac:dyDescent="0.2">
      <c r="K1536"/>
    </row>
    <row r="1537" spans="11:11" ht="15.75" customHeight="1" x14ac:dyDescent="0.2">
      <c r="K1537"/>
    </row>
    <row r="1538" spans="11:11" ht="15.75" customHeight="1" x14ac:dyDescent="0.2">
      <c r="K1538"/>
    </row>
    <row r="1539" spans="11:11" ht="15.75" customHeight="1" x14ac:dyDescent="0.2">
      <c r="K1539"/>
    </row>
    <row r="1540" spans="11:11" ht="15.75" customHeight="1" x14ac:dyDescent="0.2">
      <c r="K1540"/>
    </row>
    <row r="1541" spans="11:11" ht="15.75" customHeight="1" x14ac:dyDescent="0.2">
      <c r="K1541"/>
    </row>
    <row r="1542" spans="11:11" ht="15.75" customHeight="1" x14ac:dyDescent="0.2">
      <c r="K1542"/>
    </row>
    <row r="1543" spans="11:11" ht="15.75" customHeight="1" x14ac:dyDescent="0.2">
      <c r="K1543"/>
    </row>
    <row r="1544" spans="11:11" ht="15.75" customHeight="1" x14ac:dyDescent="0.2">
      <c r="K1544"/>
    </row>
    <row r="1545" spans="11:11" ht="15.75" customHeight="1" x14ac:dyDescent="0.2">
      <c r="K1545"/>
    </row>
    <row r="1546" spans="11:11" ht="15.75" customHeight="1" x14ac:dyDescent="0.2">
      <c r="K1546"/>
    </row>
    <row r="1547" spans="11:11" ht="15.75" customHeight="1" x14ac:dyDescent="0.2">
      <c r="K1547"/>
    </row>
    <row r="1548" spans="11:11" ht="15.75" customHeight="1" x14ac:dyDescent="0.2">
      <c r="K1548"/>
    </row>
    <row r="1549" spans="11:11" ht="15.75" customHeight="1" x14ac:dyDescent="0.2">
      <c r="K1549"/>
    </row>
    <row r="1550" spans="11:11" ht="15.75" customHeight="1" x14ac:dyDescent="0.2">
      <c r="K1550"/>
    </row>
    <row r="1551" spans="11:11" ht="15.75" customHeight="1" x14ac:dyDescent="0.2">
      <c r="K1551"/>
    </row>
    <row r="1552" spans="11:11" ht="15.75" customHeight="1" x14ac:dyDescent="0.2">
      <c r="K1552"/>
    </row>
    <row r="1553" spans="11:11" ht="15.75" customHeight="1" x14ac:dyDescent="0.2">
      <c r="K1553"/>
    </row>
    <row r="1554" spans="11:11" ht="15.75" customHeight="1" x14ac:dyDescent="0.2">
      <c r="K1554"/>
    </row>
    <row r="1555" spans="11:11" ht="15.75" customHeight="1" x14ac:dyDescent="0.2">
      <c r="K1555"/>
    </row>
    <row r="1556" spans="11:11" ht="15.75" customHeight="1" x14ac:dyDescent="0.2">
      <c r="K1556"/>
    </row>
    <row r="1557" spans="11:11" ht="15.75" customHeight="1" x14ac:dyDescent="0.2">
      <c r="K1557"/>
    </row>
    <row r="1558" spans="11:11" ht="15.75" customHeight="1" x14ac:dyDescent="0.2">
      <c r="K1558"/>
    </row>
    <row r="1559" spans="11:11" ht="15.75" customHeight="1" x14ac:dyDescent="0.2">
      <c r="K1559"/>
    </row>
    <row r="1560" spans="11:11" ht="15.75" customHeight="1" x14ac:dyDescent="0.2">
      <c r="K1560"/>
    </row>
    <row r="1561" spans="11:11" ht="15.75" customHeight="1" x14ac:dyDescent="0.2">
      <c r="K1561"/>
    </row>
    <row r="1562" spans="11:11" ht="15.75" customHeight="1" x14ac:dyDescent="0.2">
      <c r="K1562"/>
    </row>
    <row r="1563" spans="11:11" ht="15.75" customHeight="1" x14ac:dyDescent="0.2">
      <c r="K1563"/>
    </row>
    <row r="1564" spans="11:11" ht="15.75" customHeight="1" x14ac:dyDescent="0.2">
      <c r="K1564"/>
    </row>
    <row r="1565" spans="11:11" ht="15.75" customHeight="1" x14ac:dyDescent="0.2">
      <c r="K1565"/>
    </row>
    <row r="1566" spans="11:11" ht="15.75" customHeight="1" x14ac:dyDescent="0.2">
      <c r="K1566"/>
    </row>
    <row r="1567" spans="11:11" ht="15.75" customHeight="1" x14ac:dyDescent="0.2">
      <c r="K1567"/>
    </row>
    <row r="1568" spans="11:11" ht="15.75" customHeight="1" x14ac:dyDescent="0.2">
      <c r="K1568"/>
    </row>
    <row r="1569" spans="11:11" ht="15.75" customHeight="1" x14ac:dyDescent="0.2">
      <c r="K1569"/>
    </row>
    <row r="1570" spans="11:11" ht="15.75" customHeight="1" x14ac:dyDescent="0.2">
      <c r="K1570"/>
    </row>
    <row r="1571" spans="11:11" ht="15.75" customHeight="1" x14ac:dyDescent="0.2">
      <c r="K1571"/>
    </row>
    <row r="1572" spans="11:11" ht="15.75" customHeight="1" x14ac:dyDescent="0.2">
      <c r="K1572"/>
    </row>
    <row r="1573" spans="11:11" ht="15.75" customHeight="1" x14ac:dyDescent="0.2">
      <c r="K1573"/>
    </row>
    <row r="1574" spans="11:11" ht="15.75" customHeight="1" x14ac:dyDescent="0.2">
      <c r="K1574"/>
    </row>
    <row r="1575" spans="11:11" ht="15.75" customHeight="1" x14ac:dyDescent="0.2">
      <c r="K1575"/>
    </row>
    <row r="1576" spans="11:11" ht="15.75" customHeight="1" x14ac:dyDescent="0.2">
      <c r="K1576"/>
    </row>
    <row r="1577" spans="11:11" ht="15.75" customHeight="1" x14ac:dyDescent="0.2">
      <c r="K1577"/>
    </row>
    <row r="1578" spans="11:11" ht="15.75" customHeight="1" x14ac:dyDescent="0.2">
      <c r="K1578"/>
    </row>
    <row r="1579" spans="11:11" ht="15.75" customHeight="1" x14ac:dyDescent="0.2">
      <c r="K1579"/>
    </row>
    <row r="1580" spans="11:11" ht="15.75" customHeight="1" x14ac:dyDescent="0.2">
      <c r="K1580"/>
    </row>
    <row r="1581" spans="11:11" ht="15.75" customHeight="1" x14ac:dyDescent="0.2">
      <c r="K1581"/>
    </row>
    <row r="1582" spans="11:11" ht="15.75" customHeight="1" x14ac:dyDescent="0.2">
      <c r="K1582"/>
    </row>
    <row r="1583" spans="11:11" ht="15.75" customHeight="1" x14ac:dyDescent="0.2">
      <c r="K1583"/>
    </row>
    <row r="1584" spans="11:11" ht="15.75" customHeight="1" x14ac:dyDescent="0.2">
      <c r="K1584"/>
    </row>
    <row r="1585" spans="11:11" ht="15.75" customHeight="1" x14ac:dyDescent="0.2">
      <c r="K1585"/>
    </row>
    <row r="1586" spans="11:11" ht="15.75" customHeight="1" x14ac:dyDescent="0.2">
      <c r="K1586"/>
    </row>
    <row r="1587" spans="11:11" ht="15.75" customHeight="1" x14ac:dyDescent="0.2">
      <c r="K1587"/>
    </row>
    <row r="1588" spans="11:11" ht="15.75" customHeight="1" x14ac:dyDescent="0.2">
      <c r="K1588"/>
    </row>
    <row r="1589" spans="11:11" ht="15.75" customHeight="1" x14ac:dyDescent="0.2">
      <c r="K1589"/>
    </row>
    <row r="1590" spans="11:11" ht="15.75" customHeight="1" x14ac:dyDescent="0.2">
      <c r="K1590"/>
    </row>
    <row r="1591" spans="11:11" ht="15.75" customHeight="1" x14ac:dyDescent="0.2">
      <c r="K1591"/>
    </row>
    <row r="1592" spans="11:11" ht="15.75" customHeight="1" x14ac:dyDescent="0.2">
      <c r="K1592"/>
    </row>
    <row r="1593" spans="11:11" ht="15.75" customHeight="1" x14ac:dyDescent="0.2">
      <c r="K1593"/>
    </row>
    <row r="1594" spans="11:11" ht="15.75" customHeight="1" x14ac:dyDescent="0.2">
      <c r="K1594"/>
    </row>
    <row r="1595" spans="11:11" ht="15.75" customHeight="1" x14ac:dyDescent="0.2">
      <c r="K1595"/>
    </row>
    <row r="1596" spans="11:11" ht="15.75" customHeight="1" x14ac:dyDescent="0.2">
      <c r="K1596"/>
    </row>
    <row r="1597" spans="11:11" ht="15.75" customHeight="1" x14ac:dyDescent="0.2">
      <c r="K1597"/>
    </row>
    <row r="1598" spans="11:11" ht="15.75" customHeight="1" x14ac:dyDescent="0.2">
      <c r="K1598"/>
    </row>
    <row r="1599" spans="11:11" ht="15.75" customHeight="1" x14ac:dyDescent="0.2">
      <c r="K1599"/>
    </row>
    <row r="1600" spans="11:11" ht="15.75" customHeight="1" x14ac:dyDescent="0.2">
      <c r="K1600"/>
    </row>
    <row r="1601" spans="11:11" ht="15.75" customHeight="1" x14ac:dyDescent="0.2">
      <c r="K1601"/>
    </row>
    <row r="1602" spans="11:11" ht="15.75" customHeight="1" x14ac:dyDescent="0.2">
      <c r="K1602"/>
    </row>
    <row r="1603" spans="11:11" ht="15.75" customHeight="1" x14ac:dyDescent="0.2">
      <c r="K1603"/>
    </row>
    <row r="1604" spans="11:11" ht="15.75" customHeight="1" x14ac:dyDescent="0.2">
      <c r="K1604"/>
    </row>
    <row r="1605" spans="11:11" ht="15.75" customHeight="1" x14ac:dyDescent="0.2">
      <c r="K1605"/>
    </row>
    <row r="1606" spans="11:11" ht="15.75" customHeight="1" x14ac:dyDescent="0.2">
      <c r="K1606"/>
    </row>
    <row r="1607" spans="11:11" ht="15.75" customHeight="1" x14ac:dyDescent="0.2">
      <c r="K1607"/>
    </row>
    <row r="1608" spans="11:11" ht="15.75" customHeight="1" x14ac:dyDescent="0.2">
      <c r="K1608"/>
    </row>
    <row r="1609" spans="11:11" ht="15.75" customHeight="1" x14ac:dyDescent="0.2">
      <c r="K1609"/>
    </row>
    <row r="1610" spans="11:11" ht="15.75" customHeight="1" x14ac:dyDescent="0.2">
      <c r="K1610"/>
    </row>
    <row r="1611" spans="11:11" ht="15.75" customHeight="1" x14ac:dyDescent="0.2">
      <c r="K1611"/>
    </row>
    <row r="1612" spans="11:11" ht="15.75" customHeight="1" x14ac:dyDescent="0.2">
      <c r="K1612"/>
    </row>
    <row r="1613" spans="11:11" ht="15.75" customHeight="1" x14ac:dyDescent="0.2">
      <c r="K1613"/>
    </row>
    <row r="1614" spans="11:11" ht="15.75" customHeight="1" x14ac:dyDescent="0.2">
      <c r="K1614"/>
    </row>
    <row r="1615" spans="11:11" ht="15.75" customHeight="1" x14ac:dyDescent="0.2">
      <c r="K1615"/>
    </row>
    <row r="1616" spans="11:11" ht="15.75" customHeight="1" x14ac:dyDescent="0.2">
      <c r="K1616"/>
    </row>
    <row r="1617" spans="11:11" ht="15.75" customHeight="1" x14ac:dyDescent="0.2">
      <c r="K1617"/>
    </row>
    <row r="1618" spans="11:11" ht="15.75" customHeight="1" x14ac:dyDescent="0.2">
      <c r="K1618"/>
    </row>
    <row r="1619" spans="11:11" ht="15.75" customHeight="1" x14ac:dyDescent="0.2">
      <c r="K1619"/>
    </row>
    <row r="1620" spans="11:11" ht="15.75" customHeight="1" x14ac:dyDescent="0.2">
      <c r="K1620"/>
    </row>
    <row r="1621" spans="11:11" ht="15.75" customHeight="1" x14ac:dyDescent="0.2">
      <c r="K1621"/>
    </row>
    <row r="1622" spans="11:11" ht="15.75" customHeight="1" x14ac:dyDescent="0.2">
      <c r="K1622"/>
    </row>
    <row r="1623" spans="11:11" ht="15.75" customHeight="1" x14ac:dyDescent="0.2">
      <c r="K1623"/>
    </row>
    <row r="1624" spans="11:11" ht="15.75" customHeight="1" x14ac:dyDescent="0.2">
      <c r="K1624"/>
    </row>
    <row r="1625" spans="11:11" ht="15.75" customHeight="1" x14ac:dyDescent="0.2">
      <c r="K1625"/>
    </row>
    <row r="1626" spans="11:11" ht="15.75" customHeight="1" x14ac:dyDescent="0.2">
      <c r="K1626"/>
    </row>
    <row r="1627" spans="11:11" ht="15.75" customHeight="1" x14ac:dyDescent="0.2">
      <c r="K1627"/>
    </row>
    <row r="1628" spans="11:11" ht="15.75" customHeight="1" x14ac:dyDescent="0.2">
      <c r="K1628"/>
    </row>
    <row r="1629" spans="11:11" ht="15.75" customHeight="1" x14ac:dyDescent="0.2">
      <c r="K1629"/>
    </row>
    <row r="1630" spans="11:11" ht="15.75" customHeight="1" x14ac:dyDescent="0.2">
      <c r="K1630"/>
    </row>
    <row r="1631" spans="11:11" ht="15.75" customHeight="1" x14ac:dyDescent="0.2">
      <c r="K1631"/>
    </row>
    <row r="1632" spans="11:11" ht="15.75" customHeight="1" x14ac:dyDescent="0.2">
      <c r="K1632"/>
    </row>
    <row r="1633" spans="11:11" ht="15.75" customHeight="1" x14ac:dyDescent="0.2">
      <c r="K1633"/>
    </row>
    <row r="1634" spans="11:11" ht="15.75" customHeight="1" x14ac:dyDescent="0.2">
      <c r="K1634"/>
    </row>
    <row r="1635" spans="11:11" ht="15.75" customHeight="1" x14ac:dyDescent="0.2">
      <c r="K1635"/>
    </row>
    <row r="1636" spans="11:11" ht="15.75" customHeight="1" x14ac:dyDescent="0.2">
      <c r="K1636"/>
    </row>
    <row r="1637" spans="11:11" ht="15.75" customHeight="1" x14ac:dyDescent="0.2">
      <c r="K1637"/>
    </row>
    <row r="1638" spans="11:11" ht="15.75" customHeight="1" x14ac:dyDescent="0.2">
      <c r="K1638"/>
    </row>
    <row r="1639" spans="11:11" ht="15.75" customHeight="1" x14ac:dyDescent="0.2">
      <c r="K1639"/>
    </row>
    <row r="1640" spans="11:11" ht="15.75" customHeight="1" x14ac:dyDescent="0.2">
      <c r="K1640"/>
    </row>
    <row r="1641" spans="11:11" ht="15.75" customHeight="1" x14ac:dyDescent="0.2">
      <c r="K1641"/>
    </row>
    <row r="1642" spans="11:11" ht="15.75" customHeight="1" x14ac:dyDescent="0.2">
      <c r="K1642"/>
    </row>
    <row r="1643" spans="11:11" ht="15.75" customHeight="1" x14ac:dyDescent="0.2">
      <c r="K1643"/>
    </row>
    <row r="1644" spans="11:11" ht="15.75" customHeight="1" x14ac:dyDescent="0.2">
      <c r="K1644"/>
    </row>
    <row r="1645" spans="11:11" ht="15.75" customHeight="1" x14ac:dyDescent="0.2">
      <c r="K1645"/>
    </row>
    <row r="1646" spans="11:11" ht="15.75" customHeight="1" x14ac:dyDescent="0.2">
      <c r="K1646"/>
    </row>
    <row r="1647" spans="11:11" ht="15.75" customHeight="1" x14ac:dyDescent="0.2">
      <c r="K1647"/>
    </row>
    <row r="1648" spans="11:11" ht="15.75" customHeight="1" x14ac:dyDescent="0.2">
      <c r="K1648"/>
    </row>
    <row r="1649" spans="11:11" ht="15.75" customHeight="1" x14ac:dyDescent="0.2">
      <c r="K1649"/>
    </row>
    <row r="1650" spans="11:11" ht="15.75" customHeight="1" x14ac:dyDescent="0.2">
      <c r="K1650"/>
    </row>
    <row r="1651" spans="11:11" ht="15.75" customHeight="1" x14ac:dyDescent="0.2">
      <c r="K1651"/>
    </row>
    <row r="1652" spans="11:11" ht="15.75" customHeight="1" x14ac:dyDescent="0.2">
      <c r="K1652"/>
    </row>
    <row r="1653" spans="11:11" ht="15.75" customHeight="1" x14ac:dyDescent="0.2">
      <c r="K1653"/>
    </row>
    <row r="1654" spans="11:11" ht="15.75" customHeight="1" x14ac:dyDescent="0.2">
      <c r="K1654"/>
    </row>
    <row r="1655" spans="11:11" ht="15.75" customHeight="1" x14ac:dyDescent="0.2">
      <c r="K1655"/>
    </row>
    <row r="1656" spans="11:11" ht="15.75" customHeight="1" x14ac:dyDescent="0.2">
      <c r="K1656"/>
    </row>
    <row r="1657" spans="11:11" ht="15.75" customHeight="1" x14ac:dyDescent="0.2">
      <c r="K1657"/>
    </row>
    <row r="1658" spans="11:11" ht="15.75" customHeight="1" x14ac:dyDescent="0.2">
      <c r="K1658"/>
    </row>
    <row r="1659" spans="11:11" ht="15.75" customHeight="1" x14ac:dyDescent="0.2">
      <c r="K1659"/>
    </row>
    <row r="1660" spans="11:11" ht="15.75" customHeight="1" x14ac:dyDescent="0.2">
      <c r="K1660"/>
    </row>
    <row r="1661" spans="11:11" ht="15.75" customHeight="1" x14ac:dyDescent="0.2">
      <c r="K1661"/>
    </row>
    <row r="1662" spans="11:11" ht="15.75" customHeight="1" x14ac:dyDescent="0.2">
      <c r="K1662"/>
    </row>
    <row r="1663" spans="11:11" ht="15.75" customHeight="1" x14ac:dyDescent="0.2">
      <c r="K1663"/>
    </row>
    <row r="1664" spans="11:11" ht="15.75" customHeight="1" x14ac:dyDescent="0.2">
      <c r="K1664"/>
    </row>
    <row r="1665" spans="11:11" ht="15.75" customHeight="1" x14ac:dyDescent="0.2">
      <c r="K1665"/>
    </row>
    <row r="1666" spans="11:11" ht="15.75" customHeight="1" x14ac:dyDescent="0.2">
      <c r="K1666"/>
    </row>
    <row r="1667" spans="11:11" ht="15.75" customHeight="1" x14ac:dyDescent="0.2">
      <c r="K1667"/>
    </row>
    <row r="1668" spans="11:11" ht="15.75" customHeight="1" x14ac:dyDescent="0.2">
      <c r="K1668"/>
    </row>
    <row r="1669" spans="11:11" ht="15.75" customHeight="1" x14ac:dyDescent="0.2">
      <c r="K1669"/>
    </row>
    <row r="1670" spans="11:11" ht="15.75" customHeight="1" x14ac:dyDescent="0.2">
      <c r="K1670"/>
    </row>
    <row r="1671" spans="11:11" ht="15.75" customHeight="1" x14ac:dyDescent="0.2">
      <c r="K1671"/>
    </row>
    <row r="1672" spans="11:11" ht="15.75" customHeight="1" x14ac:dyDescent="0.2">
      <c r="K1672"/>
    </row>
    <row r="1673" spans="11:11" ht="15.75" customHeight="1" x14ac:dyDescent="0.2">
      <c r="K1673"/>
    </row>
    <row r="1674" spans="11:11" ht="15.75" customHeight="1" x14ac:dyDescent="0.2">
      <c r="K1674"/>
    </row>
    <row r="1675" spans="11:11" ht="15.75" customHeight="1" x14ac:dyDescent="0.2">
      <c r="K1675"/>
    </row>
    <row r="1676" spans="11:11" ht="15.75" customHeight="1" x14ac:dyDescent="0.2">
      <c r="K1676"/>
    </row>
    <row r="1677" spans="11:11" ht="15.75" customHeight="1" x14ac:dyDescent="0.2">
      <c r="K1677"/>
    </row>
    <row r="1678" spans="11:11" ht="15.75" customHeight="1" x14ac:dyDescent="0.2">
      <c r="K1678"/>
    </row>
    <row r="1679" spans="11:11" ht="15.75" customHeight="1" x14ac:dyDescent="0.2">
      <c r="K1679"/>
    </row>
    <row r="1680" spans="11:11" ht="15.75" customHeight="1" x14ac:dyDescent="0.2">
      <c r="K1680"/>
    </row>
    <row r="1681" spans="11:11" ht="15.75" customHeight="1" x14ac:dyDescent="0.2">
      <c r="K1681"/>
    </row>
    <row r="1682" spans="11:11" ht="15.75" customHeight="1" x14ac:dyDescent="0.2">
      <c r="K1682"/>
    </row>
    <row r="1683" spans="11:11" ht="15.75" customHeight="1" x14ac:dyDescent="0.2">
      <c r="K1683"/>
    </row>
    <row r="1684" spans="11:11" ht="15.75" customHeight="1" x14ac:dyDescent="0.2">
      <c r="K1684"/>
    </row>
    <row r="1685" spans="11:11" ht="15.75" customHeight="1" x14ac:dyDescent="0.2">
      <c r="K1685"/>
    </row>
    <row r="1686" spans="11:11" ht="15.75" customHeight="1" x14ac:dyDescent="0.2">
      <c r="K1686"/>
    </row>
    <row r="1687" spans="11:11" ht="15.75" customHeight="1" x14ac:dyDescent="0.2">
      <c r="K1687"/>
    </row>
    <row r="1688" spans="11:11" ht="15.75" customHeight="1" x14ac:dyDescent="0.2">
      <c r="K1688"/>
    </row>
    <row r="1689" spans="11:11" ht="15.75" customHeight="1" x14ac:dyDescent="0.2">
      <c r="K1689"/>
    </row>
    <row r="1690" spans="11:11" ht="15.75" customHeight="1" x14ac:dyDescent="0.2">
      <c r="K1690"/>
    </row>
    <row r="1691" spans="11:11" ht="15.75" customHeight="1" x14ac:dyDescent="0.2">
      <c r="K1691"/>
    </row>
    <row r="1692" spans="11:11" ht="15.75" customHeight="1" x14ac:dyDescent="0.2">
      <c r="K1692"/>
    </row>
    <row r="1693" spans="11:11" ht="15.75" customHeight="1" x14ac:dyDescent="0.2">
      <c r="K1693"/>
    </row>
    <row r="1694" spans="11:11" ht="15.75" customHeight="1" x14ac:dyDescent="0.2">
      <c r="K1694"/>
    </row>
    <row r="1695" spans="11:11" ht="15.75" customHeight="1" x14ac:dyDescent="0.2">
      <c r="K1695"/>
    </row>
    <row r="1696" spans="11:11" ht="15.75" customHeight="1" x14ac:dyDescent="0.2">
      <c r="K1696"/>
    </row>
    <row r="1697" spans="11:11" ht="15.75" customHeight="1" x14ac:dyDescent="0.2">
      <c r="K1697"/>
    </row>
    <row r="1698" spans="11:11" ht="15.75" customHeight="1" x14ac:dyDescent="0.2">
      <c r="K1698"/>
    </row>
    <row r="1699" spans="11:11" ht="15.75" customHeight="1" x14ac:dyDescent="0.2">
      <c r="K1699"/>
    </row>
    <row r="1700" spans="11:11" ht="15.75" customHeight="1" x14ac:dyDescent="0.2">
      <c r="K1700"/>
    </row>
    <row r="1701" spans="11:11" ht="15.75" customHeight="1" x14ac:dyDescent="0.2">
      <c r="K1701"/>
    </row>
    <row r="1702" spans="11:11" ht="15.75" customHeight="1" x14ac:dyDescent="0.2">
      <c r="K1702"/>
    </row>
    <row r="1703" spans="11:11" ht="15.75" customHeight="1" x14ac:dyDescent="0.2">
      <c r="K1703"/>
    </row>
    <row r="1704" spans="11:11" ht="15.75" customHeight="1" x14ac:dyDescent="0.2">
      <c r="K1704"/>
    </row>
    <row r="1705" spans="11:11" ht="15.75" customHeight="1" x14ac:dyDescent="0.2">
      <c r="K1705"/>
    </row>
    <row r="1706" spans="11:11" ht="15.75" customHeight="1" x14ac:dyDescent="0.2">
      <c r="K1706"/>
    </row>
    <row r="1707" spans="11:11" ht="15.75" customHeight="1" x14ac:dyDescent="0.2">
      <c r="K1707"/>
    </row>
    <row r="1708" spans="11:11" ht="15.75" customHeight="1" x14ac:dyDescent="0.2">
      <c r="K1708"/>
    </row>
    <row r="1709" spans="11:11" ht="15.75" customHeight="1" x14ac:dyDescent="0.2">
      <c r="K1709"/>
    </row>
    <row r="1710" spans="11:11" ht="15.75" customHeight="1" x14ac:dyDescent="0.2">
      <c r="K1710"/>
    </row>
    <row r="1711" spans="11:11" ht="15.75" customHeight="1" x14ac:dyDescent="0.2">
      <c r="K1711"/>
    </row>
    <row r="1712" spans="11:11" ht="15.75" customHeight="1" x14ac:dyDescent="0.2">
      <c r="K1712"/>
    </row>
    <row r="1713" spans="11:11" ht="15.75" customHeight="1" x14ac:dyDescent="0.2">
      <c r="K1713"/>
    </row>
    <row r="1714" spans="11:11" ht="15.75" customHeight="1" x14ac:dyDescent="0.2">
      <c r="K1714"/>
    </row>
    <row r="1715" spans="11:11" ht="15.75" customHeight="1" x14ac:dyDescent="0.2">
      <c r="K1715"/>
    </row>
    <row r="1716" spans="11:11" ht="15.75" customHeight="1" x14ac:dyDescent="0.2">
      <c r="K1716"/>
    </row>
    <row r="1717" spans="11:11" ht="15.75" customHeight="1" x14ac:dyDescent="0.2">
      <c r="K1717"/>
    </row>
    <row r="1718" spans="11:11" ht="15.75" customHeight="1" x14ac:dyDescent="0.2">
      <c r="K1718"/>
    </row>
    <row r="1719" spans="11:11" ht="15.75" customHeight="1" x14ac:dyDescent="0.2">
      <c r="K1719"/>
    </row>
    <row r="1720" spans="11:11" ht="15.75" customHeight="1" x14ac:dyDescent="0.2">
      <c r="K1720"/>
    </row>
    <row r="1721" spans="11:11" ht="15.75" customHeight="1" x14ac:dyDescent="0.2">
      <c r="K1721"/>
    </row>
    <row r="1722" spans="11:11" ht="15.75" customHeight="1" x14ac:dyDescent="0.2">
      <c r="K1722"/>
    </row>
    <row r="1723" spans="11:11" ht="15.75" customHeight="1" x14ac:dyDescent="0.2">
      <c r="K1723"/>
    </row>
    <row r="1724" spans="11:11" ht="15.75" customHeight="1" x14ac:dyDescent="0.2">
      <c r="K1724"/>
    </row>
    <row r="1725" spans="11:11" ht="15.75" customHeight="1" x14ac:dyDescent="0.2">
      <c r="K1725"/>
    </row>
    <row r="1726" spans="11:11" ht="15.75" customHeight="1" x14ac:dyDescent="0.2">
      <c r="K1726"/>
    </row>
    <row r="1727" spans="11:11" ht="15.75" customHeight="1" x14ac:dyDescent="0.2">
      <c r="K1727"/>
    </row>
    <row r="1728" spans="11:11" ht="15.75" customHeight="1" x14ac:dyDescent="0.2">
      <c r="K1728"/>
    </row>
    <row r="1729" spans="11:11" ht="15.75" customHeight="1" x14ac:dyDescent="0.2">
      <c r="K1729"/>
    </row>
    <row r="1730" spans="11:11" ht="15.75" customHeight="1" x14ac:dyDescent="0.2">
      <c r="K1730"/>
    </row>
    <row r="1731" spans="11:11" ht="15.75" customHeight="1" x14ac:dyDescent="0.2">
      <c r="K1731"/>
    </row>
    <row r="1732" spans="11:11" ht="15.75" customHeight="1" x14ac:dyDescent="0.2">
      <c r="K1732"/>
    </row>
    <row r="1733" spans="11:11" ht="15.75" customHeight="1" x14ac:dyDescent="0.2">
      <c r="K1733"/>
    </row>
    <row r="1734" spans="11:11" ht="15.75" customHeight="1" x14ac:dyDescent="0.2">
      <c r="K1734"/>
    </row>
    <row r="1735" spans="11:11" ht="15.75" customHeight="1" x14ac:dyDescent="0.2">
      <c r="K1735"/>
    </row>
    <row r="1736" spans="11:11" ht="15.75" customHeight="1" x14ac:dyDescent="0.2">
      <c r="K1736"/>
    </row>
    <row r="1737" spans="11:11" ht="15.75" customHeight="1" x14ac:dyDescent="0.2">
      <c r="K1737"/>
    </row>
    <row r="1738" spans="11:11" ht="15.75" customHeight="1" x14ac:dyDescent="0.2">
      <c r="K1738"/>
    </row>
    <row r="1739" spans="11:11" ht="15.75" customHeight="1" x14ac:dyDescent="0.2">
      <c r="K1739"/>
    </row>
    <row r="1740" spans="11:11" ht="15.75" customHeight="1" x14ac:dyDescent="0.2">
      <c r="K1740"/>
    </row>
    <row r="1741" spans="11:11" ht="15.75" customHeight="1" x14ac:dyDescent="0.2">
      <c r="K1741"/>
    </row>
    <row r="1742" spans="11:11" ht="15.75" customHeight="1" x14ac:dyDescent="0.2">
      <c r="K1742"/>
    </row>
    <row r="1743" spans="11:11" ht="15.75" customHeight="1" x14ac:dyDescent="0.2">
      <c r="K1743"/>
    </row>
    <row r="1744" spans="11:11" ht="15.75" customHeight="1" x14ac:dyDescent="0.2">
      <c r="K1744"/>
    </row>
    <row r="1745" spans="11:11" ht="15.75" customHeight="1" x14ac:dyDescent="0.2">
      <c r="K1745"/>
    </row>
    <row r="1746" spans="11:11" ht="15.75" customHeight="1" x14ac:dyDescent="0.2">
      <c r="K1746"/>
    </row>
    <row r="1747" spans="11:11" ht="15.75" customHeight="1" x14ac:dyDescent="0.2">
      <c r="K1747"/>
    </row>
    <row r="1748" spans="11:11" ht="15.75" customHeight="1" x14ac:dyDescent="0.2">
      <c r="K1748"/>
    </row>
    <row r="1749" spans="11:11" ht="15.75" customHeight="1" x14ac:dyDescent="0.2">
      <c r="K1749"/>
    </row>
    <row r="1750" spans="11:11" ht="15.75" customHeight="1" x14ac:dyDescent="0.2">
      <c r="K1750"/>
    </row>
    <row r="1751" spans="11:11" ht="15.75" customHeight="1" x14ac:dyDescent="0.2">
      <c r="K1751"/>
    </row>
    <row r="1752" spans="11:11" ht="15.75" customHeight="1" x14ac:dyDescent="0.2">
      <c r="K1752"/>
    </row>
    <row r="1753" spans="11:11" ht="15.75" customHeight="1" x14ac:dyDescent="0.2">
      <c r="K1753"/>
    </row>
    <row r="1754" spans="11:11" ht="15.75" customHeight="1" x14ac:dyDescent="0.2">
      <c r="K1754"/>
    </row>
    <row r="1755" spans="11:11" ht="15.75" customHeight="1" x14ac:dyDescent="0.2">
      <c r="K1755"/>
    </row>
    <row r="1756" spans="11:11" ht="15.75" customHeight="1" x14ac:dyDescent="0.2">
      <c r="K1756"/>
    </row>
    <row r="1757" spans="11:11" ht="15.75" customHeight="1" x14ac:dyDescent="0.2">
      <c r="K1757"/>
    </row>
    <row r="1758" spans="11:11" ht="15.75" customHeight="1" x14ac:dyDescent="0.2">
      <c r="K1758"/>
    </row>
    <row r="1759" spans="11:11" ht="15.75" customHeight="1" x14ac:dyDescent="0.2">
      <c r="K1759"/>
    </row>
    <row r="1760" spans="11:11" ht="15.75" customHeight="1" x14ac:dyDescent="0.2">
      <c r="K1760"/>
    </row>
    <row r="1761" spans="11:11" ht="15.75" customHeight="1" x14ac:dyDescent="0.2">
      <c r="K1761"/>
    </row>
    <row r="1762" spans="11:11" ht="15.75" customHeight="1" x14ac:dyDescent="0.2">
      <c r="K1762"/>
    </row>
    <row r="1763" spans="11:11" ht="15.75" customHeight="1" x14ac:dyDescent="0.2">
      <c r="K1763"/>
    </row>
    <row r="1764" spans="11:11" ht="15.75" customHeight="1" x14ac:dyDescent="0.2">
      <c r="K1764"/>
    </row>
    <row r="1765" spans="11:11" ht="15.75" customHeight="1" x14ac:dyDescent="0.2">
      <c r="K1765"/>
    </row>
    <row r="1766" spans="11:11" ht="15.75" customHeight="1" x14ac:dyDescent="0.2">
      <c r="K1766"/>
    </row>
    <row r="1767" spans="11:11" ht="15.75" customHeight="1" x14ac:dyDescent="0.2">
      <c r="K1767"/>
    </row>
    <row r="1768" spans="11:11" ht="15.75" customHeight="1" x14ac:dyDescent="0.2">
      <c r="K1768"/>
    </row>
    <row r="1769" spans="11:11" ht="15.75" customHeight="1" x14ac:dyDescent="0.2">
      <c r="K1769"/>
    </row>
    <row r="1770" spans="11:11" ht="15.75" customHeight="1" x14ac:dyDescent="0.2">
      <c r="K1770"/>
    </row>
    <row r="1771" spans="11:11" ht="15.75" customHeight="1" x14ac:dyDescent="0.2">
      <c r="K1771"/>
    </row>
    <row r="1772" spans="11:11" ht="15.75" customHeight="1" x14ac:dyDescent="0.2">
      <c r="K1772"/>
    </row>
    <row r="1773" spans="11:11" ht="15.75" customHeight="1" x14ac:dyDescent="0.2">
      <c r="K1773"/>
    </row>
    <row r="1774" spans="11:11" ht="15.75" customHeight="1" x14ac:dyDescent="0.2">
      <c r="K1774"/>
    </row>
    <row r="1775" spans="11:11" ht="15.75" customHeight="1" x14ac:dyDescent="0.2">
      <c r="K1775"/>
    </row>
    <row r="1776" spans="11:11" ht="15.75" customHeight="1" x14ac:dyDescent="0.2">
      <c r="K1776"/>
    </row>
    <row r="1777" spans="11:11" ht="15.75" customHeight="1" x14ac:dyDescent="0.2">
      <c r="K1777"/>
    </row>
    <row r="1778" spans="11:11" ht="15.75" customHeight="1" x14ac:dyDescent="0.2">
      <c r="K1778"/>
    </row>
    <row r="1779" spans="11:11" ht="15.75" customHeight="1" x14ac:dyDescent="0.2">
      <c r="K1779"/>
    </row>
    <row r="1780" spans="11:11" ht="15.75" customHeight="1" x14ac:dyDescent="0.2">
      <c r="K1780"/>
    </row>
    <row r="1781" spans="11:11" ht="15.75" customHeight="1" x14ac:dyDescent="0.2">
      <c r="K1781"/>
    </row>
    <row r="1782" spans="11:11" ht="15.75" customHeight="1" x14ac:dyDescent="0.2">
      <c r="K1782"/>
    </row>
    <row r="1783" spans="11:11" ht="15.75" customHeight="1" x14ac:dyDescent="0.2">
      <c r="K1783"/>
    </row>
    <row r="1784" spans="11:11" ht="15.75" customHeight="1" x14ac:dyDescent="0.2">
      <c r="K1784"/>
    </row>
    <row r="1785" spans="11:11" ht="15.75" customHeight="1" x14ac:dyDescent="0.2">
      <c r="K1785"/>
    </row>
    <row r="1786" spans="11:11" ht="15.75" customHeight="1" x14ac:dyDescent="0.2">
      <c r="K1786"/>
    </row>
    <row r="1787" spans="11:11" ht="15.75" customHeight="1" x14ac:dyDescent="0.2">
      <c r="K1787"/>
    </row>
    <row r="1788" spans="11:11" ht="15.75" customHeight="1" x14ac:dyDescent="0.2">
      <c r="K1788"/>
    </row>
    <row r="1789" spans="11:11" ht="15.75" customHeight="1" x14ac:dyDescent="0.2">
      <c r="K1789"/>
    </row>
    <row r="1790" spans="11:11" ht="15.75" customHeight="1" x14ac:dyDescent="0.2">
      <c r="K1790"/>
    </row>
    <row r="1791" spans="11:11" ht="15.75" customHeight="1" x14ac:dyDescent="0.2">
      <c r="K1791"/>
    </row>
    <row r="1792" spans="11:11" ht="15.75" customHeight="1" x14ac:dyDescent="0.2">
      <c r="K1792"/>
    </row>
    <row r="1793" spans="11:11" ht="15.75" customHeight="1" x14ac:dyDescent="0.2">
      <c r="K1793"/>
    </row>
    <row r="1794" spans="11:11" ht="15.75" customHeight="1" x14ac:dyDescent="0.2">
      <c r="K1794"/>
    </row>
    <row r="1795" spans="11:11" ht="15.75" customHeight="1" x14ac:dyDescent="0.2">
      <c r="K1795"/>
    </row>
    <row r="1796" spans="11:11" ht="15.75" customHeight="1" x14ac:dyDescent="0.2">
      <c r="K1796"/>
    </row>
    <row r="1797" spans="11:11" ht="15.75" customHeight="1" x14ac:dyDescent="0.2">
      <c r="K1797"/>
    </row>
    <row r="1798" spans="11:11" ht="15.75" customHeight="1" x14ac:dyDescent="0.2">
      <c r="K1798"/>
    </row>
    <row r="1799" spans="11:11" ht="15.75" customHeight="1" x14ac:dyDescent="0.2">
      <c r="K1799"/>
    </row>
    <row r="1800" spans="11:11" ht="15.75" customHeight="1" x14ac:dyDescent="0.2">
      <c r="K1800"/>
    </row>
    <row r="1801" spans="11:11" ht="15.75" customHeight="1" x14ac:dyDescent="0.2">
      <c r="K1801"/>
    </row>
    <row r="1802" spans="11:11" ht="15.75" customHeight="1" x14ac:dyDescent="0.2">
      <c r="K1802"/>
    </row>
    <row r="1803" spans="11:11" ht="15.75" customHeight="1" x14ac:dyDescent="0.2">
      <c r="K1803"/>
    </row>
    <row r="1804" spans="11:11" ht="15.75" customHeight="1" x14ac:dyDescent="0.2">
      <c r="K1804"/>
    </row>
    <row r="1805" spans="11:11" ht="15.75" customHeight="1" x14ac:dyDescent="0.2">
      <c r="K1805"/>
    </row>
    <row r="1806" spans="11:11" ht="15.75" customHeight="1" x14ac:dyDescent="0.2">
      <c r="K1806"/>
    </row>
    <row r="1807" spans="11:11" ht="15.75" customHeight="1" x14ac:dyDescent="0.2">
      <c r="K1807"/>
    </row>
    <row r="1808" spans="11:11" ht="15.75" customHeight="1" x14ac:dyDescent="0.2">
      <c r="K1808"/>
    </row>
    <row r="1809" spans="11:11" ht="15.75" customHeight="1" x14ac:dyDescent="0.2">
      <c r="K1809"/>
    </row>
    <row r="1810" spans="11:11" ht="15.75" customHeight="1" x14ac:dyDescent="0.2">
      <c r="K1810"/>
    </row>
    <row r="1811" spans="11:11" ht="15.75" customHeight="1" x14ac:dyDescent="0.2">
      <c r="K1811"/>
    </row>
    <row r="1812" spans="11:11" ht="15.75" customHeight="1" x14ac:dyDescent="0.2">
      <c r="K1812"/>
    </row>
    <row r="1813" spans="11:11" ht="15.75" customHeight="1" x14ac:dyDescent="0.2">
      <c r="K1813"/>
    </row>
    <row r="1814" spans="11:11" ht="15.75" customHeight="1" x14ac:dyDescent="0.2">
      <c r="K1814"/>
    </row>
    <row r="1815" spans="11:11" ht="15.75" customHeight="1" x14ac:dyDescent="0.2">
      <c r="K1815"/>
    </row>
    <row r="1816" spans="11:11" ht="15.75" customHeight="1" x14ac:dyDescent="0.2">
      <c r="K1816"/>
    </row>
    <row r="1817" spans="11:11" ht="15.75" customHeight="1" x14ac:dyDescent="0.2">
      <c r="K1817"/>
    </row>
    <row r="1818" spans="11:11" ht="15.75" customHeight="1" x14ac:dyDescent="0.2">
      <c r="K1818"/>
    </row>
    <row r="1819" spans="11:11" ht="15.75" customHeight="1" x14ac:dyDescent="0.2">
      <c r="K1819"/>
    </row>
    <row r="1820" spans="11:11" ht="15.75" customHeight="1" x14ac:dyDescent="0.2">
      <c r="K1820"/>
    </row>
    <row r="1821" spans="11:11" ht="15.75" customHeight="1" x14ac:dyDescent="0.2">
      <c r="K1821"/>
    </row>
    <row r="1822" spans="11:11" ht="15.75" customHeight="1" x14ac:dyDescent="0.2">
      <c r="K1822"/>
    </row>
    <row r="1823" spans="11:11" ht="15.75" customHeight="1" x14ac:dyDescent="0.2">
      <c r="K1823"/>
    </row>
    <row r="1824" spans="11:11" ht="15.75" customHeight="1" x14ac:dyDescent="0.2">
      <c r="K1824"/>
    </row>
    <row r="1825" spans="11:11" ht="15.75" customHeight="1" x14ac:dyDescent="0.2">
      <c r="K1825"/>
    </row>
    <row r="1826" spans="11:11" ht="15.75" customHeight="1" x14ac:dyDescent="0.2">
      <c r="K1826"/>
    </row>
    <row r="1827" spans="11:11" ht="15.75" customHeight="1" x14ac:dyDescent="0.2">
      <c r="K1827"/>
    </row>
    <row r="1828" spans="11:11" ht="15.75" customHeight="1" x14ac:dyDescent="0.2">
      <c r="K1828"/>
    </row>
    <row r="1829" spans="11:11" ht="15.75" customHeight="1" x14ac:dyDescent="0.2">
      <c r="K1829"/>
    </row>
    <row r="1830" spans="11:11" ht="15.75" customHeight="1" x14ac:dyDescent="0.2">
      <c r="K1830"/>
    </row>
    <row r="1831" spans="11:11" ht="15.75" customHeight="1" x14ac:dyDescent="0.2">
      <c r="K1831"/>
    </row>
    <row r="1832" spans="11:11" ht="15.75" customHeight="1" x14ac:dyDescent="0.2">
      <c r="K1832"/>
    </row>
    <row r="1833" spans="11:11" ht="15.75" customHeight="1" x14ac:dyDescent="0.2">
      <c r="K1833"/>
    </row>
    <row r="1834" spans="11:11" ht="15.75" customHeight="1" x14ac:dyDescent="0.2">
      <c r="K1834"/>
    </row>
    <row r="1835" spans="11:11" ht="15.75" customHeight="1" x14ac:dyDescent="0.2">
      <c r="K1835"/>
    </row>
    <row r="1836" spans="11:11" ht="15.75" customHeight="1" x14ac:dyDescent="0.2">
      <c r="K1836"/>
    </row>
    <row r="1837" spans="11:11" ht="15.75" customHeight="1" x14ac:dyDescent="0.2">
      <c r="K1837"/>
    </row>
    <row r="1838" spans="11:11" ht="15.75" customHeight="1" x14ac:dyDescent="0.2">
      <c r="K1838"/>
    </row>
    <row r="1839" spans="11:11" ht="15.75" customHeight="1" x14ac:dyDescent="0.2">
      <c r="K1839"/>
    </row>
    <row r="1840" spans="11:11" ht="15.75" customHeight="1" x14ac:dyDescent="0.2">
      <c r="K1840"/>
    </row>
    <row r="1841" spans="11:11" ht="15.75" customHeight="1" x14ac:dyDescent="0.2">
      <c r="K1841"/>
    </row>
    <row r="1842" spans="11:11" ht="15.75" customHeight="1" x14ac:dyDescent="0.2">
      <c r="K1842"/>
    </row>
    <row r="1843" spans="11:11" ht="15.75" customHeight="1" x14ac:dyDescent="0.2">
      <c r="K1843"/>
    </row>
    <row r="1844" spans="11:11" ht="15.75" customHeight="1" x14ac:dyDescent="0.2">
      <c r="K1844"/>
    </row>
    <row r="1845" spans="11:11" ht="15.75" customHeight="1" x14ac:dyDescent="0.2">
      <c r="K1845"/>
    </row>
    <row r="1846" spans="11:11" ht="15.75" customHeight="1" x14ac:dyDescent="0.2">
      <c r="K1846"/>
    </row>
    <row r="1847" spans="11:11" ht="15.75" customHeight="1" x14ac:dyDescent="0.2">
      <c r="K1847"/>
    </row>
    <row r="1848" spans="11:11" ht="15.75" customHeight="1" x14ac:dyDescent="0.2">
      <c r="K1848"/>
    </row>
    <row r="1849" spans="11:11" ht="15.75" customHeight="1" x14ac:dyDescent="0.2">
      <c r="K1849"/>
    </row>
    <row r="1850" spans="11:11" ht="15.75" customHeight="1" x14ac:dyDescent="0.2">
      <c r="K1850"/>
    </row>
    <row r="1851" spans="11:11" ht="15.75" customHeight="1" x14ac:dyDescent="0.2">
      <c r="K1851"/>
    </row>
    <row r="1852" spans="11:11" ht="15.75" customHeight="1" x14ac:dyDescent="0.2">
      <c r="K1852"/>
    </row>
    <row r="1853" spans="11:11" ht="15.75" customHeight="1" x14ac:dyDescent="0.2">
      <c r="K1853"/>
    </row>
    <row r="1854" spans="11:11" ht="15.75" customHeight="1" x14ac:dyDescent="0.2">
      <c r="K1854"/>
    </row>
    <row r="1855" spans="11:11" ht="15.75" customHeight="1" x14ac:dyDescent="0.2">
      <c r="K1855"/>
    </row>
    <row r="1856" spans="11:11" ht="15.75" customHeight="1" x14ac:dyDescent="0.2">
      <c r="K1856"/>
    </row>
    <row r="1857" spans="11:11" ht="15.75" customHeight="1" x14ac:dyDescent="0.2">
      <c r="K1857"/>
    </row>
    <row r="1858" spans="11:11" ht="15.75" customHeight="1" x14ac:dyDescent="0.2">
      <c r="K1858"/>
    </row>
    <row r="1859" spans="11:11" ht="15.75" customHeight="1" x14ac:dyDescent="0.2">
      <c r="K1859"/>
    </row>
    <row r="1860" spans="11:11" ht="15.75" customHeight="1" x14ac:dyDescent="0.2">
      <c r="K1860"/>
    </row>
    <row r="1861" spans="11:11" ht="15.75" customHeight="1" x14ac:dyDescent="0.2">
      <c r="K1861"/>
    </row>
    <row r="1862" spans="11:11" ht="15.75" customHeight="1" x14ac:dyDescent="0.2">
      <c r="K1862"/>
    </row>
    <row r="1863" spans="11:11" ht="15.75" customHeight="1" x14ac:dyDescent="0.2">
      <c r="K1863"/>
    </row>
    <row r="1864" spans="11:11" ht="15.75" customHeight="1" x14ac:dyDescent="0.2">
      <c r="K1864"/>
    </row>
    <row r="1865" spans="11:11" ht="15.75" customHeight="1" x14ac:dyDescent="0.2">
      <c r="K1865"/>
    </row>
    <row r="1866" spans="11:11" ht="15.75" customHeight="1" x14ac:dyDescent="0.2">
      <c r="K1866"/>
    </row>
    <row r="1867" spans="11:11" ht="15.75" customHeight="1" x14ac:dyDescent="0.2">
      <c r="K1867"/>
    </row>
    <row r="1868" spans="11:11" ht="15.75" customHeight="1" x14ac:dyDescent="0.2">
      <c r="K1868"/>
    </row>
    <row r="1869" spans="11:11" ht="15.75" customHeight="1" x14ac:dyDescent="0.2">
      <c r="K1869"/>
    </row>
    <row r="1870" spans="11:11" ht="15.75" customHeight="1" x14ac:dyDescent="0.2">
      <c r="K1870"/>
    </row>
    <row r="1871" spans="11:11" ht="15.75" customHeight="1" x14ac:dyDescent="0.2">
      <c r="K1871"/>
    </row>
    <row r="1872" spans="11:11" ht="15.75" customHeight="1" x14ac:dyDescent="0.2">
      <c r="K1872"/>
    </row>
    <row r="1873" spans="11:11" ht="15.75" customHeight="1" x14ac:dyDescent="0.2">
      <c r="K1873"/>
    </row>
    <row r="1874" spans="11:11" ht="15.75" customHeight="1" x14ac:dyDescent="0.2">
      <c r="K1874"/>
    </row>
    <row r="1875" spans="11:11" ht="15.75" customHeight="1" x14ac:dyDescent="0.2">
      <c r="K1875"/>
    </row>
    <row r="1876" spans="11:11" ht="15.75" customHeight="1" x14ac:dyDescent="0.2">
      <c r="K1876"/>
    </row>
    <row r="1877" spans="11:11" ht="15.75" customHeight="1" x14ac:dyDescent="0.2">
      <c r="K1877"/>
    </row>
    <row r="1878" spans="11:11" ht="15.75" customHeight="1" x14ac:dyDescent="0.2">
      <c r="K1878"/>
    </row>
    <row r="1879" spans="11:11" ht="15.75" customHeight="1" x14ac:dyDescent="0.2">
      <c r="K1879"/>
    </row>
    <row r="1880" spans="11:11" ht="15.75" customHeight="1" x14ac:dyDescent="0.2">
      <c r="K1880"/>
    </row>
    <row r="1881" spans="11:11" ht="15.75" customHeight="1" x14ac:dyDescent="0.2">
      <c r="K1881"/>
    </row>
    <row r="1882" spans="11:11" ht="15.75" customHeight="1" x14ac:dyDescent="0.2">
      <c r="K1882"/>
    </row>
    <row r="1883" spans="11:11" ht="15.75" customHeight="1" x14ac:dyDescent="0.2">
      <c r="K1883"/>
    </row>
    <row r="1884" spans="11:11" ht="15.75" customHeight="1" x14ac:dyDescent="0.2">
      <c r="K1884"/>
    </row>
    <row r="1885" spans="11:11" ht="15.75" customHeight="1" x14ac:dyDescent="0.2">
      <c r="K1885"/>
    </row>
    <row r="1886" spans="11:11" ht="15.75" customHeight="1" x14ac:dyDescent="0.2">
      <c r="K1886"/>
    </row>
    <row r="1887" spans="11:11" ht="15.75" customHeight="1" x14ac:dyDescent="0.2">
      <c r="K1887"/>
    </row>
    <row r="1888" spans="11:11" ht="15.75" customHeight="1" x14ac:dyDescent="0.2">
      <c r="K1888"/>
    </row>
    <row r="1889" spans="11:11" ht="15.75" customHeight="1" x14ac:dyDescent="0.2">
      <c r="K1889"/>
    </row>
    <row r="1890" spans="11:11" ht="15.75" customHeight="1" x14ac:dyDescent="0.2">
      <c r="K1890"/>
    </row>
    <row r="1891" spans="11:11" ht="15.75" customHeight="1" x14ac:dyDescent="0.2">
      <c r="K1891"/>
    </row>
    <row r="1892" spans="11:11" ht="15.75" customHeight="1" x14ac:dyDescent="0.2">
      <c r="K1892"/>
    </row>
    <row r="1893" spans="11:11" ht="15.75" customHeight="1" x14ac:dyDescent="0.2">
      <c r="K1893"/>
    </row>
    <row r="1894" spans="11:11" ht="15.75" customHeight="1" x14ac:dyDescent="0.2">
      <c r="K1894"/>
    </row>
    <row r="1895" spans="11:11" ht="15.75" customHeight="1" x14ac:dyDescent="0.2">
      <c r="K1895"/>
    </row>
    <row r="1896" spans="11:11" ht="15.75" customHeight="1" x14ac:dyDescent="0.2">
      <c r="K1896"/>
    </row>
    <row r="1897" spans="11:11" ht="15.75" customHeight="1" x14ac:dyDescent="0.2">
      <c r="K1897"/>
    </row>
    <row r="1898" spans="11:11" ht="15.75" customHeight="1" x14ac:dyDescent="0.2">
      <c r="K1898"/>
    </row>
    <row r="1899" spans="11:11" ht="15.75" customHeight="1" x14ac:dyDescent="0.2">
      <c r="K1899"/>
    </row>
    <row r="1900" spans="11:11" ht="15.75" customHeight="1" x14ac:dyDescent="0.2">
      <c r="K1900"/>
    </row>
    <row r="1901" spans="11:11" ht="15.75" customHeight="1" x14ac:dyDescent="0.2">
      <c r="K1901"/>
    </row>
    <row r="1902" spans="11:11" ht="15.75" customHeight="1" x14ac:dyDescent="0.2">
      <c r="K1902"/>
    </row>
    <row r="1903" spans="11:11" ht="15.75" customHeight="1" x14ac:dyDescent="0.2">
      <c r="K1903"/>
    </row>
    <row r="1904" spans="11:11" ht="15.75" customHeight="1" x14ac:dyDescent="0.2">
      <c r="K1904"/>
    </row>
    <row r="1905" spans="11:11" ht="15.75" customHeight="1" x14ac:dyDescent="0.2">
      <c r="K1905"/>
    </row>
    <row r="1906" spans="11:11" ht="15.75" customHeight="1" x14ac:dyDescent="0.2">
      <c r="K1906"/>
    </row>
    <row r="1907" spans="11:11" ht="15.75" customHeight="1" x14ac:dyDescent="0.2">
      <c r="K1907"/>
    </row>
    <row r="1908" spans="11:11" ht="15.75" customHeight="1" x14ac:dyDescent="0.2">
      <c r="K1908"/>
    </row>
    <row r="1909" spans="11:11" ht="15.75" customHeight="1" x14ac:dyDescent="0.2">
      <c r="K1909"/>
    </row>
    <row r="1910" spans="11:11" ht="15.75" customHeight="1" x14ac:dyDescent="0.2">
      <c r="K1910"/>
    </row>
    <row r="1911" spans="11:11" ht="15.75" customHeight="1" x14ac:dyDescent="0.2">
      <c r="K1911"/>
    </row>
    <row r="1912" spans="11:11" ht="15.75" customHeight="1" x14ac:dyDescent="0.2">
      <c r="K1912"/>
    </row>
    <row r="1913" spans="11:11" ht="15.75" customHeight="1" x14ac:dyDescent="0.2">
      <c r="K1913"/>
    </row>
    <row r="1914" spans="11:11" ht="15.75" customHeight="1" x14ac:dyDescent="0.2">
      <c r="K1914"/>
    </row>
    <row r="1915" spans="11:11" ht="15.75" customHeight="1" x14ac:dyDescent="0.2">
      <c r="K1915"/>
    </row>
    <row r="1916" spans="11:11" ht="15.75" customHeight="1" x14ac:dyDescent="0.2">
      <c r="K1916"/>
    </row>
    <row r="1917" spans="11:11" ht="15.75" customHeight="1" x14ac:dyDescent="0.2">
      <c r="K1917"/>
    </row>
    <row r="1918" spans="11:11" ht="15.75" customHeight="1" x14ac:dyDescent="0.2">
      <c r="K1918"/>
    </row>
    <row r="1919" spans="11:11" ht="15.75" customHeight="1" x14ac:dyDescent="0.2">
      <c r="K1919"/>
    </row>
    <row r="1920" spans="11:11" ht="15.75" customHeight="1" x14ac:dyDescent="0.2">
      <c r="K1920"/>
    </row>
    <row r="1921" spans="11:11" ht="15.75" customHeight="1" x14ac:dyDescent="0.2">
      <c r="K1921"/>
    </row>
    <row r="1922" spans="11:11" ht="15.75" customHeight="1" x14ac:dyDescent="0.2">
      <c r="K1922"/>
    </row>
    <row r="1923" spans="11:11" ht="15.75" customHeight="1" x14ac:dyDescent="0.2">
      <c r="K1923"/>
    </row>
    <row r="1924" spans="11:11" ht="15.75" customHeight="1" x14ac:dyDescent="0.2">
      <c r="K1924"/>
    </row>
    <row r="1925" spans="11:11" ht="15.75" customHeight="1" x14ac:dyDescent="0.2">
      <c r="K1925"/>
    </row>
    <row r="1926" spans="11:11" ht="15.75" customHeight="1" x14ac:dyDescent="0.2">
      <c r="K1926"/>
    </row>
    <row r="1927" spans="11:11" ht="15.75" customHeight="1" x14ac:dyDescent="0.2">
      <c r="K1927"/>
    </row>
    <row r="1928" spans="11:11" ht="15.75" customHeight="1" x14ac:dyDescent="0.2">
      <c r="K1928"/>
    </row>
    <row r="1929" spans="11:11" ht="15.75" customHeight="1" x14ac:dyDescent="0.2">
      <c r="K1929"/>
    </row>
    <row r="1930" spans="11:11" ht="15.75" customHeight="1" x14ac:dyDescent="0.2">
      <c r="K1930"/>
    </row>
    <row r="1931" spans="11:11" ht="15.75" customHeight="1" x14ac:dyDescent="0.2">
      <c r="K1931"/>
    </row>
    <row r="1932" spans="11:11" ht="15.75" customHeight="1" x14ac:dyDescent="0.2">
      <c r="K1932"/>
    </row>
    <row r="1933" spans="11:11" ht="15.75" customHeight="1" x14ac:dyDescent="0.2">
      <c r="K1933"/>
    </row>
    <row r="1934" spans="11:11" ht="15.75" customHeight="1" x14ac:dyDescent="0.2">
      <c r="K1934"/>
    </row>
    <row r="1935" spans="11:11" ht="15.75" customHeight="1" x14ac:dyDescent="0.2">
      <c r="K1935"/>
    </row>
    <row r="1936" spans="11:11" ht="15.75" customHeight="1" x14ac:dyDescent="0.2">
      <c r="K1936"/>
    </row>
    <row r="1937" spans="11:11" ht="15.75" customHeight="1" x14ac:dyDescent="0.2">
      <c r="K1937"/>
    </row>
    <row r="1938" spans="11:11" ht="15.75" customHeight="1" x14ac:dyDescent="0.2">
      <c r="K1938"/>
    </row>
    <row r="1939" spans="11:11" ht="15.75" customHeight="1" x14ac:dyDescent="0.2">
      <c r="K1939"/>
    </row>
    <row r="1940" spans="11:11" ht="15.75" customHeight="1" x14ac:dyDescent="0.2">
      <c r="K1940"/>
    </row>
    <row r="1941" spans="11:11" ht="15.75" customHeight="1" x14ac:dyDescent="0.2">
      <c r="K1941"/>
    </row>
    <row r="1942" spans="11:11" ht="15.75" customHeight="1" x14ac:dyDescent="0.2">
      <c r="K1942"/>
    </row>
    <row r="1943" spans="11:11" ht="15.75" customHeight="1" x14ac:dyDescent="0.2">
      <c r="K1943"/>
    </row>
    <row r="1944" spans="11:11" ht="15.75" customHeight="1" x14ac:dyDescent="0.2">
      <c r="K1944"/>
    </row>
    <row r="1945" spans="11:11" ht="15.75" customHeight="1" x14ac:dyDescent="0.2">
      <c r="K1945"/>
    </row>
    <row r="1946" spans="11:11" ht="15.75" customHeight="1" x14ac:dyDescent="0.2">
      <c r="K1946"/>
    </row>
    <row r="1947" spans="11:11" ht="15.75" customHeight="1" x14ac:dyDescent="0.2">
      <c r="K1947"/>
    </row>
    <row r="1948" spans="11:11" ht="15.75" customHeight="1" x14ac:dyDescent="0.2">
      <c r="K1948"/>
    </row>
    <row r="1949" spans="11:11" ht="15.75" customHeight="1" x14ac:dyDescent="0.2">
      <c r="K1949"/>
    </row>
    <row r="1950" spans="11:11" ht="15.75" customHeight="1" x14ac:dyDescent="0.2">
      <c r="K1950"/>
    </row>
    <row r="1951" spans="11:11" ht="15.75" customHeight="1" x14ac:dyDescent="0.2">
      <c r="K1951"/>
    </row>
    <row r="1952" spans="11:11" ht="15.75" customHeight="1" x14ac:dyDescent="0.2">
      <c r="K1952"/>
    </row>
    <row r="1953" spans="11:11" ht="15.75" customHeight="1" x14ac:dyDescent="0.2">
      <c r="K1953"/>
    </row>
    <row r="1954" spans="11:11" ht="15.75" customHeight="1" x14ac:dyDescent="0.2">
      <c r="K1954"/>
    </row>
    <row r="1955" spans="11:11" ht="15.75" customHeight="1" x14ac:dyDescent="0.2">
      <c r="K1955"/>
    </row>
    <row r="1956" spans="11:11" ht="15.75" customHeight="1" x14ac:dyDescent="0.2">
      <c r="K1956"/>
    </row>
    <row r="1957" spans="11:11" ht="15.75" customHeight="1" x14ac:dyDescent="0.2">
      <c r="K1957"/>
    </row>
    <row r="1958" spans="11:11" ht="15.75" customHeight="1" x14ac:dyDescent="0.2">
      <c r="K1958"/>
    </row>
    <row r="1959" spans="11:11" ht="15.75" customHeight="1" x14ac:dyDescent="0.2">
      <c r="K1959"/>
    </row>
    <row r="1960" spans="11:11" ht="15.75" customHeight="1" x14ac:dyDescent="0.2">
      <c r="K1960"/>
    </row>
    <row r="1961" spans="11:11" ht="15.75" customHeight="1" x14ac:dyDescent="0.2">
      <c r="K1961"/>
    </row>
    <row r="1962" spans="11:11" ht="15.75" customHeight="1" x14ac:dyDescent="0.2">
      <c r="K1962"/>
    </row>
    <row r="1963" spans="11:11" ht="15.75" customHeight="1" x14ac:dyDescent="0.2">
      <c r="K1963"/>
    </row>
    <row r="1964" spans="11:11" ht="15.75" customHeight="1" x14ac:dyDescent="0.2">
      <c r="K1964"/>
    </row>
    <row r="1965" spans="11:11" ht="15.75" customHeight="1" x14ac:dyDescent="0.2">
      <c r="K1965"/>
    </row>
    <row r="1966" spans="11:11" ht="15.75" customHeight="1" x14ac:dyDescent="0.2">
      <c r="K1966"/>
    </row>
    <row r="1967" spans="11:11" ht="15.75" customHeight="1" x14ac:dyDescent="0.2">
      <c r="K1967"/>
    </row>
    <row r="1968" spans="11:11" ht="15.75" customHeight="1" x14ac:dyDescent="0.2">
      <c r="K1968"/>
    </row>
    <row r="1969" spans="11:11" ht="15.75" customHeight="1" x14ac:dyDescent="0.2">
      <c r="K1969"/>
    </row>
    <row r="1970" spans="11:11" ht="15.75" customHeight="1" x14ac:dyDescent="0.2">
      <c r="K1970"/>
    </row>
    <row r="1971" spans="11:11" ht="15.75" customHeight="1" x14ac:dyDescent="0.2">
      <c r="K1971"/>
    </row>
    <row r="1972" spans="11:11" ht="15.75" customHeight="1" x14ac:dyDescent="0.2">
      <c r="K1972"/>
    </row>
    <row r="1973" spans="11:11" ht="15.75" customHeight="1" x14ac:dyDescent="0.2">
      <c r="K1973"/>
    </row>
    <row r="1974" spans="11:11" ht="15.75" customHeight="1" x14ac:dyDescent="0.2">
      <c r="K1974"/>
    </row>
    <row r="1975" spans="11:11" ht="15.75" customHeight="1" x14ac:dyDescent="0.2">
      <c r="K1975"/>
    </row>
    <row r="1976" spans="11:11" ht="15.75" customHeight="1" x14ac:dyDescent="0.2">
      <c r="K1976"/>
    </row>
    <row r="1977" spans="11:11" ht="15.75" customHeight="1" x14ac:dyDescent="0.2">
      <c r="K1977"/>
    </row>
    <row r="1978" spans="11:11" ht="15.75" customHeight="1" x14ac:dyDescent="0.2">
      <c r="K1978"/>
    </row>
    <row r="1979" spans="11:11" ht="15.75" customHeight="1" x14ac:dyDescent="0.2">
      <c r="K1979"/>
    </row>
    <row r="1980" spans="11:11" ht="15.75" customHeight="1" x14ac:dyDescent="0.2">
      <c r="K1980"/>
    </row>
    <row r="1981" spans="11:11" ht="15.75" customHeight="1" x14ac:dyDescent="0.2">
      <c r="K1981"/>
    </row>
    <row r="1982" spans="11:11" ht="15.75" customHeight="1" x14ac:dyDescent="0.2">
      <c r="K1982"/>
    </row>
    <row r="1983" spans="11:11" ht="15.75" customHeight="1" x14ac:dyDescent="0.2">
      <c r="K1983"/>
    </row>
    <row r="1984" spans="11:11" ht="15.75" customHeight="1" x14ac:dyDescent="0.2">
      <c r="K1984"/>
    </row>
    <row r="1985" spans="11:11" ht="15.75" customHeight="1" x14ac:dyDescent="0.2">
      <c r="K1985"/>
    </row>
    <row r="1986" spans="11:11" ht="15.75" customHeight="1" x14ac:dyDescent="0.2">
      <c r="K1986"/>
    </row>
    <row r="1987" spans="11:11" ht="15.75" customHeight="1" x14ac:dyDescent="0.2">
      <c r="K1987"/>
    </row>
    <row r="1988" spans="11:11" ht="15.75" customHeight="1" x14ac:dyDescent="0.2">
      <c r="K1988"/>
    </row>
    <row r="1989" spans="11:11" ht="15.75" customHeight="1" x14ac:dyDescent="0.2">
      <c r="K1989"/>
    </row>
    <row r="1990" spans="11:11" ht="15.75" customHeight="1" x14ac:dyDescent="0.2">
      <c r="K1990"/>
    </row>
    <row r="1991" spans="11:11" ht="15.75" customHeight="1" x14ac:dyDescent="0.2">
      <c r="K1991"/>
    </row>
    <row r="1992" spans="11:11" ht="15.75" customHeight="1" x14ac:dyDescent="0.2">
      <c r="K1992"/>
    </row>
    <row r="1993" spans="11:11" ht="15.75" customHeight="1" x14ac:dyDescent="0.2">
      <c r="K1993"/>
    </row>
    <row r="1994" spans="11:11" ht="15.75" customHeight="1" x14ac:dyDescent="0.2">
      <c r="K1994"/>
    </row>
    <row r="1995" spans="11:11" ht="15.75" customHeight="1" x14ac:dyDescent="0.2">
      <c r="K1995"/>
    </row>
    <row r="1996" spans="11:11" ht="15.75" customHeight="1" x14ac:dyDescent="0.2">
      <c r="K1996"/>
    </row>
    <row r="1997" spans="11:11" ht="15.75" customHeight="1" x14ac:dyDescent="0.2">
      <c r="K1997"/>
    </row>
    <row r="1998" spans="11:11" ht="15.75" customHeight="1" x14ac:dyDescent="0.2">
      <c r="K1998"/>
    </row>
    <row r="1999" spans="11:11" ht="15.75" customHeight="1" x14ac:dyDescent="0.2">
      <c r="K1999"/>
    </row>
    <row r="2000" spans="11:11" ht="15.75" customHeight="1" x14ac:dyDescent="0.2">
      <c r="K2000"/>
    </row>
    <row r="2001" spans="11:11" ht="15.75" customHeight="1" x14ac:dyDescent="0.2">
      <c r="K2001"/>
    </row>
    <row r="2002" spans="11:11" ht="15.75" customHeight="1" x14ac:dyDescent="0.2">
      <c r="K2002"/>
    </row>
    <row r="2003" spans="11:11" ht="15.75" customHeight="1" x14ac:dyDescent="0.2">
      <c r="K2003"/>
    </row>
    <row r="2004" spans="11:11" ht="15.75" customHeight="1" x14ac:dyDescent="0.2">
      <c r="K2004"/>
    </row>
    <row r="2005" spans="11:11" ht="15.75" customHeight="1" x14ac:dyDescent="0.2">
      <c r="K2005"/>
    </row>
    <row r="2006" spans="11:11" ht="15.75" customHeight="1" x14ac:dyDescent="0.2">
      <c r="K2006"/>
    </row>
    <row r="2007" spans="11:11" ht="15.75" customHeight="1" x14ac:dyDescent="0.2">
      <c r="K2007"/>
    </row>
    <row r="2008" spans="11:11" ht="15.75" customHeight="1" x14ac:dyDescent="0.2">
      <c r="K2008"/>
    </row>
    <row r="2009" spans="11:11" ht="15.75" customHeight="1" x14ac:dyDescent="0.2">
      <c r="K2009"/>
    </row>
    <row r="2010" spans="11:11" ht="15.75" customHeight="1" x14ac:dyDescent="0.2">
      <c r="K2010"/>
    </row>
    <row r="2011" spans="11:11" ht="15.75" customHeight="1" x14ac:dyDescent="0.2">
      <c r="K2011"/>
    </row>
    <row r="2012" spans="11:11" ht="15.75" customHeight="1" x14ac:dyDescent="0.2">
      <c r="K2012"/>
    </row>
    <row r="2013" spans="11:11" ht="15.75" customHeight="1" x14ac:dyDescent="0.2">
      <c r="K2013"/>
    </row>
    <row r="2014" spans="11:11" ht="15.75" customHeight="1" x14ac:dyDescent="0.2">
      <c r="K2014"/>
    </row>
    <row r="2015" spans="11:11" ht="15.75" customHeight="1" x14ac:dyDescent="0.2">
      <c r="K2015"/>
    </row>
    <row r="2016" spans="11:11" ht="15.75" customHeight="1" x14ac:dyDescent="0.2">
      <c r="K2016"/>
    </row>
    <row r="2017" spans="11:11" ht="15.75" customHeight="1" x14ac:dyDescent="0.2">
      <c r="K2017"/>
    </row>
    <row r="2018" spans="11:11" ht="15.75" customHeight="1" x14ac:dyDescent="0.2">
      <c r="K2018"/>
    </row>
    <row r="2019" spans="11:11" ht="15.75" customHeight="1" x14ac:dyDescent="0.2">
      <c r="K2019"/>
    </row>
    <row r="2020" spans="11:11" ht="15.75" customHeight="1" x14ac:dyDescent="0.2">
      <c r="K2020"/>
    </row>
    <row r="2021" spans="11:11" ht="15.75" customHeight="1" x14ac:dyDescent="0.2">
      <c r="K2021"/>
    </row>
    <row r="2022" spans="11:11" ht="15.75" customHeight="1" x14ac:dyDescent="0.2">
      <c r="K2022"/>
    </row>
    <row r="2023" spans="11:11" ht="15.75" customHeight="1" x14ac:dyDescent="0.2">
      <c r="K2023"/>
    </row>
    <row r="2024" spans="11:11" ht="15.75" customHeight="1" x14ac:dyDescent="0.2">
      <c r="K2024"/>
    </row>
    <row r="2025" spans="11:11" ht="15.75" customHeight="1" x14ac:dyDescent="0.2">
      <c r="K2025"/>
    </row>
    <row r="2026" spans="11:11" ht="15.75" customHeight="1" x14ac:dyDescent="0.2">
      <c r="K2026"/>
    </row>
    <row r="2027" spans="11:11" ht="15.75" customHeight="1" x14ac:dyDescent="0.2">
      <c r="K2027"/>
    </row>
    <row r="2028" spans="11:11" ht="15.75" customHeight="1" x14ac:dyDescent="0.2">
      <c r="K2028"/>
    </row>
    <row r="2029" spans="11:11" ht="15.75" customHeight="1" x14ac:dyDescent="0.2">
      <c r="K2029"/>
    </row>
    <row r="2030" spans="11:11" ht="15.75" customHeight="1" x14ac:dyDescent="0.2">
      <c r="K2030"/>
    </row>
    <row r="2031" spans="11:11" ht="15.75" customHeight="1" x14ac:dyDescent="0.2">
      <c r="K2031"/>
    </row>
    <row r="2032" spans="11:11" ht="15.75" customHeight="1" x14ac:dyDescent="0.2">
      <c r="K2032"/>
    </row>
    <row r="2033" spans="11:11" ht="15.75" customHeight="1" x14ac:dyDescent="0.2">
      <c r="K2033"/>
    </row>
    <row r="2034" spans="11:11" ht="15.75" customHeight="1" x14ac:dyDescent="0.2">
      <c r="K2034"/>
    </row>
    <row r="2035" spans="11:11" ht="15.75" customHeight="1" x14ac:dyDescent="0.2">
      <c r="K2035"/>
    </row>
    <row r="2036" spans="11:11" ht="15.75" customHeight="1" x14ac:dyDescent="0.2">
      <c r="K2036"/>
    </row>
    <row r="2037" spans="11:11" ht="15.75" customHeight="1" x14ac:dyDescent="0.2">
      <c r="K2037"/>
    </row>
    <row r="2038" spans="11:11" ht="15.75" customHeight="1" x14ac:dyDescent="0.2">
      <c r="K2038"/>
    </row>
    <row r="2039" spans="11:11" ht="15.75" customHeight="1" x14ac:dyDescent="0.2">
      <c r="K2039"/>
    </row>
    <row r="2040" spans="11:11" ht="15.75" customHeight="1" x14ac:dyDescent="0.2">
      <c r="K2040"/>
    </row>
    <row r="2041" spans="11:11" ht="15.75" customHeight="1" x14ac:dyDescent="0.2">
      <c r="K2041"/>
    </row>
    <row r="2042" spans="11:11" ht="15.75" customHeight="1" x14ac:dyDescent="0.2">
      <c r="K2042"/>
    </row>
    <row r="2043" spans="11:11" ht="15.75" customHeight="1" x14ac:dyDescent="0.2">
      <c r="K2043"/>
    </row>
    <row r="2044" spans="11:11" ht="15.75" customHeight="1" x14ac:dyDescent="0.2">
      <c r="K2044"/>
    </row>
    <row r="2045" spans="11:11" ht="15.75" customHeight="1" x14ac:dyDescent="0.2">
      <c r="K2045"/>
    </row>
    <row r="2046" spans="11:11" ht="15.75" customHeight="1" x14ac:dyDescent="0.2">
      <c r="K2046"/>
    </row>
    <row r="2047" spans="11:11" ht="15.75" customHeight="1" x14ac:dyDescent="0.2">
      <c r="K2047"/>
    </row>
    <row r="2048" spans="11:11" ht="15.75" customHeight="1" x14ac:dyDescent="0.2">
      <c r="K2048"/>
    </row>
    <row r="2049" spans="11:11" ht="15.75" customHeight="1" x14ac:dyDescent="0.2">
      <c r="K2049"/>
    </row>
    <row r="2050" spans="11:11" ht="15.75" customHeight="1" x14ac:dyDescent="0.2">
      <c r="K2050"/>
    </row>
    <row r="2051" spans="11:11" ht="15.75" customHeight="1" x14ac:dyDescent="0.2">
      <c r="K2051"/>
    </row>
    <row r="2052" spans="11:11" ht="15.75" customHeight="1" x14ac:dyDescent="0.2">
      <c r="K2052"/>
    </row>
    <row r="2053" spans="11:11" ht="15.75" customHeight="1" x14ac:dyDescent="0.2">
      <c r="K2053"/>
    </row>
    <row r="2054" spans="11:11" ht="15.75" customHeight="1" x14ac:dyDescent="0.2">
      <c r="K2054"/>
    </row>
    <row r="2055" spans="11:11" ht="15.75" customHeight="1" x14ac:dyDescent="0.2">
      <c r="K2055"/>
    </row>
    <row r="2056" spans="11:11" ht="15.75" customHeight="1" x14ac:dyDescent="0.2">
      <c r="K2056"/>
    </row>
    <row r="2057" spans="11:11" ht="15.75" customHeight="1" x14ac:dyDescent="0.2">
      <c r="K2057"/>
    </row>
    <row r="2058" spans="11:11" ht="15.75" customHeight="1" x14ac:dyDescent="0.2">
      <c r="K2058"/>
    </row>
    <row r="2059" spans="11:11" ht="15.75" customHeight="1" x14ac:dyDescent="0.2">
      <c r="K2059"/>
    </row>
    <row r="2060" spans="11:11" ht="15.75" customHeight="1" x14ac:dyDescent="0.2">
      <c r="K2060"/>
    </row>
    <row r="2061" spans="11:11" ht="15.75" customHeight="1" x14ac:dyDescent="0.2">
      <c r="K2061"/>
    </row>
    <row r="2062" spans="11:11" ht="15.75" customHeight="1" x14ac:dyDescent="0.2">
      <c r="K2062"/>
    </row>
    <row r="2063" spans="11:11" ht="15.75" customHeight="1" x14ac:dyDescent="0.2">
      <c r="K2063"/>
    </row>
    <row r="2064" spans="11:11" ht="15.75" customHeight="1" x14ac:dyDescent="0.2">
      <c r="K2064"/>
    </row>
    <row r="2065" spans="11:11" ht="15.75" customHeight="1" x14ac:dyDescent="0.2">
      <c r="K2065"/>
    </row>
    <row r="2066" spans="11:11" ht="15.75" customHeight="1" x14ac:dyDescent="0.2">
      <c r="K2066"/>
    </row>
    <row r="2067" spans="11:11" ht="15.75" customHeight="1" x14ac:dyDescent="0.2">
      <c r="K2067"/>
    </row>
    <row r="2068" spans="11:11" ht="15.75" customHeight="1" x14ac:dyDescent="0.2">
      <c r="K2068"/>
    </row>
    <row r="2069" spans="11:11" ht="15.75" customHeight="1" x14ac:dyDescent="0.2">
      <c r="K2069"/>
    </row>
    <row r="2070" spans="11:11" ht="15.75" customHeight="1" x14ac:dyDescent="0.2">
      <c r="K2070"/>
    </row>
    <row r="2071" spans="11:11" ht="15.75" customHeight="1" x14ac:dyDescent="0.2">
      <c r="K2071"/>
    </row>
    <row r="2072" spans="11:11" ht="15.75" customHeight="1" x14ac:dyDescent="0.2">
      <c r="K2072"/>
    </row>
    <row r="2073" spans="11:11" ht="15.75" customHeight="1" x14ac:dyDescent="0.2">
      <c r="K2073"/>
    </row>
    <row r="2074" spans="11:11" ht="15.75" customHeight="1" x14ac:dyDescent="0.2">
      <c r="K2074"/>
    </row>
    <row r="2075" spans="11:11" ht="15.75" customHeight="1" x14ac:dyDescent="0.2">
      <c r="K2075"/>
    </row>
    <row r="2076" spans="11:11" ht="15.75" customHeight="1" x14ac:dyDescent="0.2">
      <c r="K2076"/>
    </row>
    <row r="2077" spans="11:11" ht="15.75" customHeight="1" x14ac:dyDescent="0.2">
      <c r="K2077"/>
    </row>
    <row r="2078" spans="11:11" ht="15.75" customHeight="1" x14ac:dyDescent="0.2">
      <c r="K2078"/>
    </row>
    <row r="2079" spans="11:11" ht="15.75" customHeight="1" x14ac:dyDescent="0.2">
      <c r="K2079"/>
    </row>
    <row r="2080" spans="11:11" ht="15.75" customHeight="1" x14ac:dyDescent="0.2">
      <c r="K2080"/>
    </row>
    <row r="2081" spans="11:11" ht="15.75" customHeight="1" x14ac:dyDescent="0.2">
      <c r="K2081"/>
    </row>
    <row r="2082" spans="11:11" ht="15.75" customHeight="1" x14ac:dyDescent="0.2">
      <c r="K2082"/>
    </row>
    <row r="2083" spans="11:11" ht="15.75" customHeight="1" x14ac:dyDescent="0.2">
      <c r="K2083"/>
    </row>
    <row r="2084" spans="11:11" ht="15.75" customHeight="1" x14ac:dyDescent="0.2">
      <c r="K2084"/>
    </row>
    <row r="2085" spans="11:11" ht="15.75" customHeight="1" x14ac:dyDescent="0.2">
      <c r="K2085"/>
    </row>
    <row r="2086" spans="11:11" ht="15.75" customHeight="1" x14ac:dyDescent="0.2">
      <c r="K2086"/>
    </row>
    <row r="2087" spans="11:11" ht="15.75" customHeight="1" x14ac:dyDescent="0.2">
      <c r="K2087"/>
    </row>
    <row r="2088" spans="11:11" ht="15.75" customHeight="1" x14ac:dyDescent="0.2">
      <c r="K2088"/>
    </row>
    <row r="2089" spans="11:11" ht="15.75" customHeight="1" x14ac:dyDescent="0.2">
      <c r="K2089"/>
    </row>
    <row r="2090" spans="11:11" ht="15.75" customHeight="1" x14ac:dyDescent="0.2">
      <c r="K2090"/>
    </row>
    <row r="2091" spans="11:11" ht="15.75" customHeight="1" x14ac:dyDescent="0.2">
      <c r="K2091"/>
    </row>
    <row r="2092" spans="11:11" ht="15.75" customHeight="1" x14ac:dyDescent="0.2">
      <c r="K2092"/>
    </row>
    <row r="2093" spans="11:11" ht="15.75" customHeight="1" x14ac:dyDescent="0.2">
      <c r="K2093"/>
    </row>
    <row r="2094" spans="11:11" ht="15.75" customHeight="1" x14ac:dyDescent="0.2">
      <c r="K2094"/>
    </row>
    <row r="2095" spans="11:11" ht="15.75" customHeight="1" x14ac:dyDescent="0.2">
      <c r="K2095"/>
    </row>
    <row r="2096" spans="11:11" ht="15.75" customHeight="1" x14ac:dyDescent="0.2">
      <c r="K2096"/>
    </row>
    <row r="2097" spans="11:11" ht="15.75" customHeight="1" x14ac:dyDescent="0.2">
      <c r="K2097"/>
    </row>
    <row r="2098" spans="11:11" ht="15.75" customHeight="1" x14ac:dyDescent="0.2">
      <c r="K2098"/>
    </row>
    <row r="2099" spans="11:11" ht="15.75" customHeight="1" x14ac:dyDescent="0.2">
      <c r="K2099"/>
    </row>
    <row r="2100" spans="11:11" ht="15.75" customHeight="1" x14ac:dyDescent="0.2">
      <c r="K2100"/>
    </row>
    <row r="2101" spans="11:11" ht="15.75" customHeight="1" x14ac:dyDescent="0.2">
      <c r="K2101"/>
    </row>
    <row r="2102" spans="11:11" ht="15.75" customHeight="1" x14ac:dyDescent="0.2">
      <c r="K2102"/>
    </row>
    <row r="2103" spans="11:11" ht="15.75" customHeight="1" x14ac:dyDescent="0.2">
      <c r="K2103"/>
    </row>
    <row r="2104" spans="11:11" ht="15.75" customHeight="1" x14ac:dyDescent="0.2">
      <c r="K2104"/>
    </row>
    <row r="2105" spans="11:11" ht="15.75" customHeight="1" x14ac:dyDescent="0.2">
      <c r="K2105"/>
    </row>
    <row r="2106" spans="11:11" ht="15.75" customHeight="1" x14ac:dyDescent="0.2">
      <c r="K2106"/>
    </row>
    <row r="2107" spans="11:11" ht="15.75" customHeight="1" x14ac:dyDescent="0.2">
      <c r="K2107"/>
    </row>
    <row r="2108" spans="11:11" ht="15.75" customHeight="1" x14ac:dyDescent="0.2">
      <c r="K2108"/>
    </row>
    <row r="2109" spans="11:11" ht="15.75" customHeight="1" x14ac:dyDescent="0.2">
      <c r="K2109"/>
    </row>
    <row r="2110" spans="11:11" ht="15.75" customHeight="1" x14ac:dyDescent="0.2">
      <c r="K2110"/>
    </row>
    <row r="2111" spans="11:11" ht="15.75" customHeight="1" x14ac:dyDescent="0.2">
      <c r="K2111"/>
    </row>
    <row r="2112" spans="11:11" ht="15.75" customHeight="1" x14ac:dyDescent="0.2">
      <c r="K2112"/>
    </row>
    <row r="2113" spans="11:11" ht="15.75" customHeight="1" x14ac:dyDescent="0.2">
      <c r="K2113"/>
    </row>
    <row r="2114" spans="11:11" ht="15.75" customHeight="1" x14ac:dyDescent="0.2">
      <c r="K2114"/>
    </row>
    <row r="2115" spans="11:11" ht="15.75" customHeight="1" x14ac:dyDescent="0.2">
      <c r="K2115"/>
    </row>
    <row r="2116" spans="11:11" ht="15.75" customHeight="1" x14ac:dyDescent="0.2">
      <c r="K2116"/>
    </row>
    <row r="2117" spans="11:11" ht="15.75" customHeight="1" x14ac:dyDescent="0.2">
      <c r="K2117"/>
    </row>
    <row r="2118" spans="11:11" ht="15.75" customHeight="1" x14ac:dyDescent="0.2">
      <c r="K2118"/>
    </row>
    <row r="2119" spans="11:11" ht="15.75" customHeight="1" x14ac:dyDescent="0.2">
      <c r="K2119"/>
    </row>
    <row r="2120" spans="11:11" ht="15.75" customHeight="1" x14ac:dyDescent="0.2">
      <c r="K2120"/>
    </row>
    <row r="2121" spans="11:11" ht="15.75" customHeight="1" x14ac:dyDescent="0.2">
      <c r="K2121"/>
    </row>
    <row r="2122" spans="11:11" ht="15.75" customHeight="1" x14ac:dyDescent="0.2">
      <c r="K2122"/>
    </row>
    <row r="2123" spans="11:11" ht="15.75" customHeight="1" x14ac:dyDescent="0.2">
      <c r="K2123"/>
    </row>
    <row r="2124" spans="11:11" ht="15.75" customHeight="1" x14ac:dyDescent="0.2">
      <c r="K2124"/>
    </row>
    <row r="2125" spans="11:11" ht="15.75" customHeight="1" x14ac:dyDescent="0.2">
      <c r="K2125"/>
    </row>
    <row r="2126" spans="11:11" ht="15.75" customHeight="1" x14ac:dyDescent="0.2">
      <c r="K2126"/>
    </row>
    <row r="2127" spans="11:11" ht="15.75" customHeight="1" x14ac:dyDescent="0.2">
      <c r="K2127"/>
    </row>
    <row r="2128" spans="11:11" ht="15.75" customHeight="1" x14ac:dyDescent="0.2">
      <c r="K2128"/>
    </row>
    <row r="2129" spans="11:11" ht="15.75" customHeight="1" x14ac:dyDescent="0.2">
      <c r="K2129"/>
    </row>
    <row r="2130" spans="11:11" ht="15.75" customHeight="1" x14ac:dyDescent="0.2">
      <c r="K2130"/>
    </row>
    <row r="2131" spans="11:11" ht="15.75" customHeight="1" x14ac:dyDescent="0.2">
      <c r="K2131"/>
    </row>
    <row r="2132" spans="11:11" ht="15.75" customHeight="1" x14ac:dyDescent="0.2">
      <c r="K2132"/>
    </row>
    <row r="2133" spans="11:11" ht="15.75" customHeight="1" x14ac:dyDescent="0.2">
      <c r="K2133"/>
    </row>
    <row r="2134" spans="11:11" ht="15.75" customHeight="1" x14ac:dyDescent="0.2">
      <c r="K2134"/>
    </row>
    <row r="2135" spans="11:11" ht="15.75" customHeight="1" x14ac:dyDescent="0.2">
      <c r="K2135"/>
    </row>
    <row r="2136" spans="11:11" ht="15.75" customHeight="1" x14ac:dyDescent="0.2">
      <c r="K2136"/>
    </row>
    <row r="2137" spans="11:11" ht="15.75" customHeight="1" x14ac:dyDescent="0.2">
      <c r="K2137"/>
    </row>
    <row r="2138" spans="11:11" ht="15.75" customHeight="1" x14ac:dyDescent="0.2">
      <c r="K2138"/>
    </row>
    <row r="2139" spans="11:11" ht="15.75" customHeight="1" x14ac:dyDescent="0.2">
      <c r="K2139"/>
    </row>
    <row r="2140" spans="11:11" ht="15.75" customHeight="1" x14ac:dyDescent="0.2">
      <c r="K2140"/>
    </row>
    <row r="2141" spans="11:11" ht="15.75" customHeight="1" x14ac:dyDescent="0.2">
      <c r="K2141"/>
    </row>
    <row r="2142" spans="11:11" ht="15.75" customHeight="1" x14ac:dyDescent="0.2">
      <c r="K2142"/>
    </row>
    <row r="2143" spans="11:11" ht="15.75" customHeight="1" x14ac:dyDescent="0.2">
      <c r="K2143"/>
    </row>
    <row r="2144" spans="11:11" ht="15.75" customHeight="1" x14ac:dyDescent="0.2">
      <c r="K2144"/>
    </row>
    <row r="2145" spans="11:11" ht="15.75" customHeight="1" x14ac:dyDescent="0.2">
      <c r="K2145"/>
    </row>
    <row r="2146" spans="11:11" ht="15.75" customHeight="1" x14ac:dyDescent="0.2">
      <c r="K2146"/>
    </row>
    <row r="2147" spans="11:11" ht="15.75" customHeight="1" x14ac:dyDescent="0.2">
      <c r="K2147"/>
    </row>
    <row r="2148" spans="11:11" ht="15.75" customHeight="1" x14ac:dyDescent="0.2">
      <c r="K2148"/>
    </row>
    <row r="2149" spans="11:11" ht="15.75" customHeight="1" x14ac:dyDescent="0.2">
      <c r="K2149"/>
    </row>
    <row r="2150" spans="11:11" ht="15.75" customHeight="1" x14ac:dyDescent="0.2">
      <c r="K2150"/>
    </row>
    <row r="2151" spans="11:11" ht="15.75" customHeight="1" x14ac:dyDescent="0.2">
      <c r="K2151"/>
    </row>
    <row r="2152" spans="11:11" ht="15.75" customHeight="1" x14ac:dyDescent="0.2">
      <c r="K2152"/>
    </row>
    <row r="2153" spans="11:11" ht="15.75" customHeight="1" x14ac:dyDescent="0.2">
      <c r="K2153"/>
    </row>
    <row r="2154" spans="11:11" ht="15.75" customHeight="1" x14ac:dyDescent="0.2">
      <c r="K2154"/>
    </row>
    <row r="2155" spans="11:11" ht="15.75" customHeight="1" x14ac:dyDescent="0.2">
      <c r="K2155"/>
    </row>
    <row r="2156" spans="11:11" ht="15.75" customHeight="1" x14ac:dyDescent="0.2">
      <c r="K2156"/>
    </row>
    <row r="2157" spans="11:11" ht="15.75" customHeight="1" x14ac:dyDescent="0.2">
      <c r="K2157"/>
    </row>
    <row r="2158" spans="11:11" ht="15.75" customHeight="1" x14ac:dyDescent="0.2">
      <c r="K2158"/>
    </row>
    <row r="2159" spans="11:11" ht="15.75" customHeight="1" x14ac:dyDescent="0.2">
      <c r="K2159"/>
    </row>
    <row r="2160" spans="11:11" ht="15.75" customHeight="1" x14ac:dyDescent="0.2">
      <c r="K2160"/>
    </row>
    <row r="2161" spans="11:11" ht="15.75" customHeight="1" x14ac:dyDescent="0.2">
      <c r="K2161"/>
    </row>
    <row r="2162" spans="11:11" ht="15.75" customHeight="1" x14ac:dyDescent="0.2">
      <c r="K2162"/>
    </row>
    <row r="2163" spans="11:11" ht="15.75" customHeight="1" x14ac:dyDescent="0.2">
      <c r="K2163"/>
    </row>
    <row r="2164" spans="11:11" ht="15.75" customHeight="1" x14ac:dyDescent="0.2">
      <c r="K2164"/>
    </row>
    <row r="2165" spans="11:11" ht="15.75" customHeight="1" x14ac:dyDescent="0.2">
      <c r="K2165"/>
    </row>
    <row r="2166" spans="11:11" ht="15.75" customHeight="1" x14ac:dyDescent="0.2">
      <c r="K2166"/>
    </row>
    <row r="2167" spans="11:11" ht="15.75" customHeight="1" x14ac:dyDescent="0.2">
      <c r="K2167"/>
    </row>
    <row r="2168" spans="11:11" ht="15.75" customHeight="1" x14ac:dyDescent="0.2">
      <c r="K2168"/>
    </row>
    <row r="2169" spans="11:11" ht="15.75" customHeight="1" x14ac:dyDescent="0.2">
      <c r="K2169"/>
    </row>
    <row r="2170" spans="11:11" ht="15.75" customHeight="1" x14ac:dyDescent="0.2">
      <c r="K2170"/>
    </row>
    <row r="2171" spans="11:11" ht="15.75" customHeight="1" x14ac:dyDescent="0.2">
      <c r="K2171"/>
    </row>
    <row r="2172" spans="11:11" ht="15.75" customHeight="1" x14ac:dyDescent="0.2">
      <c r="K2172"/>
    </row>
    <row r="2173" spans="11:11" ht="15.75" customHeight="1" x14ac:dyDescent="0.2">
      <c r="K2173"/>
    </row>
    <row r="2174" spans="11:11" ht="15.75" customHeight="1" x14ac:dyDescent="0.2">
      <c r="K2174"/>
    </row>
    <row r="2175" spans="11:11" ht="15.75" customHeight="1" x14ac:dyDescent="0.2">
      <c r="K2175"/>
    </row>
    <row r="2176" spans="11:11" ht="15.75" customHeight="1" x14ac:dyDescent="0.2">
      <c r="K2176"/>
    </row>
    <row r="2177" spans="11:11" ht="15.75" customHeight="1" x14ac:dyDescent="0.2">
      <c r="K2177"/>
    </row>
    <row r="2178" spans="11:11" ht="15.75" customHeight="1" x14ac:dyDescent="0.2">
      <c r="K2178"/>
    </row>
    <row r="2179" spans="11:11" ht="15.75" customHeight="1" x14ac:dyDescent="0.2">
      <c r="K2179"/>
    </row>
    <row r="2180" spans="11:11" ht="15.75" customHeight="1" x14ac:dyDescent="0.2">
      <c r="K2180"/>
    </row>
    <row r="2181" spans="11:11" ht="15.75" customHeight="1" x14ac:dyDescent="0.2">
      <c r="K2181"/>
    </row>
    <row r="2182" spans="11:11" ht="15.75" customHeight="1" x14ac:dyDescent="0.2">
      <c r="K2182"/>
    </row>
    <row r="2183" spans="11:11" ht="15.75" customHeight="1" x14ac:dyDescent="0.2">
      <c r="K2183"/>
    </row>
    <row r="2184" spans="11:11" ht="15.75" customHeight="1" x14ac:dyDescent="0.2">
      <c r="K2184"/>
    </row>
    <row r="2185" spans="11:11" ht="15.75" customHeight="1" x14ac:dyDescent="0.2">
      <c r="K2185"/>
    </row>
    <row r="2186" spans="11:11" ht="15.75" customHeight="1" x14ac:dyDescent="0.2">
      <c r="K2186"/>
    </row>
    <row r="2187" spans="11:11" ht="15.75" customHeight="1" x14ac:dyDescent="0.2">
      <c r="K2187"/>
    </row>
    <row r="2188" spans="11:11" ht="15.75" customHeight="1" x14ac:dyDescent="0.2">
      <c r="K2188"/>
    </row>
    <row r="2189" spans="11:11" ht="15.75" customHeight="1" x14ac:dyDescent="0.2">
      <c r="K2189"/>
    </row>
    <row r="2190" spans="11:11" ht="15.75" customHeight="1" x14ac:dyDescent="0.2">
      <c r="K2190"/>
    </row>
    <row r="2191" spans="11:11" ht="15.75" customHeight="1" x14ac:dyDescent="0.2">
      <c r="K2191"/>
    </row>
    <row r="2192" spans="11:11" ht="15.75" customHeight="1" x14ac:dyDescent="0.2">
      <c r="K2192"/>
    </row>
    <row r="2193" spans="11:11" ht="15.75" customHeight="1" x14ac:dyDescent="0.2">
      <c r="K2193"/>
    </row>
    <row r="2194" spans="11:11" ht="15.75" customHeight="1" x14ac:dyDescent="0.2">
      <c r="K2194"/>
    </row>
    <row r="2195" spans="11:11" ht="15.75" customHeight="1" x14ac:dyDescent="0.2">
      <c r="K2195"/>
    </row>
    <row r="2196" spans="11:11" ht="15.75" customHeight="1" x14ac:dyDescent="0.2">
      <c r="K2196"/>
    </row>
    <row r="2197" spans="11:11" ht="15.75" customHeight="1" x14ac:dyDescent="0.2">
      <c r="K2197"/>
    </row>
    <row r="2198" spans="11:11" ht="15.75" customHeight="1" x14ac:dyDescent="0.2">
      <c r="K2198"/>
    </row>
    <row r="2199" spans="11:11" ht="15.75" customHeight="1" x14ac:dyDescent="0.2">
      <c r="K2199"/>
    </row>
    <row r="2200" spans="11:11" ht="15.75" customHeight="1" x14ac:dyDescent="0.2">
      <c r="K2200"/>
    </row>
    <row r="2201" spans="11:11" ht="15.75" customHeight="1" x14ac:dyDescent="0.2">
      <c r="K2201"/>
    </row>
    <row r="2202" spans="11:11" ht="15.75" customHeight="1" x14ac:dyDescent="0.2">
      <c r="K2202"/>
    </row>
    <row r="2203" spans="11:11" ht="15.75" customHeight="1" x14ac:dyDescent="0.2">
      <c r="K2203"/>
    </row>
    <row r="2204" spans="11:11" ht="15.75" customHeight="1" x14ac:dyDescent="0.2">
      <c r="K2204"/>
    </row>
    <row r="2205" spans="11:11" ht="15.75" customHeight="1" x14ac:dyDescent="0.2">
      <c r="K2205"/>
    </row>
    <row r="2206" spans="11:11" ht="15.75" customHeight="1" x14ac:dyDescent="0.2">
      <c r="K2206"/>
    </row>
    <row r="2207" spans="11:11" ht="15.75" customHeight="1" x14ac:dyDescent="0.2">
      <c r="K2207"/>
    </row>
    <row r="2208" spans="11:11" ht="15.75" customHeight="1" x14ac:dyDescent="0.2">
      <c r="K2208"/>
    </row>
    <row r="2209" spans="11:11" ht="15.75" customHeight="1" x14ac:dyDescent="0.2">
      <c r="K2209"/>
    </row>
    <row r="2210" spans="11:11" ht="15.75" customHeight="1" x14ac:dyDescent="0.2">
      <c r="K2210"/>
    </row>
    <row r="2211" spans="11:11" ht="15.75" customHeight="1" x14ac:dyDescent="0.2">
      <c r="K2211"/>
    </row>
    <row r="2212" spans="11:11" ht="15.75" customHeight="1" x14ac:dyDescent="0.2">
      <c r="K2212"/>
    </row>
    <row r="2213" spans="11:11" ht="15.75" customHeight="1" x14ac:dyDescent="0.2">
      <c r="K2213"/>
    </row>
    <row r="2214" spans="11:11" ht="15.75" customHeight="1" x14ac:dyDescent="0.2">
      <c r="K2214"/>
    </row>
    <row r="2215" spans="11:11" ht="15.75" customHeight="1" x14ac:dyDescent="0.2">
      <c r="K2215"/>
    </row>
    <row r="2216" spans="11:11" ht="15.75" customHeight="1" x14ac:dyDescent="0.2">
      <c r="K2216"/>
    </row>
    <row r="2217" spans="11:11" ht="15.75" customHeight="1" x14ac:dyDescent="0.2">
      <c r="K2217"/>
    </row>
    <row r="2218" spans="11:11" ht="15.75" customHeight="1" x14ac:dyDescent="0.2">
      <c r="K2218"/>
    </row>
    <row r="2219" spans="11:11" ht="15.75" customHeight="1" x14ac:dyDescent="0.2">
      <c r="K2219"/>
    </row>
    <row r="2220" spans="11:11" ht="15.75" customHeight="1" x14ac:dyDescent="0.2">
      <c r="K2220"/>
    </row>
    <row r="2221" spans="11:11" ht="15.75" customHeight="1" x14ac:dyDescent="0.2">
      <c r="K2221"/>
    </row>
    <row r="2222" spans="11:11" ht="15.75" customHeight="1" x14ac:dyDescent="0.2">
      <c r="K2222"/>
    </row>
    <row r="2223" spans="11:11" ht="15.75" customHeight="1" x14ac:dyDescent="0.2">
      <c r="K2223"/>
    </row>
    <row r="2224" spans="11:11" ht="15.75" customHeight="1" x14ac:dyDescent="0.2">
      <c r="K2224"/>
    </row>
    <row r="2225" spans="11:11" ht="15.75" customHeight="1" x14ac:dyDescent="0.2">
      <c r="K2225"/>
    </row>
    <row r="2226" spans="11:11" ht="15.75" customHeight="1" x14ac:dyDescent="0.2">
      <c r="K2226"/>
    </row>
    <row r="2227" spans="11:11" ht="15.75" customHeight="1" x14ac:dyDescent="0.2">
      <c r="K2227"/>
    </row>
    <row r="2228" spans="11:11" ht="15.75" customHeight="1" x14ac:dyDescent="0.2">
      <c r="K2228"/>
    </row>
    <row r="2229" spans="11:11" ht="15.75" customHeight="1" x14ac:dyDescent="0.2">
      <c r="K2229"/>
    </row>
    <row r="2230" spans="11:11" ht="15.75" customHeight="1" x14ac:dyDescent="0.2">
      <c r="K2230"/>
    </row>
    <row r="2231" spans="11:11" ht="15.75" customHeight="1" x14ac:dyDescent="0.2">
      <c r="K2231"/>
    </row>
    <row r="2232" spans="11:11" ht="15.75" customHeight="1" x14ac:dyDescent="0.2">
      <c r="K2232"/>
    </row>
    <row r="2233" spans="11:11" ht="15.75" customHeight="1" x14ac:dyDescent="0.2">
      <c r="K2233"/>
    </row>
    <row r="2234" spans="11:11" ht="15.75" customHeight="1" x14ac:dyDescent="0.2">
      <c r="K2234"/>
    </row>
    <row r="2235" spans="11:11" ht="15.75" customHeight="1" x14ac:dyDescent="0.2">
      <c r="K2235"/>
    </row>
    <row r="2236" spans="11:11" ht="15.75" customHeight="1" x14ac:dyDescent="0.2">
      <c r="K2236"/>
    </row>
    <row r="2237" spans="11:11" ht="15.75" customHeight="1" x14ac:dyDescent="0.2">
      <c r="K2237"/>
    </row>
    <row r="2238" spans="11:11" ht="15.75" customHeight="1" x14ac:dyDescent="0.2">
      <c r="K2238"/>
    </row>
    <row r="2239" spans="11:11" ht="15.75" customHeight="1" x14ac:dyDescent="0.2">
      <c r="K2239"/>
    </row>
    <row r="2240" spans="11:11" ht="15.75" customHeight="1" x14ac:dyDescent="0.2">
      <c r="K2240"/>
    </row>
    <row r="2241" spans="11:11" ht="15.75" customHeight="1" x14ac:dyDescent="0.2">
      <c r="K2241"/>
    </row>
    <row r="2242" spans="11:11" ht="15.75" customHeight="1" x14ac:dyDescent="0.2">
      <c r="K2242"/>
    </row>
    <row r="2243" spans="11:11" ht="15.75" customHeight="1" x14ac:dyDescent="0.2">
      <c r="K2243"/>
    </row>
    <row r="2244" spans="11:11" ht="15.75" customHeight="1" x14ac:dyDescent="0.2">
      <c r="K2244"/>
    </row>
    <row r="2245" spans="11:11" ht="15.75" customHeight="1" x14ac:dyDescent="0.2">
      <c r="K2245"/>
    </row>
    <row r="2246" spans="11:11" ht="15.75" customHeight="1" x14ac:dyDescent="0.2">
      <c r="K2246"/>
    </row>
    <row r="2247" spans="11:11" ht="15.75" customHeight="1" x14ac:dyDescent="0.2">
      <c r="K2247"/>
    </row>
    <row r="2248" spans="11:11" ht="15.75" customHeight="1" x14ac:dyDescent="0.2">
      <c r="K2248"/>
    </row>
    <row r="2249" spans="11:11" ht="15.75" customHeight="1" x14ac:dyDescent="0.2">
      <c r="K2249"/>
    </row>
    <row r="2250" spans="11:11" ht="15.75" customHeight="1" x14ac:dyDescent="0.2">
      <c r="K2250"/>
    </row>
    <row r="2251" spans="11:11" ht="15.75" customHeight="1" x14ac:dyDescent="0.2">
      <c r="K2251"/>
    </row>
    <row r="2252" spans="11:11" ht="15.75" customHeight="1" x14ac:dyDescent="0.2">
      <c r="K2252"/>
    </row>
    <row r="2253" spans="11:11" ht="15.75" customHeight="1" x14ac:dyDescent="0.2">
      <c r="K2253"/>
    </row>
    <row r="2254" spans="11:11" ht="15.75" customHeight="1" x14ac:dyDescent="0.2">
      <c r="K2254"/>
    </row>
    <row r="2255" spans="11:11" ht="15.75" customHeight="1" x14ac:dyDescent="0.2">
      <c r="K2255"/>
    </row>
    <row r="2256" spans="11:11" ht="15.75" customHeight="1" x14ac:dyDescent="0.2">
      <c r="K2256"/>
    </row>
    <row r="2257" spans="11:11" ht="15.75" customHeight="1" x14ac:dyDescent="0.2">
      <c r="K2257"/>
    </row>
    <row r="2258" spans="11:11" ht="15.75" customHeight="1" x14ac:dyDescent="0.2">
      <c r="K2258"/>
    </row>
    <row r="2259" spans="11:11" ht="15.75" customHeight="1" x14ac:dyDescent="0.2">
      <c r="K2259"/>
    </row>
    <row r="2260" spans="11:11" ht="15.75" customHeight="1" x14ac:dyDescent="0.2">
      <c r="K2260"/>
    </row>
    <row r="2261" spans="11:11" ht="15.75" customHeight="1" x14ac:dyDescent="0.2">
      <c r="K2261"/>
    </row>
    <row r="2262" spans="11:11" ht="15.75" customHeight="1" x14ac:dyDescent="0.2">
      <c r="K2262"/>
    </row>
    <row r="2263" spans="11:11" ht="15.75" customHeight="1" x14ac:dyDescent="0.2">
      <c r="K2263"/>
    </row>
    <row r="2264" spans="11:11" ht="15.75" customHeight="1" x14ac:dyDescent="0.2">
      <c r="K2264"/>
    </row>
    <row r="2265" spans="11:11" ht="15.75" customHeight="1" x14ac:dyDescent="0.2">
      <c r="K2265"/>
    </row>
    <row r="2266" spans="11:11" ht="15.75" customHeight="1" x14ac:dyDescent="0.2">
      <c r="K2266"/>
    </row>
    <row r="2267" spans="11:11" ht="15.75" customHeight="1" x14ac:dyDescent="0.2">
      <c r="K2267"/>
    </row>
    <row r="2268" spans="11:11" ht="15.75" customHeight="1" x14ac:dyDescent="0.2">
      <c r="K2268"/>
    </row>
    <row r="2269" spans="11:11" ht="15.75" customHeight="1" x14ac:dyDescent="0.2">
      <c r="K2269"/>
    </row>
    <row r="2270" spans="11:11" ht="15.75" customHeight="1" x14ac:dyDescent="0.2">
      <c r="K2270"/>
    </row>
    <row r="2271" spans="11:11" ht="15.75" customHeight="1" x14ac:dyDescent="0.2">
      <c r="K2271"/>
    </row>
    <row r="2272" spans="11:11" ht="15.75" customHeight="1" x14ac:dyDescent="0.2">
      <c r="K2272"/>
    </row>
    <row r="2273" spans="11:11" ht="15.75" customHeight="1" x14ac:dyDescent="0.2">
      <c r="K2273"/>
    </row>
    <row r="2274" spans="11:11" ht="15.75" customHeight="1" x14ac:dyDescent="0.2">
      <c r="K2274"/>
    </row>
    <row r="2275" spans="11:11" ht="15.75" customHeight="1" x14ac:dyDescent="0.2">
      <c r="K2275"/>
    </row>
    <row r="2276" spans="11:11" ht="15.75" customHeight="1" x14ac:dyDescent="0.2">
      <c r="K2276"/>
    </row>
    <row r="2277" spans="11:11" ht="15.75" customHeight="1" x14ac:dyDescent="0.2">
      <c r="K2277"/>
    </row>
    <row r="2278" spans="11:11" ht="15.75" customHeight="1" x14ac:dyDescent="0.2">
      <c r="K2278"/>
    </row>
    <row r="2279" spans="11:11" ht="15.75" customHeight="1" x14ac:dyDescent="0.2">
      <c r="K2279"/>
    </row>
    <row r="2280" spans="11:11" ht="15.75" customHeight="1" x14ac:dyDescent="0.2">
      <c r="K2280"/>
    </row>
    <row r="2281" spans="11:11" ht="15.75" customHeight="1" x14ac:dyDescent="0.2">
      <c r="K2281"/>
    </row>
    <row r="2282" spans="11:11" ht="15.75" customHeight="1" x14ac:dyDescent="0.2">
      <c r="K2282"/>
    </row>
    <row r="2283" spans="11:11" ht="15.75" customHeight="1" x14ac:dyDescent="0.2">
      <c r="K2283"/>
    </row>
    <row r="2284" spans="11:11" ht="15.75" customHeight="1" x14ac:dyDescent="0.2">
      <c r="K2284"/>
    </row>
    <row r="2285" spans="11:11" ht="15.75" customHeight="1" x14ac:dyDescent="0.2">
      <c r="K2285"/>
    </row>
    <row r="2286" spans="11:11" ht="15.75" customHeight="1" x14ac:dyDescent="0.2">
      <c r="K2286"/>
    </row>
    <row r="2287" spans="11:11" ht="15.75" customHeight="1" x14ac:dyDescent="0.2">
      <c r="K2287"/>
    </row>
    <row r="2288" spans="11:11" ht="15.75" customHeight="1" x14ac:dyDescent="0.2">
      <c r="K2288"/>
    </row>
    <row r="2289" spans="11:11" ht="15.75" customHeight="1" x14ac:dyDescent="0.2">
      <c r="K2289"/>
    </row>
    <row r="2290" spans="11:11" ht="15.75" customHeight="1" x14ac:dyDescent="0.2">
      <c r="K2290"/>
    </row>
    <row r="2291" spans="11:11" ht="15.75" customHeight="1" x14ac:dyDescent="0.2">
      <c r="K2291"/>
    </row>
    <row r="2292" spans="11:11" ht="15.75" customHeight="1" x14ac:dyDescent="0.2">
      <c r="K2292"/>
    </row>
    <row r="2293" spans="11:11" ht="15.75" customHeight="1" x14ac:dyDescent="0.2">
      <c r="K2293"/>
    </row>
    <row r="2294" spans="11:11" ht="15.75" customHeight="1" x14ac:dyDescent="0.2">
      <c r="K2294"/>
    </row>
    <row r="2295" spans="11:11" ht="15.75" customHeight="1" x14ac:dyDescent="0.2">
      <c r="K2295"/>
    </row>
    <row r="2296" spans="11:11" ht="15.75" customHeight="1" x14ac:dyDescent="0.2">
      <c r="K2296"/>
    </row>
    <row r="2297" spans="11:11" ht="15.75" customHeight="1" x14ac:dyDescent="0.2">
      <c r="K2297"/>
    </row>
    <row r="2298" spans="11:11" ht="15.75" customHeight="1" x14ac:dyDescent="0.2">
      <c r="K2298"/>
    </row>
    <row r="2299" spans="11:11" ht="15.75" customHeight="1" x14ac:dyDescent="0.2">
      <c r="K2299"/>
    </row>
    <row r="2300" spans="11:11" ht="15.75" customHeight="1" x14ac:dyDescent="0.2">
      <c r="K2300"/>
    </row>
    <row r="2301" spans="11:11" ht="15.75" customHeight="1" x14ac:dyDescent="0.2">
      <c r="K2301"/>
    </row>
    <row r="2302" spans="11:11" ht="15.75" customHeight="1" x14ac:dyDescent="0.2">
      <c r="K2302"/>
    </row>
    <row r="2303" spans="11:11" ht="15.75" customHeight="1" x14ac:dyDescent="0.2">
      <c r="K2303"/>
    </row>
    <row r="2304" spans="11:11" ht="15.75" customHeight="1" x14ac:dyDescent="0.2">
      <c r="K2304"/>
    </row>
    <row r="2305" spans="11:11" ht="15.75" customHeight="1" x14ac:dyDescent="0.2">
      <c r="K2305"/>
    </row>
    <row r="2306" spans="11:11" ht="15.75" customHeight="1" x14ac:dyDescent="0.2">
      <c r="K2306"/>
    </row>
    <row r="2307" spans="11:11" ht="15.75" customHeight="1" x14ac:dyDescent="0.2">
      <c r="K2307"/>
    </row>
    <row r="2308" spans="11:11" ht="15.75" customHeight="1" x14ac:dyDescent="0.2">
      <c r="K2308"/>
    </row>
    <row r="2309" spans="11:11" ht="15.75" customHeight="1" x14ac:dyDescent="0.2">
      <c r="K2309"/>
    </row>
    <row r="2310" spans="11:11" ht="15.75" customHeight="1" x14ac:dyDescent="0.2">
      <c r="K2310"/>
    </row>
    <row r="2311" spans="11:11" ht="15.75" customHeight="1" x14ac:dyDescent="0.2">
      <c r="K2311"/>
    </row>
    <row r="2312" spans="11:11" ht="15.75" customHeight="1" x14ac:dyDescent="0.2">
      <c r="K2312"/>
    </row>
    <row r="2313" spans="11:11" ht="15.75" customHeight="1" x14ac:dyDescent="0.2">
      <c r="K2313"/>
    </row>
    <row r="2314" spans="11:11" ht="15.75" customHeight="1" x14ac:dyDescent="0.2">
      <c r="K2314"/>
    </row>
    <row r="2315" spans="11:11" ht="15.75" customHeight="1" x14ac:dyDescent="0.2">
      <c r="K2315"/>
    </row>
    <row r="2316" spans="11:11" ht="15.75" customHeight="1" x14ac:dyDescent="0.2">
      <c r="K2316"/>
    </row>
    <row r="2317" spans="11:11" ht="15.75" customHeight="1" x14ac:dyDescent="0.2">
      <c r="K2317"/>
    </row>
    <row r="2318" spans="11:11" ht="15.75" customHeight="1" x14ac:dyDescent="0.2">
      <c r="K2318"/>
    </row>
    <row r="2319" spans="11:11" ht="15.75" customHeight="1" x14ac:dyDescent="0.2">
      <c r="K2319"/>
    </row>
    <row r="2320" spans="11:11" ht="15.75" customHeight="1" x14ac:dyDescent="0.2">
      <c r="K2320"/>
    </row>
    <row r="2321" spans="11:11" ht="15.75" customHeight="1" x14ac:dyDescent="0.2">
      <c r="K2321"/>
    </row>
    <row r="2322" spans="11:11" ht="15.75" customHeight="1" x14ac:dyDescent="0.2">
      <c r="K2322"/>
    </row>
    <row r="2323" spans="11:11" ht="15.75" customHeight="1" x14ac:dyDescent="0.2">
      <c r="K2323"/>
    </row>
    <row r="2324" spans="11:11" ht="15.75" customHeight="1" x14ac:dyDescent="0.2">
      <c r="K2324"/>
    </row>
    <row r="2325" spans="11:11" ht="15.75" customHeight="1" x14ac:dyDescent="0.2">
      <c r="K2325"/>
    </row>
    <row r="2326" spans="11:11" ht="15.75" customHeight="1" x14ac:dyDescent="0.2">
      <c r="K2326"/>
    </row>
    <row r="2327" spans="11:11" ht="15.75" customHeight="1" x14ac:dyDescent="0.2">
      <c r="K2327"/>
    </row>
    <row r="2328" spans="11:11" ht="15.75" customHeight="1" x14ac:dyDescent="0.2">
      <c r="K2328"/>
    </row>
    <row r="2329" spans="11:11" ht="15.75" customHeight="1" x14ac:dyDescent="0.2">
      <c r="K2329"/>
    </row>
    <row r="2330" spans="11:11" ht="15.75" customHeight="1" x14ac:dyDescent="0.2">
      <c r="K2330"/>
    </row>
    <row r="2331" spans="11:11" ht="15.75" customHeight="1" x14ac:dyDescent="0.2">
      <c r="K2331"/>
    </row>
    <row r="2332" spans="11:11" ht="15.75" customHeight="1" x14ac:dyDescent="0.2">
      <c r="K2332"/>
    </row>
    <row r="2333" spans="11:11" ht="15.75" customHeight="1" x14ac:dyDescent="0.2">
      <c r="K2333"/>
    </row>
    <row r="2334" spans="11:11" ht="15.75" customHeight="1" x14ac:dyDescent="0.2">
      <c r="K2334"/>
    </row>
    <row r="2335" spans="11:11" ht="15.75" customHeight="1" x14ac:dyDescent="0.2">
      <c r="K2335"/>
    </row>
    <row r="2336" spans="11:11" ht="15.75" customHeight="1" x14ac:dyDescent="0.2">
      <c r="K2336"/>
    </row>
    <row r="2337" spans="11:11" ht="15.75" customHeight="1" x14ac:dyDescent="0.2">
      <c r="K2337"/>
    </row>
    <row r="2338" spans="11:11" ht="15.75" customHeight="1" x14ac:dyDescent="0.2">
      <c r="K2338"/>
    </row>
    <row r="2339" spans="11:11" ht="15.75" customHeight="1" x14ac:dyDescent="0.2">
      <c r="K2339"/>
    </row>
    <row r="2340" spans="11:11" ht="15.75" customHeight="1" x14ac:dyDescent="0.2">
      <c r="K2340"/>
    </row>
    <row r="2341" spans="11:11" ht="15.75" customHeight="1" x14ac:dyDescent="0.2">
      <c r="K2341"/>
    </row>
    <row r="2342" spans="11:11" ht="15.75" customHeight="1" x14ac:dyDescent="0.2">
      <c r="K2342"/>
    </row>
    <row r="2343" spans="11:11" ht="15.75" customHeight="1" x14ac:dyDescent="0.2">
      <c r="K2343"/>
    </row>
    <row r="2344" spans="11:11" ht="15.75" customHeight="1" x14ac:dyDescent="0.2">
      <c r="K2344"/>
    </row>
    <row r="2345" spans="11:11" ht="15.75" customHeight="1" x14ac:dyDescent="0.2">
      <c r="K2345"/>
    </row>
    <row r="2346" spans="11:11" ht="15.75" customHeight="1" x14ac:dyDescent="0.2">
      <c r="K2346"/>
    </row>
    <row r="2347" spans="11:11" ht="15.75" customHeight="1" x14ac:dyDescent="0.2">
      <c r="K2347"/>
    </row>
    <row r="2348" spans="11:11" ht="15.75" customHeight="1" x14ac:dyDescent="0.2">
      <c r="K2348"/>
    </row>
    <row r="2349" spans="11:11" ht="15.75" customHeight="1" x14ac:dyDescent="0.2">
      <c r="K2349"/>
    </row>
    <row r="2350" spans="11:11" ht="15.75" customHeight="1" x14ac:dyDescent="0.2">
      <c r="K2350"/>
    </row>
    <row r="2351" spans="11:11" ht="15.75" customHeight="1" x14ac:dyDescent="0.2">
      <c r="K2351"/>
    </row>
    <row r="2352" spans="11:11" ht="15.75" customHeight="1" x14ac:dyDescent="0.2">
      <c r="K2352"/>
    </row>
    <row r="2353" spans="11:11" ht="15.75" customHeight="1" x14ac:dyDescent="0.2">
      <c r="K2353"/>
    </row>
    <row r="2354" spans="11:11" ht="15.75" customHeight="1" x14ac:dyDescent="0.2">
      <c r="K2354"/>
    </row>
    <row r="2355" spans="11:11" ht="15.75" customHeight="1" x14ac:dyDescent="0.2">
      <c r="K2355"/>
    </row>
    <row r="2356" spans="11:11" ht="15.75" customHeight="1" x14ac:dyDescent="0.2">
      <c r="K2356"/>
    </row>
    <row r="2357" spans="11:11" ht="15.75" customHeight="1" x14ac:dyDescent="0.2">
      <c r="K2357"/>
    </row>
    <row r="2358" spans="11:11" ht="15.75" customHeight="1" x14ac:dyDescent="0.2">
      <c r="K2358"/>
    </row>
    <row r="2359" spans="11:11" ht="15.75" customHeight="1" x14ac:dyDescent="0.2">
      <c r="K2359"/>
    </row>
    <row r="2360" spans="11:11" ht="15.75" customHeight="1" x14ac:dyDescent="0.2">
      <c r="K2360"/>
    </row>
    <row r="2361" spans="11:11" ht="15.75" customHeight="1" x14ac:dyDescent="0.2">
      <c r="K2361"/>
    </row>
    <row r="2362" spans="11:11" ht="15.75" customHeight="1" x14ac:dyDescent="0.2">
      <c r="K2362"/>
    </row>
    <row r="2363" spans="11:11" ht="15.75" customHeight="1" x14ac:dyDescent="0.2">
      <c r="K2363"/>
    </row>
    <row r="2364" spans="11:11" ht="15.75" customHeight="1" x14ac:dyDescent="0.2">
      <c r="K2364"/>
    </row>
    <row r="2365" spans="11:11" ht="15.75" customHeight="1" x14ac:dyDescent="0.2">
      <c r="K2365"/>
    </row>
    <row r="2366" spans="11:11" ht="15.75" customHeight="1" x14ac:dyDescent="0.2">
      <c r="K2366"/>
    </row>
    <row r="2367" spans="11:11" ht="15.75" customHeight="1" x14ac:dyDescent="0.2">
      <c r="K2367"/>
    </row>
    <row r="2368" spans="11:11" ht="15.75" customHeight="1" x14ac:dyDescent="0.2">
      <c r="K2368"/>
    </row>
    <row r="2369" spans="11:11" ht="15.75" customHeight="1" x14ac:dyDescent="0.2">
      <c r="K2369"/>
    </row>
    <row r="2370" spans="11:11" ht="15.75" customHeight="1" x14ac:dyDescent="0.2">
      <c r="K2370"/>
    </row>
    <row r="2371" spans="11:11" ht="15.75" customHeight="1" x14ac:dyDescent="0.2">
      <c r="K2371"/>
    </row>
    <row r="2372" spans="11:11" ht="15.75" customHeight="1" x14ac:dyDescent="0.2">
      <c r="K2372"/>
    </row>
    <row r="2373" spans="11:11" ht="15.75" customHeight="1" x14ac:dyDescent="0.2">
      <c r="K2373"/>
    </row>
    <row r="2374" spans="11:11" ht="15.75" customHeight="1" x14ac:dyDescent="0.2">
      <c r="K2374"/>
    </row>
    <row r="2375" spans="11:11" ht="15.75" customHeight="1" x14ac:dyDescent="0.2">
      <c r="K2375"/>
    </row>
    <row r="2376" spans="11:11" ht="15.75" customHeight="1" x14ac:dyDescent="0.2">
      <c r="K2376"/>
    </row>
    <row r="2377" spans="11:11" ht="15.75" customHeight="1" x14ac:dyDescent="0.2">
      <c r="K2377"/>
    </row>
    <row r="2378" spans="11:11" ht="15.75" customHeight="1" x14ac:dyDescent="0.2">
      <c r="K2378"/>
    </row>
    <row r="2379" spans="11:11" ht="15.75" customHeight="1" x14ac:dyDescent="0.2">
      <c r="K2379"/>
    </row>
    <row r="2380" spans="11:11" ht="15.75" customHeight="1" x14ac:dyDescent="0.2">
      <c r="K2380"/>
    </row>
    <row r="2381" spans="11:11" ht="15.75" customHeight="1" x14ac:dyDescent="0.2">
      <c r="K2381"/>
    </row>
    <row r="2382" spans="11:11" ht="15.75" customHeight="1" x14ac:dyDescent="0.2">
      <c r="K2382"/>
    </row>
    <row r="2383" spans="11:11" ht="15.75" customHeight="1" x14ac:dyDescent="0.2">
      <c r="K2383"/>
    </row>
    <row r="2384" spans="11:11" ht="15.75" customHeight="1" x14ac:dyDescent="0.2">
      <c r="K2384"/>
    </row>
    <row r="2385" spans="11:11" ht="15.75" customHeight="1" x14ac:dyDescent="0.2">
      <c r="K2385"/>
    </row>
    <row r="2386" spans="11:11" ht="15.75" customHeight="1" x14ac:dyDescent="0.2">
      <c r="K2386"/>
    </row>
    <row r="2387" spans="11:11" ht="15.75" customHeight="1" x14ac:dyDescent="0.2">
      <c r="K2387"/>
    </row>
    <row r="2388" spans="11:11" ht="15.75" customHeight="1" x14ac:dyDescent="0.2">
      <c r="K2388"/>
    </row>
    <row r="2389" spans="11:11" ht="15.75" customHeight="1" x14ac:dyDescent="0.2">
      <c r="K2389"/>
    </row>
    <row r="2390" spans="11:11" ht="15.75" customHeight="1" x14ac:dyDescent="0.2">
      <c r="K2390"/>
    </row>
    <row r="2391" spans="11:11" ht="15.75" customHeight="1" x14ac:dyDescent="0.2">
      <c r="K2391"/>
    </row>
    <row r="2392" spans="11:11" ht="15.75" customHeight="1" x14ac:dyDescent="0.2">
      <c r="K2392"/>
    </row>
    <row r="2393" spans="11:11" ht="15.75" customHeight="1" x14ac:dyDescent="0.2">
      <c r="K2393"/>
    </row>
    <row r="2394" spans="11:11" ht="15.75" customHeight="1" x14ac:dyDescent="0.2">
      <c r="K2394"/>
    </row>
    <row r="2395" spans="11:11" ht="15.75" customHeight="1" x14ac:dyDescent="0.2">
      <c r="K2395"/>
    </row>
    <row r="2396" spans="11:11" ht="15.75" customHeight="1" x14ac:dyDescent="0.2">
      <c r="K2396"/>
    </row>
    <row r="2397" spans="11:11" ht="15.75" customHeight="1" x14ac:dyDescent="0.2">
      <c r="K2397"/>
    </row>
    <row r="2398" spans="11:11" ht="15.75" customHeight="1" x14ac:dyDescent="0.2">
      <c r="K2398"/>
    </row>
    <row r="2399" spans="11:11" ht="15.75" customHeight="1" x14ac:dyDescent="0.2">
      <c r="K2399"/>
    </row>
    <row r="2400" spans="11:11" ht="15.75" customHeight="1" x14ac:dyDescent="0.2">
      <c r="K2400"/>
    </row>
    <row r="2401" spans="11:11" ht="15.75" customHeight="1" x14ac:dyDescent="0.2">
      <c r="K2401"/>
    </row>
    <row r="2402" spans="11:11" ht="15.75" customHeight="1" x14ac:dyDescent="0.2">
      <c r="K2402"/>
    </row>
    <row r="2403" spans="11:11" ht="15.75" customHeight="1" x14ac:dyDescent="0.2">
      <c r="K2403"/>
    </row>
    <row r="2404" spans="11:11" ht="15.75" customHeight="1" x14ac:dyDescent="0.2">
      <c r="K2404"/>
    </row>
    <row r="2405" spans="11:11" ht="15.75" customHeight="1" x14ac:dyDescent="0.2">
      <c r="K2405"/>
    </row>
    <row r="2406" spans="11:11" ht="15.75" customHeight="1" x14ac:dyDescent="0.2">
      <c r="K2406"/>
    </row>
    <row r="2407" spans="11:11" ht="15.75" customHeight="1" x14ac:dyDescent="0.2">
      <c r="K2407"/>
    </row>
    <row r="2408" spans="11:11" ht="15.75" customHeight="1" x14ac:dyDescent="0.2">
      <c r="K2408"/>
    </row>
    <row r="2409" spans="11:11" ht="15.75" customHeight="1" x14ac:dyDescent="0.2">
      <c r="K2409"/>
    </row>
    <row r="2410" spans="11:11" ht="15.75" customHeight="1" x14ac:dyDescent="0.2">
      <c r="K2410"/>
    </row>
    <row r="2411" spans="11:11" ht="15.75" customHeight="1" x14ac:dyDescent="0.2">
      <c r="K2411"/>
    </row>
    <row r="2412" spans="11:11" ht="15.75" customHeight="1" x14ac:dyDescent="0.2">
      <c r="K2412"/>
    </row>
    <row r="2413" spans="11:11" ht="15.75" customHeight="1" x14ac:dyDescent="0.2">
      <c r="K2413"/>
    </row>
    <row r="2414" spans="11:11" ht="15.75" customHeight="1" x14ac:dyDescent="0.2">
      <c r="K2414"/>
    </row>
    <row r="2415" spans="11:11" ht="15.75" customHeight="1" x14ac:dyDescent="0.2">
      <c r="K2415"/>
    </row>
    <row r="2416" spans="11:11" ht="15.75" customHeight="1" x14ac:dyDescent="0.2">
      <c r="K2416"/>
    </row>
    <row r="2417" spans="11:11" ht="15.75" customHeight="1" x14ac:dyDescent="0.2">
      <c r="K2417"/>
    </row>
    <row r="2418" spans="11:11" ht="15.75" customHeight="1" x14ac:dyDescent="0.2">
      <c r="K2418"/>
    </row>
    <row r="2419" spans="11:11" ht="15.75" customHeight="1" x14ac:dyDescent="0.2">
      <c r="K2419"/>
    </row>
    <row r="2420" spans="11:11" ht="15.75" customHeight="1" x14ac:dyDescent="0.2">
      <c r="K2420"/>
    </row>
    <row r="2421" spans="11:11" ht="15.75" customHeight="1" x14ac:dyDescent="0.2">
      <c r="K2421"/>
    </row>
    <row r="2422" spans="11:11" ht="15.75" customHeight="1" x14ac:dyDescent="0.2">
      <c r="K2422"/>
    </row>
    <row r="2423" spans="11:11" ht="15.75" customHeight="1" x14ac:dyDescent="0.2">
      <c r="K2423"/>
    </row>
    <row r="2424" spans="11:11" ht="15.75" customHeight="1" x14ac:dyDescent="0.2">
      <c r="K2424"/>
    </row>
    <row r="2425" spans="11:11" ht="15.75" customHeight="1" x14ac:dyDescent="0.2">
      <c r="K2425"/>
    </row>
    <row r="2426" spans="11:11" ht="15.75" customHeight="1" x14ac:dyDescent="0.2">
      <c r="K2426"/>
    </row>
    <row r="2427" spans="11:11" ht="15.75" customHeight="1" x14ac:dyDescent="0.2">
      <c r="K2427"/>
    </row>
    <row r="2428" spans="11:11" ht="15.75" customHeight="1" x14ac:dyDescent="0.2">
      <c r="K2428"/>
    </row>
    <row r="2429" spans="11:11" ht="15.75" customHeight="1" x14ac:dyDescent="0.2">
      <c r="K2429"/>
    </row>
    <row r="2430" spans="11:11" ht="15.75" customHeight="1" x14ac:dyDescent="0.2">
      <c r="K2430"/>
    </row>
    <row r="2431" spans="11:11" ht="15.75" customHeight="1" x14ac:dyDescent="0.2">
      <c r="K2431"/>
    </row>
    <row r="2432" spans="11:11" ht="15.75" customHeight="1" x14ac:dyDescent="0.2">
      <c r="K2432"/>
    </row>
    <row r="2433" spans="11:11" ht="15.75" customHeight="1" x14ac:dyDescent="0.2">
      <c r="K2433"/>
    </row>
    <row r="2434" spans="11:11" ht="15.75" customHeight="1" x14ac:dyDescent="0.2">
      <c r="K2434"/>
    </row>
    <row r="2435" spans="11:11" ht="15.75" customHeight="1" x14ac:dyDescent="0.2">
      <c r="K2435"/>
    </row>
    <row r="2436" spans="11:11" ht="15.75" customHeight="1" x14ac:dyDescent="0.2">
      <c r="K2436"/>
    </row>
    <row r="2437" spans="11:11" ht="15.75" customHeight="1" x14ac:dyDescent="0.2">
      <c r="K2437"/>
    </row>
    <row r="2438" spans="11:11" ht="15.75" customHeight="1" x14ac:dyDescent="0.2">
      <c r="K2438"/>
    </row>
    <row r="2439" spans="11:11" ht="15.75" customHeight="1" x14ac:dyDescent="0.2">
      <c r="K2439"/>
    </row>
    <row r="2440" spans="11:11" ht="15.75" customHeight="1" x14ac:dyDescent="0.2">
      <c r="K2440"/>
    </row>
    <row r="2441" spans="11:11" ht="15.75" customHeight="1" x14ac:dyDescent="0.2">
      <c r="K2441"/>
    </row>
    <row r="2442" spans="11:11" ht="15.75" customHeight="1" x14ac:dyDescent="0.2">
      <c r="K2442"/>
    </row>
    <row r="2443" spans="11:11" ht="15.75" customHeight="1" x14ac:dyDescent="0.2">
      <c r="K2443"/>
    </row>
    <row r="2444" spans="11:11" ht="15.75" customHeight="1" x14ac:dyDescent="0.2">
      <c r="K2444"/>
    </row>
    <row r="2445" spans="11:11" ht="15.75" customHeight="1" x14ac:dyDescent="0.2">
      <c r="K2445"/>
    </row>
    <row r="2446" spans="11:11" ht="15.75" customHeight="1" x14ac:dyDescent="0.2">
      <c r="K2446"/>
    </row>
    <row r="2447" spans="11:11" ht="15.75" customHeight="1" x14ac:dyDescent="0.2">
      <c r="K2447"/>
    </row>
    <row r="2448" spans="11:11" ht="15.75" customHeight="1" x14ac:dyDescent="0.2">
      <c r="K2448"/>
    </row>
    <row r="2449" spans="11:11" ht="15.75" customHeight="1" x14ac:dyDescent="0.2">
      <c r="K2449"/>
    </row>
    <row r="2450" spans="11:11" ht="15.75" customHeight="1" x14ac:dyDescent="0.2">
      <c r="K2450"/>
    </row>
    <row r="2451" spans="11:11" ht="15.75" customHeight="1" x14ac:dyDescent="0.2">
      <c r="K2451"/>
    </row>
    <row r="2452" spans="11:11" ht="15.75" customHeight="1" x14ac:dyDescent="0.2">
      <c r="K2452"/>
    </row>
    <row r="2453" spans="11:11" ht="15.75" customHeight="1" x14ac:dyDescent="0.2">
      <c r="K2453"/>
    </row>
    <row r="2454" spans="11:11" ht="15.75" customHeight="1" x14ac:dyDescent="0.2">
      <c r="K2454"/>
    </row>
    <row r="2455" spans="11:11" ht="15.75" customHeight="1" x14ac:dyDescent="0.2">
      <c r="K2455"/>
    </row>
    <row r="2456" spans="11:11" ht="15.75" customHeight="1" x14ac:dyDescent="0.2">
      <c r="K2456"/>
    </row>
    <row r="2457" spans="11:11" ht="15.75" customHeight="1" x14ac:dyDescent="0.2">
      <c r="K2457"/>
    </row>
    <row r="2458" spans="11:11" ht="15.75" customHeight="1" x14ac:dyDescent="0.2">
      <c r="K2458"/>
    </row>
    <row r="2459" spans="11:11" ht="15.75" customHeight="1" x14ac:dyDescent="0.2">
      <c r="K2459"/>
    </row>
    <row r="2460" spans="11:11" ht="15.75" customHeight="1" x14ac:dyDescent="0.2">
      <c r="K2460"/>
    </row>
    <row r="2461" spans="11:11" ht="15.75" customHeight="1" x14ac:dyDescent="0.2">
      <c r="K2461"/>
    </row>
    <row r="2462" spans="11:11" ht="15.75" customHeight="1" x14ac:dyDescent="0.2">
      <c r="K2462"/>
    </row>
    <row r="2463" spans="11:11" ht="15.75" customHeight="1" x14ac:dyDescent="0.2">
      <c r="K2463"/>
    </row>
    <row r="2464" spans="11:11" ht="15.75" customHeight="1" x14ac:dyDescent="0.2">
      <c r="K2464"/>
    </row>
    <row r="2465" spans="11:11" ht="15.75" customHeight="1" x14ac:dyDescent="0.2">
      <c r="K2465"/>
    </row>
    <row r="2466" spans="11:11" ht="15.75" customHeight="1" x14ac:dyDescent="0.2">
      <c r="K2466"/>
    </row>
    <row r="2467" spans="11:11" ht="15.75" customHeight="1" x14ac:dyDescent="0.2">
      <c r="K2467"/>
    </row>
    <row r="2468" spans="11:11" ht="15.75" customHeight="1" x14ac:dyDescent="0.2">
      <c r="K2468"/>
    </row>
    <row r="2469" spans="11:11" ht="15.75" customHeight="1" x14ac:dyDescent="0.2">
      <c r="K2469"/>
    </row>
    <row r="2470" spans="11:11" ht="15.75" customHeight="1" x14ac:dyDescent="0.2">
      <c r="K2470"/>
    </row>
    <row r="2471" spans="11:11" ht="15.75" customHeight="1" x14ac:dyDescent="0.2">
      <c r="K2471"/>
    </row>
    <row r="2472" spans="11:11" ht="15.75" customHeight="1" x14ac:dyDescent="0.2">
      <c r="K2472"/>
    </row>
    <row r="2473" spans="11:11" ht="15.75" customHeight="1" x14ac:dyDescent="0.2">
      <c r="K2473"/>
    </row>
    <row r="2474" spans="11:11" ht="15.75" customHeight="1" x14ac:dyDescent="0.2">
      <c r="K2474"/>
    </row>
    <row r="2475" spans="11:11" ht="15.75" customHeight="1" x14ac:dyDescent="0.2">
      <c r="K2475"/>
    </row>
    <row r="2476" spans="11:11" ht="15.75" customHeight="1" x14ac:dyDescent="0.2">
      <c r="K2476"/>
    </row>
    <row r="2477" spans="11:11" ht="15.75" customHeight="1" x14ac:dyDescent="0.2">
      <c r="K2477"/>
    </row>
    <row r="2478" spans="11:11" ht="15.75" customHeight="1" x14ac:dyDescent="0.2">
      <c r="K2478"/>
    </row>
    <row r="2479" spans="11:11" ht="15.75" customHeight="1" x14ac:dyDescent="0.2">
      <c r="K2479"/>
    </row>
    <row r="2480" spans="11:11" ht="15.75" customHeight="1" x14ac:dyDescent="0.2">
      <c r="K2480"/>
    </row>
    <row r="2481" spans="11:11" ht="15.75" customHeight="1" x14ac:dyDescent="0.2">
      <c r="K2481"/>
    </row>
    <row r="2482" spans="11:11" ht="15.75" customHeight="1" x14ac:dyDescent="0.2">
      <c r="K2482"/>
    </row>
    <row r="2483" spans="11:11" ht="15.75" customHeight="1" x14ac:dyDescent="0.2">
      <c r="K2483"/>
    </row>
    <row r="2484" spans="11:11" ht="15.75" customHeight="1" x14ac:dyDescent="0.2">
      <c r="K2484"/>
    </row>
    <row r="2485" spans="11:11" ht="15.75" customHeight="1" x14ac:dyDescent="0.2">
      <c r="K2485"/>
    </row>
    <row r="2486" spans="11:11" ht="15.75" customHeight="1" x14ac:dyDescent="0.2">
      <c r="K2486"/>
    </row>
    <row r="2487" spans="11:11" ht="15.75" customHeight="1" x14ac:dyDescent="0.2">
      <c r="K2487"/>
    </row>
    <row r="2488" spans="11:11" ht="15.75" customHeight="1" x14ac:dyDescent="0.2">
      <c r="K2488"/>
    </row>
    <row r="2489" spans="11:11" ht="15.75" customHeight="1" x14ac:dyDescent="0.2">
      <c r="K2489"/>
    </row>
    <row r="2490" spans="11:11" ht="15.75" customHeight="1" x14ac:dyDescent="0.2">
      <c r="K2490"/>
    </row>
    <row r="2491" spans="11:11" ht="15.75" customHeight="1" x14ac:dyDescent="0.2">
      <c r="K2491"/>
    </row>
    <row r="2492" spans="11:11" ht="15.75" customHeight="1" x14ac:dyDescent="0.2">
      <c r="K2492"/>
    </row>
    <row r="2493" spans="11:11" ht="15.75" customHeight="1" x14ac:dyDescent="0.2">
      <c r="K2493"/>
    </row>
    <row r="2494" spans="11:11" ht="15.75" customHeight="1" x14ac:dyDescent="0.2">
      <c r="K2494"/>
    </row>
    <row r="2495" spans="11:11" ht="15.75" customHeight="1" x14ac:dyDescent="0.2">
      <c r="K2495"/>
    </row>
    <row r="2496" spans="11:11" ht="15.75" customHeight="1" x14ac:dyDescent="0.2">
      <c r="K2496"/>
    </row>
    <row r="2497" spans="11:11" ht="15.75" customHeight="1" x14ac:dyDescent="0.2">
      <c r="K2497"/>
    </row>
    <row r="2498" spans="11:11" ht="15.75" customHeight="1" x14ac:dyDescent="0.2">
      <c r="K2498"/>
    </row>
    <row r="2499" spans="11:11" ht="15.75" customHeight="1" x14ac:dyDescent="0.2">
      <c r="K2499"/>
    </row>
    <row r="2500" spans="11:11" ht="15.75" customHeight="1" x14ac:dyDescent="0.2">
      <c r="K2500"/>
    </row>
    <row r="2501" spans="11:11" ht="15.75" customHeight="1" x14ac:dyDescent="0.2">
      <c r="K2501"/>
    </row>
    <row r="2502" spans="11:11" ht="15.75" customHeight="1" x14ac:dyDescent="0.2">
      <c r="K2502"/>
    </row>
    <row r="2503" spans="11:11" ht="15.75" customHeight="1" x14ac:dyDescent="0.2">
      <c r="K2503"/>
    </row>
    <row r="2504" spans="11:11" ht="15.75" customHeight="1" x14ac:dyDescent="0.2">
      <c r="K2504"/>
    </row>
    <row r="2505" spans="11:11" ht="15.75" customHeight="1" x14ac:dyDescent="0.2">
      <c r="K2505"/>
    </row>
    <row r="2506" spans="11:11" ht="15.75" customHeight="1" x14ac:dyDescent="0.2">
      <c r="K2506"/>
    </row>
    <row r="2507" spans="11:11" ht="15.75" customHeight="1" x14ac:dyDescent="0.2">
      <c r="K2507"/>
    </row>
    <row r="2508" spans="11:11" ht="15.75" customHeight="1" x14ac:dyDescent="0.2">
      <c r="K2508"/>
    </row>
    <row r="2509" spans="11:11" ht="15.75" customHeight="1" x14ac:dyDescent="0.2">
      <c r="K2509"/>
    </row>
    <row r="2510" spans="11:11" ht="15.75" customHeight="1" x14ac:dyDescent="0.2">
      <c r="K2510"/>
    </row>
    <row r="2511" spans="11:11" ht="15.75" customHeight="1" x14ac:dyDescent="0.2">
      <c r="K2511"/>
    </row>
    <row r="2512" spans="11:11" ht="15.75" customHeight="1" x14ac:dyDescent="0.2">
      <c r="K2512"/>
    </row>
    <row r="2513" spans="11:11" ht="15.75" customHeight="1" x14ac:dyDescent="0.2">
      <c r="K2513"/>
    </row>
    <row r="2514" spans="11:11" ht="15.75" customHeight="1" x14ac:dyDescent="0.2">
      <c r="K2514"/>
    </row>
    <row r="2515" spans="11:11" ht="15.75" customHeight="1" x14ac:dyDescent="0.2">
      <c r="K2515"/>
    </row>
    <row r="2516" spans="11:11" ht="15.75" customHeight="1" x14ac:dyDescent="0.2">
      <c r="K2516"/>
    </row>
    <row r="2517" spans="11:11" ht="15.75" customHeight="1" x14ac:dyDescent="0.2">
      <c r="K2517"/>
    </row>
    <row r="2518" spans="11:11" ht="15.75" customHeight="1" x14ac:dyDescent="0.2">
      <c r="K2518"/>
    </row>
    <row r="2519" spans="11:11" ht="15.75" customHeight="1" x14ac:dyDescent="0.2">
      <c r="K2519"/>
    </row>
    <row r="2520" spans="11:11" ht="15.75" customHeight="1" x14ac:dyDescent="0.2">
      <c r="K2520"/>
    </row>
    <row r="2521" spans="11:11" ht="15.75" customHeight="1" x14ac:dyDescent="0.2">
      <c r="K2521"/>
    </row>
    <row r="2522" spans="11:11" ht="15.75" customHeight="1" x14ac:dyDescent="0.2">
      <c r="K2522"/>
    </row>
    <row r="2523" spans="11:11" ht="15.75" customHeight="1" x14ac:dyDescent="0.2">
      <c r="K2523"/>
    </row>
    <row r="2524" spans="11:11" ht="15.75" customHeight="1" x14ac:dyDescent="0.2">
      <c r="K2524"/>
    </row>
    <row r="2525" spans="11:11" ht="15.75" customHeight="1" x14ac:dyDescent="0.2">
      <c r="K2525"/>
    </row>
    <row r="2526" spans="11:11" ht="15.75" customHeight="1" x14ac:dyDescent="0.2">
      <c r="K2526"/>
    </row>
    <row r="2527" spans="11:11" ht="15.75" customHeight="1" x14ac:dyDescent="0.2">
      <c r="K2527"/>
    </row>
    <row r="2528" spans="11:11" ht="15.75" customHeight="1" x14ac:dyDescent="0.2">
      <c r="K2528"/>
    </row>
    <row r="2529" spans="11:11" ht="15.75" customHeight="1" x14ac:dyDescent="0.2">
      <c r="K2529"/>
    </row>
    <row r="2530" spans="11:11" ht="15.75" customHeight="1" x14ac:dyDescent="0.2">
      <c r="K2530"/>
    </row>
    <row r="2531" spans="11:11" ht="15.75" customHeight="1" x14ac:dyDescent="0.2">
      <c r="K2531"/>
    </row>
    <row r="2532" spans="11:11" ht="15.75" customHeight="1" x14ac:dyDescent="0.2">
      <c r="K2532"/>
    </row>
    <row r="2533" spans="11:11" ht="15.75" customHeight="1" x14ac:dyDescent="0.2">
      <c r="K2533"/>
    </row>
    <row r="2534" spans="11:11" ht="15.75" customHeight="1" x14ac:dyDescent="0.2">
      <c r="K2534"/>
    </row>
    <row r="2535" spans="11:11" ht="15.75" customHeight="1" x14ac:dyDescent="0.2">
      <c r="K2535"/>
    </row>
    <row r="2536" spans="11:11" ht="15.75" customHeight="1" x14ac:dyDescent="0.2">
      <c r="K2536"/>
    </row>
    <row r="2537" spans="11:11" ht="15.75" customHeight="1" x14ac:dyDescent="0.2">
      <c r="K2537"/>
    </row>
    <row r="2538" spans="11:11" ht="15.75" customHeight="1" x14ac:dyDescent="0.2">
      <c r="K2538"/>
    </row>
    <row r="2539" spans="11:11" ht="15.75" customHeight="1" x14ac:dyDescent="0.2">
      <c r="K2539"/>
    </row>
    <row r="2540" spans="11:11" ht="15.75" customHeight="1" x14ac:dyDescent="0.2">
      <c r="K2540"/>
    </row>
    <row r="2541" spans="11:11" ht="15.75" customHeight="1" x14ac:dyDescent="0.2">
      <c r="K2541"/>
    </row>
    <row r="2542" spans="11:11" ht="15.75" customHeight="1" x14ac:dyDescent="0.2">
      <c r="K2542"/>
    </row>
    <row r="2543" spans="11:11" ht="15.75" customHeight="1" x14ac:dyDescent="0.2">
      <c r="K2543"/>
    </row>
    <row r="2544" spans="11:11" ht="15.75" customHeight="1" x14ac:dyDescent="0.2">
      <c r="K2544"/>
    </row>
    <row r="2545" spans="11:11" ht="15.75" customHeight="1" x14ac:dyDescent="0.2">
      <c r="K2545"/>
    </row>
    <row r="2546" spans="11:11" ht="15.75" customHeight="1" x14ac:dyDescent="0.2">
      <c r="K2546"/>
    </row>
    <row r="2547" spans="11:11" ht="15.75" customHeight="1" x14ac:dyDescent="0.2">
      <c r="K2547"/>
    </row>
    <row r="2548" spans="11:11" ht="15.75" customHeight="1" x14ac:dyDescent="0.2">
      <c r="K2548"/>
    </row>
    <row r="2549" spans="11:11" ht="15.75" customHeight="1" x14ac:dyDescent="0.2">
      <c r="K2549"/>
    </row>
    <row r="2550" spans="11:11" ht="15.75" customHeight="1" x14ac:dyDescent="0.2">
      <c r="K2550"/>
    </row>
    <row r="2551" spans="11:11" ht="15.75" customHeight="1" x14ac:dyDescent="0.2">
      <c r="K2551"/>
    </row>
    <row r="2552" spans="11:11" ht="15.75" customHeight="1" x14ac:dyDescent="0.2">
      <c r="K2552"/>
    </row>
    <row r="2553" spans="11:11" ht="15.75" customHeight="1" x14ac:dyDescent="0.2">
      <c r="K2553"/>
    </row>
    <row r="2554" spans="11:11" ht="15.75" customHeight="1" x14ac:dyDescent="0.2">
      <c r="K2554"/>
    </row>
    <row r="2555" spans="11:11" ht="15.75" customHeight="1" x14ac:dyDescent="0.2">
      <c r="K2555"/>
    </row>
    <row r="2556" spans="11:11" ht="15.75" customHeight="1" x14ac:dyDescent="0.2">
      <c r="K2556"/>
    </row>
    <row r="2557" spans="11:11" ht="15.75" customHeight="1" x14ac:dyDescent="0.2">
      <c r="K2557"/>
    </row>
    <row r="2558" spans="11:11" ht="15.75" customHeight="1" x14ac:dyDescent="0.2">
      <c r="K2558"/>
    </row>
    <row r="2559" spans="11:11" ht="15.75" customHeight="1" x14ac:dyDescent="0.2">
      <c r="K2559"/>
    </row>
    <row r="2560" spans="11:11" ht="15.75" customHeight="1" x14ac:dyDescent="0.2">
      <c r="K2560"/>
    </row>
    <row r="2561" spans="11:11" ht="15.75" customHeight="1" x14ac:dyDescent="0.2">
      <c r="K2561"/>
    </row>
    <row r="2562" spans="11:11" ht="15.75" customHeight="1" x14ac:dyDescent="0.2">
      <c r="K2562"/>
    </row>
    <row r="2563" spans="11:11" ht="15.75" customHeight="1" x14ac:dyDescent="0.2">
      <c r="K2563"/>
    </row>
    <row r="2564" spans="11:11" ht="15.75" customHeight="1" x14ac:dyDescent="0.2">
      <c r="K2564"/>
    </row>
    <row r="2565" spans="11:11" ht="15.75" customHeight="1" x14ac:dyDescent="0.2">
      <c r="K2565"/>
    </row>
    <row r="2566" spans="11:11" ht="15.75" customHeight="1" x14ac:dyDescent="0.2">
      <c r="K2566"/>
    </row>
    <row r="2567" spans="11:11" ht="15.75" customHeight="1" x14ac:dyDescent="0.2">
      <c r="K2567"/>
    </row>
    <row r="2568" spans="11:11" ht="15.75" customHeight="1" x14ac:dyDescent="0.2">
      <c r="K2568"/>
    </row>
    <row r="2569" spans="11:11" ht="15.75" customHeight="1" x14ac:dyDescent="0.2">
      <c r="K2569"/>
    </row>
    <row r="2570" spans="11:11" ht="15.75" customHeight="1" x14ac:dyDescent="0.2">
      <c r="K2570"/>
    </row>
    <row r="2571" spans="11:11" ht="15.75" customHeight="1" x14ac:dyDescent="0.2">
      <c r="K2571"/>
    </row>
    <row r="2572" spans="11:11" ht="15.75" customHeight="1" x14ac:dyDescent="0.2">
      <c r="K2572"/>
    </row>
    <row r="2573" spans="11:11" ht="15.75" customHeight="1" x14ac:dyDescent="0.2">
      <c r="K2573"/>
    </row>
    <row r="2574" spans="11:11" ht="15.75" customHeight="1" x14ac:dyDescent="0.2">
      <c r="K2574"/>
    </row>
    <row r="2575" spans="11:11" ht="15.75" customHeight="1" x14ac:dyDescent="0.2">
      <c r="K2575"/>
    </row>
    <row r="2576" spans="11:11" ht="15.75" customHeight="1" x14ac:dyDescent="0.2">
      <c r="K2576"/>
    </row>
    <row r="2577" spans="11:11" ht="15.75" customHeight="1" x14ac:dyDescent="0.2">
      <c r="K2577"/>
    </row>
    <row r="2578" spans="11:11" ht="15.75" customHeight="1" x14ac:dyDescent="0.2">
      <c r="K2578"/>
    </row>
    <row r="2579" spans="11:11" ht="15.75" customHeight="1" x14ac:dyDescent="0.2">
      <c r="K2579"/>
    </row>
    <row r="2580" spans="11:11" ht="15.75" customHeight="1" x14ac:dyDescent="0.2">
      <c r="K2580"/>
    </row>
    <row r="2581" spans="11:11" ht="15.75" customHeight="1" x14ac:dyDescent="0.2">
      <c r="K2581"/>
    </row>
    <row r="2582" spans="11:11" ht="15.75" customHeight="1" x14ac:dyDescent="0.2">
      <c r="K2582"/>
    </row>
    <row r="2583" spans="11:11" ht="15.75" customHeight="1" x14ac:dyDescent="0.2">
      <c r="K2583"/>
    </row>
    <row r="2584" spans="11:11" ht="15.75" customHeight="1" x14ac:dyDescent="0.2">
      <c r="K2584"/>
    </row>
    <row r="2585" spans="11:11" ht="15.75" customHeight="1" x14ac:dyDescent="0.2">
      <c r="K2585"/>
    </row>
    <row r="2586" spans="11:11" ht="15.75" customHeight="1" x14ac:dyDescent="0.2">
      <c r="K2586"/>
    </row>
    <row r="2587" spans="11:11" ht="15.75" customHeight="1" x14ac:dyDescent="0.2">
      <c r="K2587"/>
    </row>
    <row r="2588" spans="11:11" ht="15.75" customHeight="1" x14ac:dyDescent="0.2">
      <c r="K2588"/>
    </row>
    <row r="2589" spans="11:11" ht="15.75" customHeight="1" x14ac:dyDescent="0.2">
      <c r="K2589"/>
    </row>
    <row r="2590" spans="11:11" ht="15.75" customHeight="1" x14ac:dyDescent="0.2">
      <c r="K2590"/>
    </row>
    <row r="2591" spans="11:11" ht="15.75" customHeight="1" x14ac:dyDescent="0.2">
      <c r="K2591"/>
    </row>
    <row r="2592" spans="11:11" ht="15.75" customHeight="1" x14ac:dyDescent="0.2">
      <c r="K2592"/>
    </row>
    <row r="2593" spans="11:11" ht="15.75" customHeight="1" x14ac:dyDescent="0.2">
      <c r="K2593"/>
    </row>
    <row r="2594" spans="11:11" ht="15.75" customHeight="1" x14ac:dyDescent="0.2">
      <c r="K2594"/>
    </row>
    <row r="2595" spans="11:11" ht="15.75" customHeight="1" x14ac:dyDescent="0.2">
      <c r="K2595"/>
    </row>
    <row r="2596" spans="11:11" ht="15.75" customHeight="1" x14ac:dyDescent="0.2">
      <c r="K2596"/>
    </row>
    <row r="2597" spans="11:11" ht="15.75" customHeight="1" x14ac:dyDescent="0.2">
      <c r="K2597"/>
    </row>
    <row r="2598" spans="11:11" ht="15.75" customHeight="1" x14ac:dyDescent="0.2">
      <c r="K2598"/>
    </row>
    <row r="2599" spans="11:11" ht="15.75" customHeight="1" x14ac:dyDescent="0.2">
      <c r="K2599"/>
    </row>
    <row r="2600" spans="11:11" ht="15.75" customHeight="1" x14ac:dyDescent="0.2">
      <c r="K2600"/>
    </row>
    <row r="2601" spans="11:11" ht="15.75" customHeight="1" x14ac:dyDescent="0.2">
      <c r="K2601"/>
    </row>
    <row r="2602" spans="11:11" ht="15.75" customHeight="1" x14ac:dyDescent="0.2">
      <c r="K2602"/>
    </row>
    <row r="2603" spans="11:11" ht="15.75" customHeight="1" x14ac:dyDescent="0.2">
      <c r="K2603"/>
    </row>
    <row r="2604" spans="11:11" ht="15.75" customHeight="1" x14ac:dyDescent="0.2">
      <c r="K2604"/>
    </row>
    <row r="2605" spans="11:11" ht="15.75" customHeight="1" x14ac:dyDescent="0.2">
      <c r="K2605"/>
    </row>
    <row r="2606" spans="11:11" ht="15.75" customHeight="1" x14ac:dyDescent="0.2">
      <c r="K2606"/>
    </row>
    <row r="2607" spans="11:11" ht="15.75" customHeight="1" x14ac:dyDescent="0.2">
      <c r="K2607"/>
    </row>
    <row r="2608" spans="11:11" ht="15.75" customHeight="1" x14ac:dyDescent="0.2">
      <c r="K2608"/>
    </row>
    <row r="2609" spans="11:11" ht="15.75" customHeight="1" x14ac:dyDescent="0.2">
      <c r="K2609"/>
    </row>
    <row r="2610" spans="11:11" ht="15.75" customHeight="1" x14ac:dyDescent="0.2">
      <c r="K2610"/>
    </row>
    <row r="2611" spans="11:11" ht="15.75" customHeight="1" x14ac:dyDescent="0.2">
      <c r="K2611"/>
    </row>
    <row r="2612" spans="11:11" ht="15.75" customHeight="1" x14ac:dyDescent="0.2">
      <c r="K2612"/>
    </row>
    <row r="2613" spans="11:11" ht="15.75" customHeight="1" x14ac:dyDescent="0.2">
      <c r="K2613"/>
    </row>
    <row r="2614" spans="11:11" ht="15.75" customHeight="1" x14ac:dyDescent="0.2">
      <c r="K2614"/>
    </row>
    <row r="2615" spans="11:11" ht="15.75" customHeight="1" x14ac:dyDescent="0.2">
      <c r="K2615"/>
    </row>
    <row r="2616" spans="11:11" ht="15.75" customHeight="1" x14ac:dyDescent="0.2">
      <c r="K2616"/>
    </row>
    <row r="2617" spans="11:11" ht="15.75" customHeight="1" x14ac:dyDescent="0.2">
      <c r="K2617"/>
    </row>
    <row r="2618" spans="11:11" ht="15.75" customHeight="1" x14ac:dyDescent="0.2">
      <c r="K2618"/>
    </row>
    <row r="2619" spans="11:11" ht="15.75" customHeight="1" x14ac:dyDescent="0.2">
      <c r="K2619"/>
    </row>
    <row r="2620" spans="11:11" ht="15.75" customHeight="1" x14ac:dyDescent="0.2">
      <c r="K2620"/>
    </row>
    <row r="2621" spans="11:11" ht="15.75" customHeight="1" x14ac:dyDescent="0.2">
      <c r="K2621"/>
    </row>
    <row r="2622" spans="11:11" ht="15.75" customHeight="1" x14ac:dyDescent="0.2">
      <c r="K2622"/>
    </row>
    <row r="2623" spans="11:11" ht="15.75" customHeight="1" x14ac:dyDescent="0.2">
      <c r="K2623"/>
    </row>
    <row r="2624" spans="11:11" ht="15.75" customHeight="1" x14ac:dyDescent="0.2">
      <c r="K2624"/>
    </row>
    <row r="2625" spans="11:11" ht="15.75" customHeight="1" x14ac:dyDescent="0.2">
      <c r="K2625"/>
    </row>
    <row r="2626" spans="11:11" ht="15.75" customHeight="1" x14ac:dyDescent="0.2">
      <c r="K2626"/>
    </row>
    <row r="2627" spans="11:11" ht="15.75" customHeight="1" x14ac:dyDescent="0.2">
      <c r="K2627"/>
    </row>
    <row r="2628" spans="11:11" ht="15.75" customHeight="1" x14ac:dyDescent="0.2">
      <c r="K2628"/>
    </row>
    <row r="2629" spans="11:11" ht="15.75" customHeight="1" x14ac:dyDescent="0.2">
      <c r="K2629"/>
    </row>
    <row r="2630" spans="11:11" ht="15.75" customHeight="1" x14ac:dyDescent="0.2">
      <c r="K2630"/>
    </row>
    <row r="2631" spans="11:11" ht="15.75" customHeight="1" x14ac:dyDescent="0.2">
      <c r="K2631"/>
    </row>
    <row r="2632" spans="11:11" ht="15.75" customHeight="1" x14ac:dyDescent="0.2">
      <c r="K2632"/>
    </row>
    <row r="2633" spans="11:11" ht="15.75" customHeight="1" x14ac:dyDescent="0.2">
      <c r="K2633"/>
    </row>
    <row r="2634" spans="11:11" ht="15.75" customHeight="1" x14ac:dyDescent="0.2">
      <c r="K2634"/>
    </row>
    <row r="2635" spans="11:11" ht="15.75" customHeight="1" x14ac:dyDescent="0.2">
      <c r="K2635"/>
    </row>
    <row r="2636" spans="11:11" ht="15.75" customHeight="1" x14ac:dyDescent="0.2">
      <c r="K2636"/>
    </row>
    <row r="2637" spans="11:11" ht="15.75" customHeight="1" x14ac:dyDescent="0.2">
      <c r="K2637"/>
    </row>
    <row r="2638" spans="11:11" ht="15.75" customHeight="1" x14ac:dyDescent="0.2">
      <c r="K2638"/>
    </row>
    <row r="2639" spans="11:11" ht="15.75" customHeight="1" x14ac:dyDescent="0.2">
      <c r="K2639"/>
    </row>
    <row r="2640" spans="11:11" ht="15.75" customHeight="1" x14ac:dyDescent="0.2">
      <c r="K2640"/>
    </row>
    <row r="2641" spans="11:11" ht="15.75" customHeight="1" x14ac:dyDescent="0.2">
      <c r="K2641"/>
    </row>
    <row r="2642" spans="11:11" ht="15.75" customHeight="1" x14ac:dyDescent="0.2">
      <c r="K2642"/>
    </row>
    <row r="2643" spans="11:11" ht="15.75" customHeight="1" x14ac:dyDescent="0.2">
      <c r="K2643"/>
    </row>
    <row r="2644" spans="11:11" ht="15.75" customHeight="1" x14ac:dyDescent="0.2">
      <c r="K2644"/>
    </row>
    <row r="2645" spans="11:11" ht="15.75" customHeight="1" x14ac:dyDescent="0.2">
      <c r="K2645"/>
    </row>
    <row r="2646" spans="11:11" ht="15.75" customHeight="1" x14ac:dyDescent="0.2">
      <c r="K2646"/>
    </row>
    <row r="2647" spans="11:11" ht="15.75" customHeight="1" x14ac:dyDescent="0.2">
      <c r="K2647"/>
    </row>
    <row r="2648" spans="11:11" ht="15.75" customHeight="1" x14ac:dyDescent="0.2">
      <c r="K2648"/>
    </row>
    <row r="2649" spans="11:11" ht="15.75" customHeight="1" x14ac:dyDescent="0.2">
      <c r="K2649"/>
    </row>
    <row r="2650" spans="11:11" ht="15.75" customHeight="1" x14ac:dyDescent="0.2">
      <c r="K2650"/>
    </row>
    <row r="2651" spans="11:11" ht="15.75" customHeight="1" x14ac:dyDescent="0.2">
      <c r="K2651"/>
    </row>
    <row r="2652" spans="11:11" ht="15.75" customHeight="1" x14ac:dyDescent="0.2">
      <c r="K2652"/>
    </row>
    <row r="2653" spans="11:11" ht="15.75" customHeight="1" x14ac:dyDescent="0.2">
      <c r="K2653"/>
    </row>
    <row r="2654" spans="11:11" ht="15.75" customHeight="1" x14ac:dyDescent="0.2">
      <c r="K2654"/>
    </row>
    <row r="2655" spans="11:11" ht="15.75" customHeight="1" x14ac:dyDescent="0.2">
      <c r="K2655"/>
    </row>
    <row r="2656" spans="11:11" ht="15.75" customHeight="1" x14ac:dyDescent="0.2">
      <c r="K2656"/>
    </row>
    <row r="2657" spans="11:11" ht="15.75" customHeight="1" x14ac:dyDescent="0.2">
      <c r="K2657"/>
    </row>
    <row r="2658" spans="11:11" ht="15.75" customHeight="1" x14ac:dyDescent="0.2">
      <c r="K2658"/>
    </row>
    <row r="2659" spans="11:11" ht="15.75" customHeight="1" x14ac:dyDescent="0.2">
      <c r="K2659"/>
    </row>
    <row r="2660" spans="11:11" ht="15.75" customHeight="1" x14ac:dyDescent="0.2">
      <c r="K2660"/>
    </row>
    <row r="2661" spans="11:11" ht="15.75" customHeight="1" x14ac:dyDescent="0.2">
      <c r="K2661"/>
    </row>
    <row r="2662" spans="11:11" ht="15.75" customHeight="1" x14ac:dyDescent="0.2">
      <c r="K2662"/>
    </row>
    <row r="2663" spans="11:11" ht="15.75" customHeight="1" x14ac:dyDescent="0.2">
      <c r="K2663"/>
    </row>
    <row r="2664" spans="11:11" ht="15.75" customHeight="1" x14ac:dyDescent="0.2">
      <c r="K2664"/>
    </row>
    <row r="2665" spans="11:11" ht="15.75" customHeight="1" x14ac:dyDescent="0.2">
      <c r="K2665"/>
    </row>
    <row r="2666" spans="11:11" ht="15.75" customHeight="1" x14ac:dyDescent="0.2">
      <c r="K2666"/>
    </row>
    <row r="2667" spans="11:11" ht="15.75" customHeight="1" x14ac:dyDescent="0.2">
      <c r="K2667"/>
    </row>
    <row r="2668" spans="11:11" ht="15.75" customHeight="1" x14ac:dyDescent="0.2">
      <c r="K2668"/>
    </row>
    <row r="2669" spans="11:11" ht="15.75" customHeight="1" x14ac:dyDescent="0.2">
      <c r="K2669"/>
    </row>
    <row r="2670" spans="11:11" ht="15.75" customHeight="1" x14ac:dyDescent="0.2">
      <c r="K2670"/>
    </row>
    <row r="2671" spans="11:11" ht="15.75" customHeight="1" x14ac:dyDescent="0.2">
      <c r="K2671"/>
    </row>
    <row r="2672" spans="11:11" ht="15.75" customHeight="1" x14ac:dyDescent="0.2">
      <c r="K2672"/>
    </row>
    <row r="2673" spans="11:11" ht="15.75" customHeight="1" x14ac:dyDescent="0.2">
      <c r="K2673"/>
    </row>
    <row r="2674" spans="11:11" ht="15.75" customHeight="1" x14ac:dyDescent="0.2">
      <c r="K2674"/>
    </row>
    <row r="2675" spans="11:11" ht="15.75" customHeight="1" x14ac:dyDescent="0.2">
      <c r="K2675"/>
    </row>
    <row r="2676" spans="11:11" ht="15.75" customHeight="1" x14ac:dyDescent="0.2">
      <c r="K2676"/>
    </row>
    <row r="2677" spans="11:11" ht="15.75" customHeight="1" x14ac:dyDescent="0.2">
      <c r="K2677"/>
    </row>
    <row r="2678" spans="11:11" ht="15.75" customHeight="1" x14ac:dyDescent="0.2">
      <c r="K2678"/>
    </row>
    <row r="2679" spans="11:11" ht="15.75" customHeight="1" x14ac:dyDescent="0.2">
      <c r="K2679"/>
    </row>
    <row r="2680" spans="11:11" ht="15.75" customHeight="1" x14ac:dyDescent="0.2">
      <c r="K2680"/>
    </row>
    <row r="2681" spans="11:11" ht="15.75" customHeight="1" x14ac:dyDescent="0.2">
      <c r="K2681"/>
    </row>
    <row r="2682" spans="11:11" ht="15.75" customHeight="1" x14ac:dyDescent="0.2">
      <c r="K2682"/>
    </row>
    <row r="2683" spans="11:11" ht="15.75" customHeight="1" x14ac:dyDescent="0.2">
      <c r="K2683"/>
    </row>
    <row r="2684" spans="11:11" ht="15.75" customHeight="1" x14ac:dyDescent="0.2">
      <c r="K2684"/>
    </row>
    <row r="2685" spans="11:11" ht="15.75" customHeight="1" x14ac:dyDescent="0.2">
      <c r="K2685"/>
    </row>
    <row r="2686" spans="11:11" ht="15.75" customHeight="1" x14ac:dyDescent="0.2">
      <c r="K2686"/>
    </row>
    <row r="2687" spans="11:11" ht="15.75" customHeight="1" x14ac:dyDescent="0.2">
      <c r="K2687"/>
    </row>
    <row r="2688" spans="11:11" ht="15.75" customHeight="1" x14ac:dyDescent="0.2">
      <c r="K2688"/>
    </row>
    <row r="2689" spans="11:11" ht="15.75" customHeight="1" x14ac:dyDescent="0.2">
      <c r="K2689"/>
    </row>
    <row r="2690" spans="11:11" ht="15.75" customHeight="1" x14ac:dyDescent="0.2">
      <c r="K2690"/>
    </row>
    <row r="2691" spans="11:11" ht="15.75" customHeight="1" x14ac:dyDescent="0.2">
      <c r="K2691"/>
    </row>
    <row r="2692" spans="11:11" ht="15.75" customHeight="1" x14ac:dyDescent="0.2">
      <c r="K2692"/>
    </row>
    <row r="2693" spans="11:11" ht="15.75" customHeight="1" x14ac:dyDescent="0.2">
      <c r="K2693"/>
    </row>
    <row r="2694" spans="11:11" ht="15.75" customHeight="1" x14ac:dyDescent="0.2">
      <c r="K2694"/>
    </row>
    <row r="2695" spans="11:11" ht="15.75" customHeight="1" x14ac:dyDescent="0.2">
      <c r="K2695"/>
    </row>
    <row r="2696" spans="11:11" ht="15.75" customHeight="1" x14ac:dyDescent="0.2">
      <c r="K2696"/>
    </row>
    <row r="2697" spans="11:11" ht="15.75" customHeight="1" x14ac:dyDescent="0.2">
      <c r="K2697"/>
    </row>
    <row r="2698" spans="11:11" ht="15.75" customHeight="1" x14ac:dyDescent="0.2">
      <c r="K2698"/>
    </row>
    <row r="2699" spans="11:11" ht="15.75" customHeight="1" x14ac:dyDescent="0.2">
      <c r="K2699"/>
    </row>
    <row r="2700" spans="11:11" ht="15.75" customHeight="1" x14ac:dyDescent="0.2">
      <c r="K2700"/>
    </row>
    <row r="2701" spans="11:11" ht="15.75" customHeight="1" x14ac:dyDescent="0.2">
      <c r="K2701"/>
    </row>
    <row r="2702" spans="11:11" ht="15.75" customHeight="1" x14ac:dyDescent="0.2">
      <c r="K2702"/>
    </row>
    <row r="2703" spans="11:11" ht="15.75" customHeight="1" x14ac:dyDescent="0.2">
      <c r="K2703"/>
    </row>
    <row r="2704" spans="11:11" ht="15.75" customHeight="1" x14ac:dyDescent="0.2">
      <c r="K2704"/>
    </row>
    <row r="2705" spans="3:11" ht="15.75" customHeight="1" x14ac:dyDescent="0.2">
      <c r="K2705"/>
    </row>
    <row r="2706" spans="3:11" ht="15.75" customHeight="1" x14ac:dyDescent="0.2">
      <c r="K2706"/>
    </row>
    <row r="2707" spans="3:11" ht="15.75" customHeight="1" x14ac:dyDescent="0.2">
      <c r="C2707" s="27"/>
    </row>
    <row r="2708" spans="3:11" ht="15.75" customHeight="1" x14ac:dyDescent="0.2">
      <c r="C2708" s="27"/>
    </row>
    <row r="2709" spans="3:11" ht="15.75" customHeight="1" x14ac:dyDescent="0.2">
      <c r="C2709" s="27"/>
    </row>
    <row r="2710" spans="3:11" ht="15.75" customHeight="1" x14ac:dyDescent="0.2">
      <c r="C2710" s="27"/>
    </row>
    <row r="2711" spans="3:11" ht="15.75" customHeight="1" x14ac:dyDescent="0.2">
      <c r="C2711" s="27"/>
    </row>
    <row r="2712" spans="3:11" ht="15.75" customHeight="1" x14ac:dyDescent="0.2">
      <c r="C2712" s="27"/>
    </row>
    <row r="2713" spans="3:11" ht="15.75" customHeight="1" x14ac:dyDescent="0.2">
      <c r="C2713" s="27"/>
    </row>
    <row r="2714" spans="3:11" ht="15.75" customHeight="1" x14ac:dyDescent="0.2">
      <c r="C2714" s="27"/>
    </row>
    <row r="2715" spans="3:11" ht="15.75" customHeight="1" x14ac:dyDescent="0.2">
      <c r="C2715" s="27"/>
    </row>
    <row r="2716" spans="3:11" ht="15.75" customHeight="1" x14ac:dyDescent="0.2">
      <c r="C2716" s="27"/>
    </row>
    <row r="2717" spans="3:11" ht="15.75" customHeight="1" x14ac:dyDescent="0.2">
      <c r="C2717" s="27"/>
    </row>
    <row r="2718" spans="3:11" ht="15.75" customHeight="1" x14ac:dyDescent="0.2">
      <c r="C2718" s="27"/>
    </row>
    <row r="2719" spans="3:11" ht="15.75" customHeight="1" x14ac:dyDescent="0.2">
      <c r="C2719" s="27"/>
    </row>
    <row r="2720" spans="3:11" ht="15.75" customHeight="1" x14ac:dyDescent="0.2">
      <c r="C2720" s="27"/>
    </row>
    <row r="2721" spans="3:3" ht="15.75" customHeight="1" x14ac:dyDescent="0.2">
      <c r="C2721" s="27"/>
    </row>
    <row r="2722" spans="3:3" ht="15.75" customHeight="1" x14ac:dyDescent="0.2">
      <c r="C2722" s="27"/>
    </row>
    <row r="2723" spans="3:3" ht="15.75" customHeight="1" x14ac:dyDescent="0.2">
      <c r="C2723" s="27"/>
    </row>
    <row r="2724" spans="3:3" ht="15.75" customHeight="1" x14ac:dyDescent="0.2">
      <c r="C2724" s="27"/>
    </row>
    <row r="2725" spans="3:3" ht="15.75" customHeight="1" x14ac:dyDescent="0.2">
      <c r="C2725" s="27"/>
    </row>
    <row r="2726" spans="3:3" ht="15.75" customHeight="1" x14ac:dyDescent="0.2">
      <c r="C2726" s="27"/>
    </row>
    <row r="2727" spans="3:3" ht="15.75" customHeight="1" x14ac:dyDescent="0.2">
      <c r="C2727" s="27"/>
    </row>
    <row r="2728" spans="3:3" ht="15.75" customHeight="1" x14ac:dyDescent="0.2">
      <c r="C2728" s="27"/>
    </row>
    <row r="2729" spans="3:3" ht="15.75" customHeight="1" x14ac:dyDescent="0.2">
      <c r="C2729" s="27"/>
    </row>
    <row r="2730" spans="3:3" ht="15.75" customHeight="1" x14ac:dyDescent="0.2">
      <c r="C2730" s="27"/>
    </row>
    <row r="2731" spans="3:3" ht="15.75" customHeight="1" x14ac:dyDescent="0.2">
      <c r="C2731" s="27"/>
    </row>
    <row r="2732" spans="3:3" ht="15.75" customHeight="1" x14ac:dyDescent="0.2">
      <c r="C2732" s="27"/>
    </row>
    <row r="2733" spans="3:3" ht="15.75" customHeight="1" x14ac:dyDescent="0.2">
      <c r="C2733" s="27"/>
    </row>
    <row r="2734" spans="3:3" ht="15.75" customHeight="1" x14ac:dyDescent="0.2">
      <c r="C2734" s="27"/>
    </row>
    <row r="2735" spans="3:3" ht="15.75" customHeight="1" x14ac:dyDescent="0.2">
      <c r="C2735" s="27"/>
    </row>
    <row r="2736" spans="3:3" ht="15.75" customHeight="1" x14ac:dyDescent="0.2">
      <c r="C2736" s="27"/>
    </row>
    <row r="2737" spans="3:3" ht="15.75" customHeight="1" x14ac:dyDescent="0.2">
      <c r="C2737" s="27"/>
    </row>
    <row r="2738" spans="3:3" ht="15.75" customHeight="1" x14ac:dyDescent="0.2">
      <c r="C2738" s="27"/>
    </row>
    <row r="2739" spans="3:3" ht="15.75" customHeight="1" x14ac:dyDescent="0.2">
      <c r="C2739" s="27"/>
    </row>
    <row r="2740" spans="3:3" ht="15.75" customHeight="1" x14ac:dyDescent="0.2">
      <c r="C2740" s="27"/>
    </row>
    <row r="2741" spans="3:3" ht="15.75" customHeight="1" x14ac:dyDescent="0.2">
      <c r="C2741" s="27"/>
    </row>
    <row r="2742" spans="3:3" ht="15.75" customHeight="1" x14ac:dyDescent="0.2">
      <c r="C2742" s="27"/>
    </row>
    <row r="2743" spans="3:3" ht="15.75" customHeight="1" x14ac:dyDescent="0.2">
      <c r="C2743" s="27"/>
    </row>
    <row r="2744" spans="3:3" ht="15.75" customHeight="1" x14ac:dyDescent="0.2">
      <c r="C2744" s="27"/>
    </row>
    <row r="2745" spans="3:3" ht="15.75" customHeight="1" x14ac:dyDescent="0.2">
      <c r="C2745" s="27"/>
    </row>
    <row r="2746" spans="3:3" ht="15.75" customHeight="1" x14ac:dyDescent="0.2">
      <c r="C2746" s="27"/>
    </row>
    <row r="2747" spans="3:3" ht="15.75" customHeight="1" x14ac:dyDescent="0.2">
      <c r="C2747" s="27"/>
    </row>
    <row r="2748" spans="3:3" ht="15.75" customHeight="1" x14ac:dyDescent="0.2">
      <c r="C2748" s="27"/>
    </row>
    <row r="2749" spans="3:3" ht="15.75" customHeight="1" x14ac:dyDescent="0.2">
      <c r="C2749" s="27"/>
    </row>
    <row r="2750" spans="3:3" ht="15.75" customHeight="1" x14ac:dyDescent="0.2">
      <c r="C2750" s="27"/>
    </row>
    <row r="2751" spans="3:3" ht="15.75" customHeight="1" x14ac:dyDescent="0.2">
      <c r="C2751" s="27"/>
    </row>
    <row r="2752" spans="3:3" ht="15.75" customHeight="1" x14ac:dyDescent="0.2">
      <c r="C2752" s="27"/>
    </row>
    <row r="2753" spans="3:3" ht="15.75" customHeight="1" x14ac:dyDescent="0.2">
      <c r="C2753" s="27"/>
    </row>
    <row r="2754" spans="3:3" ht="15.75" customHeight="1" x14ac:dyDescent="0.2">
      <c r="C2754" s="27"/>
    </row>
    <row r="2755" spans="3:3" ht="15.75" customHeight="1" x14ac:dyDescent="0.2">
      <c r="C2755" s="27"/>
    </row>
    <row r="2756" spans="3:3" ht="15.75" customHeight="1" x14ac:dyDescent="0.2"/>
    <row r="2757" spans="3:3" ht="15.75" customHeight="1" x14ac:dyDescent="0.2"/>
    <row r="2758" spans="3:3" ht="15.75" customHeight="1" x14ac:dyDescent="0.2"/>
    <row r="2759" spans="3:3" ht="15.75" customHeight="1" x14ac:dyDescent="0.2"/>
    <row r="2760" spans="3:3" ht="15.75" customHeight="1" x14ac:dyDescent="0.2"/>
    <row r="2761" spans="3:3" ht="15.75" customHeight="1" x14ac:dyDescent="0.2"/>
    <row r="2762" spans="3:3" ht="15.75" customHeight="1" x14ac:dyDescent="0.2"/>
    <row r="2763" spans="3:3" ht="15.75" customHeight="1" x14ac:dyDescent="0.2"/>
    <row r="2764" spans="3:3" ht="15.75" customHeight="1" x14ac:dyDescent="0.2"/>
    <row r="2765" spans="3:3" ht="15.75" customHeight="1" x14ac:dyDescent="0.2"/>
    <row r="2766" spans="3:3" ht="15.75" customHeight="1" x14ac:dyDescent="0.2"/>
    <row r="2767" spans="3:3" ht="15.75" customHeight="1" x14ac:dyDescent="0.2"/>
    <row r="2768" spans="3:3" ht="15.75" customHeight="1" x14ac:dyDescent="0.2"/>
    <row r="2769" ht="15.75" customHeight="1" x14ac:dyDescent="0.2"/>
    <row r="2770" ht="15.75" customHeight="1" x14ac:dyDescent="0.2"/>
    <row r="2771" ht="15.75" customHeight="1" x14ac:dyDescent="0.2"/>
    <row r="2772" ht="15.75" customHeight="1" x14ac:dyDescent="0.2"/>
    <row r="2773" ht="15.75" customHeight="1" x14ac:dyDescent="0.2"/>
    <row r="2774" ht="15.75" customHeight="1" x14ac:dyDescent="0.2"/>
    <row r="2775" ht="15.75" customHeight="1" x14ac:dyDescent="0.2"/>
    <row r="2776" ht="15.75" customHeight="1" x14ac:dyDescent="0.2"/>
    <row r="2777" ht="15.75" customHeight="1" x14ac:dyDescent="0.2"/>
    <row r="2778" ht="15.75" customHeight="1" x14ac:dyDescent="0.2"/>
    <row r="2779" ht="15.75" customHeight="1" x14ac:dyDescent="0.2"/>
    <row r="2780" ht="15.75" customHeight="1" x14ac:dyDescent="0.2"/>
    <row r="2781" ht="15.75" customHeight="1" x14ac:dyDescent="0.2"/>
    <row r="2782" ht="15.75" customHeight="1" x14ac:dyDescent="0.2"/>
    <row r="2783" ht="15.75" customHeight="1" x14ac:dyDescent="0.2"/>
    <row r="2784" ht="15.75" customHeight="1" x14ac:dyDescent="0.2"/>
    <row r="2785" ht="15.75" customHeight="1" x14ac:dyDescent="0.2"/>
    <row r="2786" ht="15.75" customHeight="1" x14ac:dyDescent="0.2"/>
    <row r="2787" ht="15.75" customHeight="1" x14ac:dyDescent="0.2"/>
    <row r="2788" ht="15.75" customHeight="1" x14ac:dyDescent="0.2"/>
    <row r="2789" ht="15.75" customHeight="1" x14ac:dyDescent="0.2"/>
    <row r="2790" ht="15.75" customHeight="1" x14ac:dyDescent="0.2"/>
    <row r="2791" ht="15.75" customHeight="1" x14ac:dyDescent="0.2"/>
    <row r="2792" ht="15.75" customHeight="1" x14ac:dyDescent="0.2"/>
    <row r="2793" ht="15.75" customHeight="1" x14ac:dyDescent="0.2"/>
    <row r="2794" ht="15.75" customHeight="1" x14ac:dyDescent="0.2"/>
    <row r="2795" ht="15.75" customHeight="1" x14ac:dyDescent="0.2"/>
    <row r="2796" ht="15.75" customHeight="1" x14ac:dyDescent="0.2"/>
    <row r="2797" ht="15.75" customHeight="1" x14ac:dyDescent="0.2"/>
    <row r="2798" ht="15.75" customHeight="1" x14ac:dyDescent="0.2"/>
    <row r="2799" ht="15.75" customHeight="1" x14ac:dyDescent="0.2"/>
    <row r="2800" ht="15.75" customHeight="1" x14ac:dyDescent="0.2"/>
    <row r="2801" ht="15.75" customHeight="1" x14ac:dyDescent="0.2"/>
    <row r="2802" ht="15.75" customHeight="1" x14ac:dyDescent="0.2"/>
    <row r="2803" ht="15.75" customHeight="1" x14ac:dyDescent="0.2"/>
    <row r="2804" ht="15.75" customHeight="1" x14ac:dyDescent="0.2"/>
    <row r="2805" ht="15.75" customHeight="1" x14ac:dyDescent="0.2"/>
    <row r="2806" ht="15.75" customHeight="1" x14ac:dyDescent="0.2"/>
    <row r="2807" ht="15.75" customHeight="1" x14ac:dyDescent="0.2"/>
    <row r="2808" ht="15.75" customHeight="1" x14ac:dyDescent="0.2"/>
    <row r="2809" ht="15.75" customHeight="1" x14ac:dyDescent="0.2"/>
    <row r="2810" ht="15.75" customHeight="1" x14ac:dyDescent="0.2"/>
    <row r="2811" ht="15.75" customHeight="1" x14ac:dyDescent="0.2"/>
    <row r="2812" ht="15.75" customHeight="1" x14ac:dyDescent="0.2"/>
    <row r="2813" ht="15.75" customHeight="1" x14ac:dyDescent="0.2"/>
    <row r="2814" ht="15.75" customHeight="1" x14ac:dyDescent="0.2"/>
    <row r="2815" ht="15.75" customHeight="1" x14ac:dyDescent="0.2"/>
    <row r="2816" ht="15.75" customHeight="1" x14ac:dyDescent="0.2"/>
    <row r="2817" ht="15.75" customHeight="1" x14ac:dyDescent="0.2"/>
    <row r="2818" ht="15.75" customHeight="1" x14ac:dyDescent="0.2"/>
    <row r="2819" ht="15.75" customHeight="1" x14ac:dyDescent="0.2"/>
    <row r="2820" ht="15.75" customHeight="1" x14ac:dyDescent="0.2"/>
    <row r="2821" ht="15.75" customHeight="1" x14ac:dyDescent="0.2"/>
    <row r="2822" ht="15.75" customHeight="1" x14ac:dyDescent="0.2"/>
  </sheetData>
  <autoFilter ref="AD297:AP358" xr:uid="{5A76B2F0-2C71-4E78-97AE-8C43992C204F}">
    <filterColumn colId="0" showButton="0"/>
    <filterColumn colId="1" showButton="0"/>
    <filterColumn colId="3" showButton="0"/>
  </autoFilter>
  <mergeCells count="412">
    <mergeCell ref="AH293:AI293"/>
    <mergeCell ref="AJ293:AK293"/>
    <mergeCell ref="AL293:AM293"/>
    <mergeCell ref="AH294:AI294"/>
    <mergeCell ref="AJ294:AK294"/>
    <mergeCell ref="AL294:AM294"/>
    <mergeCell ref="B293:C293"/>
    <mergeCell ref="BG289:BH289"/>
    <mergeCell ref="A290:C290"/>
    <mergeCell ref="P290:Q290"/>
    <mergeCell ref="AD290:AE290"/>
    <mergeCell ref="AR290:AS290"/>
    <mergeCell ref="BG290:BH290"/>
    <mergeCell ref="J291:K291"/>
    <mergeCell ref="X291:Y291"/>
    <mergeCell ref="AL291:AM291"/>
    <mergeCell ref="AZ291:BA291"/>
    <mergeCell ref="BG291:BH291"/>
    <mergeCell ref="D293:E293"/>
    <mergeCell ref="F293:G293"/>
    <mergeCell ref="B294:C294"/>
    <mergeCell ref="D294:E294"/>
    <mergeCell ref="F294:G294"/>
    <mergeCell ref="A287:C287"/>
    <mergeCell ref="P287:Q287"/>
    <mergeCell ref="AD287:AE287"/>
    <mergeCell ref="AR287:AS287"/>
    <mergeCell ref="A288:C288"/>
    <mergeCell ref="P288:Q288"/>
    <mergeCell ref="AD288:AE288"/>
    <mergeCell ref="AR288:AS288"/>
    <mergeCell ref="A289:C289"/>
    <mergeCell ref="P289:Q289"/>
    <mergeCell ref="AD289:AE289"/>
    <mergeCell ref="AR289:AS289"/>
    <mergeCell ref="J283:K283"/>
    <mergeCell ref="X283:Y283"/>
    <mergeCell ref="AL283:AM283"/>
    <mergeCell ref="AZ283:BA283"/>
    <mergeCell ref="J284:K284"/>
    <mergeCell ref="X284:Y284"/>
    <mergeCell ref="AL284:AM284"/>
    <mergeCell ref="AZ284:BA284"/>
    <mergeCell ref="BK285:BL285"/>
    <mergeCell ref="BI223:BJ223"/>
    <mergeCell ref="J281:K281"/>
    <mergeCell ref="X281:Y281"/>
    <mergeCell ref="AL281:AM281"/>
    <mergeCell ref="AZ281:BA281"/>
    <mergeCell ref="J282:K282"/>
    <mergeCell ref="X282:Y282"/>
    <mergeCell ref="AL282:AM282"/>
    <mergeCell ref="AZ282:BA282"/>
    <mergeCell ref="A223:D223"/>
    <mergeCell ref="E223:F223"/>
    <mergeCell ref="P223:R223"/>
    <mergeCell ref="S223:T223"/>
    <mergeCell ref="AD223:AF223"/>
    <mergeCell ref="AG223:AH223"/>
    <mergeCell ref="AR223:AT223"/>
    <mergeCell ref="AU223:AV223"/>
    <mergeCell ref="BF223:BH223"/>
    <mergeCell ref="C442:D442"/>
    <mergeCell ref="E442:F442"/>
    <mergeCell ref="G442:H442"/>
    <mergeCell ref="J439:K439"/>
    <mergeCell ref="X439:Y439"/>
    <mergeCell ref="AL439:AM439"/>
    <mergeCell ref="AZ439:BA439"/>
    <mergeCell ref="C441:D441"/>
    <mergeCell ref="E441:F441"/>
    <mergeCell ref="G441:H441"/>
    <mergeCell ref="A438:C438"/>
    <mergeCell ref="P438:Q438"/>
    <mergeCell ref="AD438:AE438"/>
    <mergeCell ref="AR438:AS438"/>
    <mergeCell ref="A435:C435"/>
    <mergeCell ref="P435:Q435"/>
    <mergeCell ref="AD435:AE435"/>
    <mergeCell ref="AR435:AS435"/>
    <mergeCell ref="A436:C436"/>
    <mergeCell ref="P436:Q436"/>
    <mergeCell ref="AD436:AE436"/>
    <mergeCell ref="AR436:AS436"/>
    <mergeCell ref="AZ432:BA432"/>
    <mergeCell ref="AZ429:BA429"/>
    <mergeCell ref="J430:K430"/>
    <mergeCell ref="X430:Y430"/>
    <mergeCell ref="AL430:AM430"/>
    <mergeCell ref="AZ430:BA430"/>
    <mergeCell ref="A437:C437"/>
    <mergeCell ref="P437:Q437"/>
    <mergeCell ref="AD437:AE437"/>
    <mergeCell ref="AR437:AS437"/>
    <mergeCell ref="A371:D371"/>
    <mergeCell ref="E371:F371"/>
    <mergeCell ref="P371:R371"/>
    <mergeCell ref="S371:T371"/>
    <mergeCell ref="AD371:AF371"/>
    <mergeCell ref="J431:K431"/>
    <mergeCell ref="X431:Y431"/>
    <mergeCell ref="AL431:AM431"/>
    <mergeCell ref="AZ431:BA431"/>
    <mergeCell ref="AZ513:BA513"/>
    <mergeCell ref="AR519:AT519"/>
    <mergeCell ref="AU519:AV519"/>
    <mergeCell ref="AZ503:BA503"/>
    <mergeCell ref="AZ504:BA504"/>
    <mergeCell ref="AZ505:BA505"/>
    <mergeCell ref="AZ506:BA506"/>
    <mergeCell ref="AR509:AS509"/>
    <mergeCell ref="AL513:AM513"/>
    <mergeCell ref="AD519:AF519"/>
    <mergeCell ref="AG519:AH519"/>
    <mergeCell ref="AR445:AT445"/>
    <mergeCell ref="AU445:AV445"/>
    <mergeCell ref="AR510:AS510"/>
    <mergeCell ref="AR511:AS511"/>
    <mergeCell ref="AR512:AS512"/>
    <mergeCell ref="AL506:AM506"/>
    <mergeCell ref="AD509:AE509"/>
    <mergeCell ref="AD510:AE510"/>
    <mergeCell ref="AD511:AE511"/>
    <mergeCell ref="AD512:AE512"/>
    <mergeCell ref="AD445:AF445"/>
    <mergeCell ref="AG445:AH445"/>
    <mergeCell ref="AL503:AM503"/>
    <mergeCell ref="AL504:AM504"/>
    <mergeCell ref="AL505:AM505"/>
    <mergeCell ref="P519:R519"/>
    <mergeCell ref="E519:F519"/>
    <mergeCell ref="A519:D519"/>
    <mergeCell ref="S519:T519"/>
    <mergeCell ref="C516:D516"/>
    <mergeCell ref="E516:F516"/>
    <mergeCell ref="G516:H516"/>
    <mergeCell ref="A512:C512"/>
    <mergeCell ref="P512:Q512"/>
    <mergeCell ref="J513:K513"/>
    <mergeCell ref="C515:D515"/>
    <mergeCell ref="E515:F515"/>
    <mergeCell ref="G515:H515"/>
    <mergeCell ref="A509:C509"/>
    <mergeCell ref="P509:Q509"/>
    <mergeCell ref="A510:C510"/>
    <mergeCell ref="P510:Q510"/>
    <mergeCell ref="A511:C511"/>
    <mergeCell ref="P511:Q511"/>
    <mergeCell ref="J506:K506"/>
    <mergeCell ref="X506:Y506"/>
    <mergeCell ref="X503:Y503"/>
    <mergeCell ref="A445:D445"/>
    <mergeCell ref="E445:F445"/>
    <mergeCell ref="P445:R445"/>
    <mergeCell ref="S445:T445"/>
    <mergeCell ref="J503:K503"/>
    <mergeCell ref="X513:Y513"/>
    <mergeCell ref="AR297:AT297"/>
    <mergeCell ref="AU297:AV297"/>
    <mergeCell ref="J355:K355"/>
    <mergeCell ref="X355:Y355"/>
    <mergeCell ref="AL355:AM355"/>
    <mergeCell ref="J504:K504"/>
    <mergeCell ref="X504:Y504"/>
    <mergeCell ref="J505:K505"/>
    <mergeCell ref="X505:Y505"/>
    <mergeCell ref="AG371:AH371"/>
    <mergeCell ref="AR371:AT371"/>
    <mergeCell ref="AU371:AV371"/>
    <mergeCell ref="J429:K429"/>
    <mergeCell ref="X429:Y429"/>
    <mergeCell ref="AL429:AM429"/>
    <mergeCell ref="J432:K432"/>
    <mergeCell ref="X432:Y432"/>
    <mergeCell ref="AL432:AM432"/>
    <mergeCell ref="C368:D368"/>
    <mergeCell ref="E368:F368"/>
    <mergeCell ref="G368:H368"/>
    <mergeCell ref="A363:C363"/>
    <mergeCell ref="P363:Q363"/>
    <mergeCell ref="AD363:AE363"/>
    <mergeCell ref="AR363:AS363"/>
    <mergeCell ref="A364:C364"/>
    <mergeCell ref="P364:Q364"/>
    <mergeCell ref="AD364:AE364"/>
    <mergeCell ref="AR364:AS364"/>
    <mergeCell ref="J365:K365"/>
    <mergeCell ref="X365:Y365"/>
    <mergeCell ref="AL365:AM365"/>
    <mergeCell ref="BG364:BH364"/>
    <mergeCell ref="BG365:BH365"/>
    <mergeCell ref="AZ365:BA365"/>
    <mergeCell ref="C367:D367"/>
    <mergeCell ref="E367:F367"/>
    <mergeCell ref="G367:H367"/>
    <mergeCell ref="J358:K358"/>
    <mergeCell ref="X358:Y358"/>
    <mergeCell ref="AL358:AM358"/>
    <mergeCell ref="AZ358:BA358"/>
    <mergeCell ref="A361:C361"/>
    <mergeCell ref="P361:Q361"/>
    <mergeCell ref="AD361:AE361"/>
    <mergeCell ref="AR361:AS361"/>
    <mergeCell ref="A362:C362"/>
    <mergeCell ref="P362:Q362"/>
    <mergeCell ref="AD362:AE362"/>
    <mergeCell ref="AR362:AS362"/>
    <mergeCell ref="BG363:BH363"/>
    <mergeCell ref="A297:D297"/>
    <mergeCell ref="E297:F297"/>
    <mergeCell ref="P297:R297"/>
    <mergeCell ref="S297:T297"/>
    <mergeCell ref="AD297:AF297"/>
    <mergeCell ref="AG297:AH297"/>
    <mergeCell ref="BF297:BH297"/>
    <mergeCell ref="BI297:BJ297"/>
    <mergeCell ref="BK359:BL359"/>
    <mergeCell ref="AZ355:BA355"/>
    <mergeCell ref="J356:K356"/>
    <mergeCell ref="X356:Y356"/>
    <mergeCell ref="AL356:AM356"/>
    <mergeCell ref="AZ356:BA356"/>
    <mergeCell ref="J357:K357"/>
    <mergeCell ref="X357:Y357"/>
    <mergeCell ref="AL357:AM357"/>
    <mergeCell ref="AZ357:BA357"/>
    <mergeCell ref="A149:D149"/>
    <mergeCell ref="E149:F149"/>
    <mergeCell ref="P149:R149"/>
    <mergeCell ref="S149:T149"/>
    <mergeCell ref="AD149:AF149"/>
    <mergeCell ref="AG149:AH149"/>
    <mergeCell ref="AR149:AT149"/>
    <mergeCell ref="AU149:AV149"/>
    <mergeCell ref="BF149:BH149"/>
    <mergeCell ref="BI149:BJ149"/>
    <mergeCell ref="J207:K207"/>
    <mergeCell ref="X207:Y207"/>
    <mergeCell ref="AL207:AM207"/>
    <mergeCell ref="AZ207:BA207"/>
    <mergeCell ref="J208:K208"/>
    <mergeCell ref="X208:Y208"/>
    <mergeCell ref="AL208:AM208"/>
    <mergeCell ref="AZ208:BA208"/>
    <mergeCell ref="J209:K209"/>
    <mergeCell ref="X209:Y209"/>
    <mergeCell ref="AL209:AM209"/>
    <mergeCell ref="AZ209:BA209"/>
    <mergeCell ref="J210:K210"/>
    <mergeCell ref="X210:Y210"/>
    <mergeCell ref="AL210:AM210"/>
    <mergeCell ref="AZ210:BA210"/>
    <mergeCell ref="BK211:BL211"/>
    <mergeCell ref="A213:C213"/>
    <mergeCell ref="P213:Q213"/>
    <mergeCell ref="AD213:AE213"/>
    <mergeCell ref="AR213:AS213"/>
    <mergeCell ref="A214:C214"/>
    <mergeCell ref="P214:Q214"/>
    <mergeCell ref="AD214:AE214"/>
    <mergeCell ref="AR214:AS214"/>
    <mergeCell ref="A215:C215"/>
    <mergeCell ref="P215:Q215"/>
    <mergeCell ref="AD215:AE215"/>
    <mergeCell ref="AR215:AS215"/>
    <mergeCell ref="BG215:BH215"/>
    <mergeCell ref="A216:C216"/>
    <mergeCell ref="P216:Q216"/>
    <mergeCell ref="AD216:AE216"/>
    <mergeCell ref="AR216:AS216"/>
    <mergeCell ref="BG216:BH216"/>
    <mergeCell ref="J217:K217"/>
    <mergeCell ref="X217:Y217"/>
    <mergeCell ref="AL217:AM217"/>
    <mergeCell ref="AZ217:BA217"/>
    <mergeCell ref="BG217:BH217"/>
    <mergeCell ref="B219:C219"/>
    <mergeCell ref="D219:E219"/>
    <mergeCell ref="F219:G219"/>
    <mergeCell ref="AH219:AI219"/>
    <mergeCell ref="AJ219:AK219"/>
    <mergeCell ref="AL219:AM219"/>
    <mergeCell ref="B220:C220"/>
    <mergeCell ref="D220:E220"/>
    <mergeCell ref="F220:G220"/>
    <mergeCell ref="AH220:AI220"/>
    <mergeCell ref="AJ220:AK220"/>
    <mergeCell ref="AL220:AM220"/>
    <mergeCell ref="A75:D75"/>
    <mergeCell ref="E75:F75"/>
    <mergeCell ref="P75:R75"/>
    <mergeCell ref="S75:T75"/>
    <mergeCell ref="AD75:AF75"/>
    <mergeCell ref="AG75:AH75"/>
    <mergeCell ref="AR75:AT75"/>
    <mergeCell ref="AU75:AV75"/>
    <mergeCell ref="BF75:BH75"/>
    <mergeCell ref="BI75:BJ75"/>
    <mergeCell ref="J133:K133"/>
    <mergeCell ref="X133:Y133"/>
    <mergeCell ref="AL133:AM133"/>
    <mergeCell ref="AZ133:BA133"/>
    <mergeCell ref="J134:K134"/>
    <mergeCell ref="X134:Y134"/>
    <mergeCell ref="AL134:AM134"/>
    <mergeCell ref="AZ134:BA134"/>
    <mergeCell ref="J135:K135"/>
    <mergeCell ref="X135:Y135"/>
    <mergeCell ref="AL135:AM135"/>
    <mergeCell ref="AZ135:BA135"/>
    <mergeCell ref="J136:K136"/>
    <mergeCell ref="X136:Y136"/>
    <mergeCell ref="AL136:AM136"/>
    <mergeCell ref="AZ136:BA136"/>
    <mergeCell ref="BK137:BL137"/>
    <mergeCell ref="A139:C139"/>
    <mergeCell ref="P139:Q139"/>
    <mergeCell ref="AD139:AE139"/>
    <mergeCell ref="AR139:AS139"/>
    <mergeCell ref="A140:C140"/>
    <mergeCell ref="P140:Q140"/>
    <mergeCell ref="AD140:AE140"/>
    <mergeCell ref="AR140:AS140"/>
    <mergeCell ref="A141:C141"/>
    <mergeCell ref="P141:Q141"/>
    <mergeCell ref="AD141:AE141"/>
    <mergeCell ref="AR141:AS141"/>
    <mergeCell ref="BG141:BH141"/>
    <mergeCell ref="A142:C142"/>
    <mergeCell ref="P142:Q142"/>
    <mergeCell ref="AD142:AE142"/>
    <mergeCell ref="AR142:AS142"/>
    <mergeCell ref="BG142:BH142"/>
    <mergeCell ref="J143:K143"/>
    <mergeCell ref="X143:Y143"/>
    <mergeCell ref="AL143:AM143"/>
    <mergeCell ref="AZ143:BA143"/>
    <mergeCell ref="BG143:BH143"/>
    <mergeCell ref="B145:C145"/>
    <mergeCell ref="D145:E145"/>
    <mergeCell ref="F145:G145"/>
    <mergeCell ref="AH145:AI145"/>
    <mergeCell ref="AJ145:AK145"/>
    <mergeCell ref="AL145:AM145"/>
    <mergeCell ref="B146:C146"/>
    <mergeCell ref="D146:E146"/>
    <mergeCell ref="F146:G146"/>
    <mergeCell ref="AH146:AI146"/>
    <mergeCell ref="AJ146:AK146"/>
    <mergeCell ref="AL146:AM146"/>
    <mergeCell ref="A1:D1"/>
    <mergeCell ref="E1:F1"/>
    <mergeCell ref="P1:R1"/>
    <mergeCell ref="S1:T1"/>
    <mergeCell ref="AD1:AF1"/>
    <mergeCell ref="AG1:AH1"/>
    <mergeCell ref="AR1:AT1"/>
    <mergeCell ref="AU1:AV1"/>
    <mergeCell ref="BF1:BH1"/>
    <mergeCell ref="BI1:BJ1"/>
    <mergeCell ref="J59:K59"/>
    <mergeCell ref="X59:Y59"/>
    <mergeCell ref="AL59:AM59"/>
    <mergeCell ref="AZ59:BA59"/>
    <mergeCell ref="J60:K60"/>
    <mergeCell ref="X60:Y60"/>
    <mergeCell ref="AL60:AM60"/>
    <mergeCell ref="AZ60:BA60"/>
    <mergeCell ref="J61:K61"/>
    <mergeCell ref="X61:Y61"/>
    <mergeCell ref="AL61:AM61"/>
    <mergeCell ref="AZ61:BA61"/>
    <mergeCell ref="J62:K62"/>
    <mergeCell ref="X62:Y62"/>
    <mergeCell ref="AL62:AM62"/>
    <mergeCell ref="AZ62:BA62"/>
    <mergeCell ref="BK63:BL63"/>
    <mergeCell ref="A65:C65"/>
    <mergeCell ref="P65:Q65"/>
    <mergeCell ref="AD65:AE65"/>
    <mergeCell ref="AR65:AS65"/>
    <mergeCell ref="A66:C66"/>
    <mergeCell ref="P66:Q66"/>
    <mergeCell ref="AD66:AE66"/>
    <mergeCell ref="AR66:AS66"/>
    <mergeCell ref="A67:C67"/>
    <mergeCell ref="P67:Q67"/>
    <mergeCell ref="AD67:AE67"/>
    <mergeCell ref="AR67:AS67"/>
    <mergeCell ref="BG67:BH67"/>
    <mergeCell ref="A68:C68"/>
    <mergeCell ref="P68:Q68"/>
    <mergeCell ref="AD68:AE68"/>
    <mergeCell ref="AR68:AS68"/>
    <mergeCell ref="BG68:BH68"/>
    <mergeCell ref="J69:K69"/>
    <mergeCell ref="X69:Y69"/>
    <mergeCell ref="AL69:AM69"/>
    <mergeCell ref="AZ69:BA69"/>
    <mergeCell ref="BG69:BH69"/>
    <mergeCell ref="B71:C71"/>
    <mergeCell ref="D71:E71"/>
    <mergeCell ref="F71:G71"/>
    <mergeCell ref="AH71:AI71"/>
    <mergeCell ref="AJ71:AK71"/>
    <mergeCell ref="AL71:AM71"/>
    <mergeCell ref="B72:C72"/>
    <mergeCell ref="D72:E72"/>
    <mergeCell ref="F72:G72"/>
    <mergeCell ref="AH72:AI72"/>
    <mergeCell ref="AJ72:AK72"/>
    <mergeCell ref="AL72:AM72"/>
  </mergeCells>
  <phoneticPr fontId="9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浜の町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sakamoto</dc:creator>
  <cp:keywords/>
  <dc:description/>
  <cp:lastModifiedBy>浩一 坂本</cp:lastModifiedBy>
  <cp:revision/>
  <dcterms:created xsi:type="dcterms:W3CDTF">2022-10-04T13:26:53Z</dcterms:created>
  <dcterms:modified xsi:type="dcterms:W3CDTF">2026-05-23T15:20:19Z</dcterms:modified>
  <cp:category/>
  <cp:contentStatus/>
</cp:coreProperties>
</file>