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ドキュメント/"/>
    </mc:Choice>
  </mc:AlternateContent>
  <xr:revisionPtr revIDLastSave="1099" documentId="6_{81832CA2-A9C3-4FF6-A25E-1AFC46195546}" xr6:coauthVersionLast="47" xr6:coauthVersionMax="47" xr10:uidLastSave="{30DAD0A7-191B-47A7-90B7-D418C34C0F3C}"/>
  <bookViews>
    <workbookView xWindow="-120" yWindow="-120" windowWidth="29040" windowHeight="15720" firstSheet="6" activeTab="6" xr2:uid="{00000000-000D-0000-FFFF-FFFF00000000}"/>
  </bookViews>
  <sheets>
    <sheet name="2025.12" sheetId="12" r:id="rId1"/>
    <sheet name="2025.11" sheetId="11" r:id="rId2"/>
    <sheet name="2025.10" sheetId="10" r:id="rId3"/>
    <sheet name="2025.9" sheetId="9" r:id="rId4"/>
    <sheet name="2025.8" sheetId="8" r:id="rId5"/>
    <sheet name="2025.7" sheetId="7" r:id="rId6"/>
    <sheet name="2025.6" sheetId="6" r:id="rId7"/>
    <sheet name="2025.5" sheetId="5" r:id="rId8"/>
    <sheet name="2025.4" sheetId="4" r:id="rId9"/>
    <sheet name="2025.3" sheetId="3" r:id="rId10"/>
    <sheet name="2025.2" sheetId="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Dum+jlf7jJkdt4fkgo/nEUDR0wiBNO0FlUleYXaavrQ="/>
    </ext>
  </extLst>
</workbook>
</file>

<file path=xl/calcChain.xml><?xml version="1.0" encoding="utf-8"?>
<calcChain xmlns="http://schemas.openxmlformats.org/spreadsheetml/2006/main">
  <c r="Q70" i="12" l="1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L70" i="12"/>
  <c r="M70" i="12" s="1"/>
  <c r="L71" i="12"/>
  <c r="M71" i="12" s="1"/>
  <c r="L72" i="12"/>
  <c r="L73" i="12"/>
  <c r="L74" i="12"/>
  <c r="L75" i="12"/>
  <c r="L76" i="12"/>
  <c r="L77" i="12"/>
  <c r="L78" i="12"/>
  <c r="L79" i="12"/>
  <c r="L80" i="12"/>
  <c r="M80" i="12" s="1"/>
  <c r="L81" i="12"/>
  <c r="M81" i="12" s="1"/>
  <c r="L82" i="12"/>
  <c r="M82" i="12" s="1"/>
  <c r="L83" i="12"/>
  <c r="M83" i="12" s="1"/>
  <c r="L84" i="12"/>
  <c r="M84" i="12" s="1"/>
  <c r="L85" i="12"/>
  <c r="L86" i="12"/>
  <c r="M86" i="12" s="1"/>
  <c r="L87" i="12"/>
  <c r="L69" i="12"/>
  <c r="M69" i="12" s="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L76" i="11"/>
  <c r="L77" i="11"/>
  <c r="L78" i="11"/>
  <c r="L79" i="11"/>
  <c r="L80" i="11"/>
  <c r="M80" i="11" s="1"/>
  <c r="L81" i="11"/>
  <c r="L82" i="11"/>
  <c r="L83" i="11"/>
  <c r="M83" i="11" s="1"/>
  <c r="L84" i="11"/>
  <c r="L85" i="11"/>
  <c r="L86" i="11"/>
  <c r="M86" i="11" s="1"/>
  <c r="L87" i="11"/>
  <c r="M87" i="11" s="1"/>
  <c r="L88" i="11"/>
  <c r="L89" i="11"/>
  <c r="L90" i="11"/>
  <c r="L91" i="11"/>
  <c r="M91" i="11" s="1"/>
  <c r="L92" i="11"/>
  <c r="M92" i="11" s="1"/>
  <c r="L93" i="11"/>
  <c r="L94" i="11"/>
  <c r="L95" i="11"/>
  <c r="L96" i="11"/>
  <c r="L97" i="11"/>
  <c r="M97" i="11" s="1"/>
  <c r="L98" i="11"/>
  <c r="M98" i="11" s="1"/>
  <c r="L99" i="11"/>
  <c r="M99" i="11" s="1"/>
  <c r="L100" i="11"/>
  <c r="M100" i="11" s="1"/>
  <c r="L101" i="11"/>
  <c r="L102" i="11"/>
  <c r="L103" i="11"/>
  <c r="M103" i="11" s="1"/>
  <c r="L104" i="11"/>
  <c r="M104" i="11" s="1"/>
  <c r="L105" i="11"/>
  <c r="L106" i="11"/>
  <c r="L107" i="11"/>
  <c r="M107" i="11" s="1"/>
  <c r="L108" i="11"/>
  <c r="M108" i="11" s="1"/>
  <c r="L109" i="11"/>
  <c r="L110" i="11"/>
  <c r="M110" i="11" s="1"/>
  <c r="L111" i="11"/>
  <c r="M111" i="11" s="1"/>
  <c r="L112" i="11"/>
  <c r="L113" i="11"/>
  <c r="M113" i="11" s="1"/>
  <c r="L114" i="11"/>
  <c r="L115" i="11"/>
  <c r="M115" i="11" s="1"/>
  <c r="L116" i="11"/>
  <c r="M116" i="11" s="1"/>
  <c r="L117" i="11"/>
  <c r="L118" i="11"/>
  <c r="L119" i="11"/>
  <c r="M119" i="11" s="1"/>
  <c r="L120" i="11"/>
  <c r="M120" i="11" s="1"/>
  <c r="L121" i="11"/>
  <c r="M121" i="11" s="1"/>
  <c r="L122" i="11"/>
  <c r="M122" i="11" s="1"/>
  <c r="L75" i="11"/>
  <c r="L71" i="10"/>
  <c r="L72" i="10"/>
  <c r="L73" i="10"/>
  <c r="M73" i="10" s="1"/>
  <c r="Q73" i="10" s="1"/>
  <c r="L74" i="10"/>
  <c r="L70" i="10"/>
  <c r="M95" i="10"/>
  <c r="M94" i="10"/>
  <c r="M93" i="10"/>
  <c r="M92" i="10"/>
  <c r="M91" i="10"/>
  <c r="M78" i="10"/>
  <c r="Q78" i="10" s="1"/>
  <c r="M77" i="10"/>
  <c r="Q77" i="10" s="1"/>
  <c r="M76" i="10"/>
  <c r="Q76" i="10" s="1"/>
  <c r="M75" i="10"/>
  <c r="Q75" i="10" s="1"/>
  <c r="M74" i="10"/>
  <c r="Q74" i="10" s="1"/>
  <c r="M72" i="10"/>
  <c r="Q72" i="10" s="1"/>
  <c r="M71" i="10"/>
  <c r="Q71" i="10" s="1"/>
  <c r="M82" i="10"/>
  <c r="Q82" i="10" s="1"/>
  <c r="M81" i="10"/>
  <c r="Q81" i="10" s="1"/>
  <c r="M80" i="10"/>
  <c r="Q80" i="10" s="1"/>
  <c r="M79" i="10"/>
  <c r="Q79" i="10" s="1"/>
  <c r="M85" i="10"/>
  <c r="Q85" i="10" s="1"/>
  <c r="M84" i="10"/>
  <c r="Q84" i="10" s="1"/>
  <c r="M83" i="10"/>
  <c r="Q83" i="10" s="1"/>
  <c r="M70" i="10"/>
  <c r="Q70" i="10" s="1"/>
  <c r="M102" i="11"/>
  <c r="M101" i="11"/>
  <c r="M114" i="11"/>
  <c r="M112" i="11"/>
  <c r="M109" i="11"/>
  <c r="M118" i="11"/>
  <c r="M117" i="11"/>
  <c r="M106" i="11"/>
  <c r="M105" i="11"/>
  <c r="M96" i="11"/>
  <c r="M95" i="11"/>
  <c r="M94" i="11"/>
  <c r="M93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M115" i="12"/>
  <c r="Q115" i="12" s="1"/>
  <c r="M114" i="12"/>
  <c r="Q114" i="12" s="1"/>
  <c r="M113" i="12"/>
  <c r="Q113" i="12" s="1"/>
  <c r="M112" i="12"/>
  <c r="Q112" i="12" s="1"/>
  <c r="M111" i="12"/>
  <c r="M108" i="12"/>
  <c r="M107" i="12"/>
  <c r="M106" i="12"/>
  <c r="M105" i="12"/>
  <c r="M104" i="12"/>
  <c r="M109" i="12" s="1"/>
  <c r="M101" i="12"/>
  <c r="M100" i="12"/>
  <c r="M99" i="12"/>
  <c r="M98" i="12"/>
  <c r="M97" i="12"/>
  <c r="M94" i="12"/>
  <c r="Q94" i="12" s="1"/>
  <c r="M93" i="12"/>
  <c r="Q93" i="12" s="1"/>
  <c r="M92" i="12"/>
  <c r="Q92" i="12" s="1"/>
  <c r="M91" i="12"/>
  <c r="Q91" i="12" s="1"/>
  <c r="M90" i="12"/>
  <c r="Q90" i="12" s="1"/>
  <c r="M87" i="12"/>
  <c r="M85" i="12"/>
  <c r="M79" i="12"/>
  <c r="M78" i="12"/>
  <c r="M77" i="12"/>
  <c r="M76" i="12"/>
  <c r="M75" i="12"/>
  <c r="M74" i="12"/>
  <c r="M73" i="12"/>
  <c r="M72" i="12"/>
  <c r="M67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37" i="9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3" i="10"/>
  <c r="M107" i="9"/>
  <c r="M102" i="9"/>
  <c r="M103" i="9"/>
  <c r="Q103" i="9" s="1"/>
  <c r="M86" i="9"/>
  <c r="M85" i="9"/>
  <c r="M84" i="9"/>
  <c r="M83" i="9"/>
  <c r="M82" i="9"/>
  <c r="M76" i="9"/>
  <c r="Q76" i="9" s="1"/>
  <c r="M75" i="9"/>
  <c r="Q75" i="9" s="1"/>
  <c r="M74" i="9"/>
  <c r="Q74" i="9" s="1"/>
  <c r="M73" i="9"/>
  <c r="Q73" i="9" s="1"/>
  <c r="M78" i="9"/>
  <c r="Q78" i="9" s="1"/>
  <c r="M77" i="9"/>
  <c r="Q77" i="9" s="1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3" i="9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3" i="7"/>
  <c r="M42" i="7"/>
  <c r="M68" i="8"/>
  <c r="M150" i="11"/>
  <c r="Q150" i="11" s="1"/>
  <c r="M149" i="11"/>
  <c r="Q149" i="11" s="1"/>
  <c r="M148" i="11"/>
  <c r="Q148" i="11" s="1"/>
  <c r="M147" i="11"/>
  <c r="M146" i="11"/>
  <c r="Q146" i="11" s="1"/>
  <c r="M143" i="11"/>
  <c r="M142" i="11"/>
  <c r="M141" i="11"/>
  <c r="M140" i="11"/>
  <c r="M139" i="11"/>
  <c r="M136" i="11"/>
  <c r="M135" i="11"/>
  <c r="M134" i="11"/>
  <c r="M133" i="11"/>
  <c r="M132" i="11"/>
  <c r="M129" i="11"/>
  <c r="Q129" i="11" s="1"/>
  <c r="M128" i="11"/>
  <c r="Q128" i="11" s="1"/>
  <c r="M127" i="11"/>
  <c r="Q127" i="11" s="1"/>
  <c r="M126" i="11"/>
  <c r="M125" i="11"/>
  <c r="Q125" i="11" s="1"/>
  <c r="M90" i="11"/>
  <c r="M89" i="11"/>
  <c r="M88" i="11"/>
  <c r="M85" i="11"/>
  <c r="M84" i="11"/>
  <c r="M82" i="11"/>
  <c r="M81" i="11"/>
  <c r="M79" i="11"/>
  <c r="M78" i="11"/>
  <c r="M77" i="11"/>
  <c r="Q77" i="11" s="1"/>
  <c r="M76" i="11"/>
  <c r="Q76" i="11" s="1"/>
  <c r="M75" i="11"/>
  <c r="M73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M115" i="10"/>
  <c r="Q115" i="10" s="1"/>
  <c r="M114" i="10"/>
  <c r="Q114" i="10" s="1"/>
  <c r="M113" i="10"/>
  <c r="Q113" i="10" s="1"/>
  <c r="M112" i="10"/>
  <c r="Q112" i="10" s="1"/>
  <c r="M111" i="10"/>
  <c r="Q111" i="10" s="1"/>
  <c r="M108" i="10"/>
  <c r="M107" i="10"/>
  <c r="M106" i="10"/>
  <c r="M105" i="10"/>
  <c r="M104" i="10"/>
  <c r="M101" i="10"/>
  <c r="M100" i="10"/>
  <c r="M99" i="10"/>
  <c r="M98" i="10"/>
  <c r="M97" i="10"/>
  <c r="M89" i="10"/>
  <c r="Q89" i="10" s="1"/>
  <c r="M88" i="10"/>
  <c r="Q88" i="10" s="1"/>
  <c r="M87" i="10"/>
  <c r="Q87" i="10" s="1"/>
  <c r="M86" i="10"/>
  <c r="Q86" i="10" s="1"/>
  <c r="M67" i="10"/>
  <c r="Q67" i="10" s="1"/>
  <c r="M66" i="10"/>
  <c r="Q66" i="10" s="1"/>
  <c r="M65" i="10"/>
  <c r="Q65" i="10" s="1"/>
  <c r="M64" i="10"/>
  <c r="Q64" i="10" s="1"/>
  <c r="M63" i="10"/>
  <c r="Q63" i="10" s="1"/>
  <c r="M62" i="10"/>
  <c r="Q62" i="10" s="1"/>
  <c r="M61" i="10"/>
  <c r="Q61" i="10" s="1"/>
  <c r="M60" i="10"/>
  <c r="Q60" i="10" s="1"/>
  <c r="M59" i="10"/>
  <c r="Q59" i="10" s="1"/>
  <c r="M58" i="10"/>
  <c r="Q58" i="10" s="1"/>
  <c r="M57" i="10"/>
  <c r="Q57" i="10" s="1"/>
  <c r="M56" i="10"/>
  <c r="Q56" i="10" s="1"/>
  <c r="M55" i="10"/>
  <c r="Q55" i="10" s="1"/>
  <c r="M54" i="10"/>
  <c r="Q54" i="10" s="1"/>
  <c r="M53" i="10"/>
  <c r="Q53" i="10" s="1"/>
  <c r="M106" i="9"/>
  <c r="Q106" i="9" s="1"/>
  <c r="M105" i="9"/>
  <c r="Q105" i="9" s="1"/>
  <c r="M104" i="9"/>
  <c r="Q104" i="9" s="1"/>
  <c r="Q102" i="9"/>
  <c r="M99" i="9"/>
  <c r="M98" i="9"/>
  <c r="M97" i="9"/>
  <c r="M96" i="9"/>
  <c r="M95" i="9"/>
  <c r="M92" i="9"/>
  <c r="M91" i="9"/>
  <c r="M90" i="9"/>
  <c r="M89" i="9"/>
  <c r="M88" i="9"/>
  <c r="M80" i="9"/>
  <c r="Q80" i="9" s="1"/>
  <c r="M79" i="9"/>
  <c r="Q79" i="9" s="1"/>
  <c r="M100" i="6"/>
  <c r="Q100" i="6"/>
  <c r="M101" i="6"/>
  <c r="Q101" i="6"/>
  <c r="M102" i="6"/>
  <c r="Q102" i="6"/>
  <c r="M103" i="6"/>
  <c r="Q103" i="6"/>
  <c r="L119" i="6"/>
  <c r="L122" i="6"/>
  <c r="L123" i="6"/>
  <c r="L118" i="6"/>
  <c r="M118" i="6" s="1"/>
  <c r="Q118" i="6" s="1"/>
  <c r="M122" i="6"/>
  <c r="Q122" i="6" s="1"/>
  <c r="L113" i="6"/>
  <c r="M113" i="6" s="1"/>
  <c r="M114" i="6"/>
  <c r="Q114" i="6" s="1"/>
  <c r="L61" i="5"/>
  <c r="L62" i="5"/>
  <c r="L63" i="5"/>
  <c r="L87" i="6"/>
  <c r="L88" i="6"/>
  <c r="M88" i="6" s="1"/>
  <c r="Q88" i="6" s="1"/>
  <c r="L89" i="6"/>
  <c r="M89" i="6" s="1"/>
  <c r="Q89" i="6" s="1"/>
  <c r="L90" i="6"/>
  <c r="M90" i="6" s="1"/>
  <c r="Q90" i="6" s="1"/>
  <c r="L91" i="6"/>
  <c r="M91" i="6" s="1"/>
  <c r="Q91" i="6" s="1"/>
  <c r="L92" i="6"/>
  <c r="M92" i="6" s="1"/>
  <c r="Q92" i="6" s="1"/>
  <c r="L60" i="5"/>
  <c r="L86" i="6"/>
  <c r="M86" i="6" s="1"/>
  <c r="Q86" i="6" s="1"/>
  <c r="L85" i="6"/>
  <c r="M85" i="6" s="1"/>
  <c r="Q85" i="6" s="1"/>
  <c r="L84" i="6"/>
  <c r="M84" i="6" s="1"/>
  <c r="Q84" i="6" s="1"/>
  <c r="L83" i="6"/>
  <c r="M83" i="6" s="1"/>
  <c r="Q83" i="6" s="1"/>
  <c r="L82" i="6"/>
  <c r="M82" i="6" s="1"/>
  <c r="Q82" i="6" s="1"/>
  <c r="L81" i="6"/>
  <c r="M81" i="6" s="1"/>
  <c r="Q81" i="6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3" i="6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3" i="5"/>
  <c r="M100" i="5"/>
  <c r="Q100" i="5"/>
  <c r="M93" i="5"/>
  <c r="M86" i="5"/>
  <c r="M79" i="5"/>
  <c r="M46" i="5"/>
  <c r="M104" i="5" s="1"/>
  <c r="M96" i="8"/>
  <c r="M89" i="8"/>
  <c r="M82" i="8"/>
  <c r="M75" i="8"/>
  <c r="M100" i="8"/>
  <c r="M95" i="7"/>
  <c r="M91" i="7"/>
  <c r="Q91" i="7" s="1"/>
  <c r="M84" i="7"/>
  <c r="M77" i="7"/>
  <c r="M70" i="7"/>
  <c r="M63" i="7"/>
  <c r="M75" i="6"/>
  <c r="L112" i="6"/>
  <c r="M112" i="6" s="1"/>
  <c r="Q112" i="6" s="1"/>
  <c r="L111" i="6"/>
  <c r="M111" i="6" s="1"/>
  <c r="Q111" i="6" s="1"/>
  <c r="L49" i="5"/>
  <c r="L50" i="5"/>
  <c r="L51" i="5"/>
  <c r="L52" i="5"/>
  <c r="L53" i="5"/>
  <c r="L54" i="5"/>
  <c r="M54" i="5" s="1"/>
  <c r="Q54" i="5" s="1"/>
  <c r="L55" i="5"/>
  <c r="M55" i="5" s="1"/>
  <c r="Q55" i="5" s="1"/>
  <c r="L56" i="5"/>
  <c r="L57" i="5"/>
  <c r="L58" i="5"/>
  <c r="M58" i="5" s="1"/>
  <c r="Q58" i="5" s="1"/>
  <c r="L59" i="5"/>
  <c r="M59" i="5" s="1"/>
  <c r="Q59" i="5" s="1"/>
  <c r="L48" i="5"/>
  <c r="M95" i="8"/>
  <c r="Q95" i="8" s="1"/>
  <c r="M94" i="8"/>
  <c r="Q94" i="8" s="1"/>
  <c r="M93" i="8"/>
  <c r="Q93" i="8" s="1"/>
  <c r="M92" i="8"/>
  <c r="Q92" i="8" s="1"/>
  <c r="M91" i="8"/>
  <c r="M90" i="7"/>
  <c r="Q90" i="7" s="1"/>
  <c r="Q89" i="7"/>
  <c r="M89" i="7"/>
  <c r="M88" i="7"/>
  <c r="Q88" i="7" s="1"/>
  <c r="M87" i="7"/>
  <c r="Q87" i="7" s="1"/>
  <c r="M86" i="7"/>
  <c r="Q86" i="7" s="1"/>
  <c r="M130" i="6"/>
  <c r="Q130" i="6" s="1"/>
  <c r="M129" i="6"/>
  <c r="Q129" i="6" s="1"/>
  <c r="M128" i="6"/>
  <c r="Q128" i="6" s="1"/>
  <c r="M127" i="6"/>
  <c r="Q127" i="6" s="1"/>
  <c r="M126" i="6"/>
  <c r="Q126" i="6" s="1"/>
  <c r="Q99" i="5"/>
  <c r="M99" i="5"/>
  <c r="M98" i="5"/>
  <c r="Q98" i="5" s="1"/>
  <c r="M97" i="5"/>
  <c r="Q97" i="5" s="1"/>
  <c r="M96" i="5"/>
  <c r="Q96" i="5" s="1"/>
  <c r="M95" i="5"/>
  <c r="Q95" i="5" s="1"/>
  <c r="M78" i="5"/>
  <c r="Q78" i="5"/>
  <c r="M48" i="5"/>
  <c r="Q48" i="5"/>
  <c r="M110" i="6"/>
  <c r="L77" i="5"/>
  <c r="M77" i="5"/>
  <c r="Q77" i="5"/>
  <c r="L76" i="5"/>
  <c r="M76" i="5"/>
  <c r="Q76" i="5"/>
  <c r="L75" i="5"/>
  <c r="M75" i="5"/>
  <c r="Q75" i="5"/>
  <c r="L74" i="5"/>
  <c r="M74" i="5"/>
  <c r="Q74" i="5"/>
  <c r="L73" i="5"/>
  <c r="M73" i="5"/>
  <c r="Q73" i="5"/>
  <c r="L72" i="5"/>
  <c r="M72" i="5"/>
  <c r="Q72" i="5"/>
  <c r="M72" i="4"/>
  <c r="N72" i="4"/>
  <c r="L74" i="4"/>
  <c r="M74" i="4"/>
  <c r="Q74" i="4"/>
  <c r="L75" i="4"/>
  <c r="M75" i="4"/>
  <c r="Q75" i="4"/>
  <c r="L76" i="4"/>
  <c r="M76" i="4"/>
  <c r="Q76" i="4"/>
  <c r="L77" i="4"/>
  <c r="M77" i="4"/>
  <c r="Q77" i="4"/>
  <c r="L78" i="4"/>
  <c r="M78" i="4"/>
  <c r="Q78" i="4"/>
  <c r="L79" i="4"/>
  <c r="M79" i="4"/>
  <c r="Q79" i="4"/>
  <c r="L80" i="4"/>
  <c r="M80" i="4"/>
  <c r="Q80" i="4"/>
  <c r="L81" i="4"/>
  <c r="M81" i="4"/>
  <c r="Q81" i="4"/>
  <c r="L82" i="4"/>
  <c r="M82" i="4"/>
  <c r="Q82" i="4"/>
  <c r="L83" i="4"/>
  <c r="M83" i="4"/>
  <c r="Q83" i="4"/>
  <c r="L111" i="4"/>
  <c r="M111" i="4"/>
  <c r="Q111" i="4"/>
  <c r="L112" i="4"/>
  <c r="M112" i="4"/>
  <c r="Q112" i="4"/>
  <c r="L113" i="4"/>
  <c r="M113" i="4"/>
  <c r="Q113" i="4"/>
  <c r="L114" i="4"/>
  <c r="M114" i="4"/>
  <c r="Q114" i="4"/>
  <c r="L115" i="4"/>
  <c r="M115" i="4"/>
  <c r="Q115" i="4"/>
  <c r="L116" i="4"/>
  <c r="M116" i="4"/>
  <c r="L117" i="4"/>
  <c r="M117" i="4"/>
  <c r="Q59" i="1"/>
  <c r="O72" i="4"/>
  <c r="L97" i="4"/>
  <c r="M97" i="4"/>
  <c r="Q97" i="4"/>
  <c r="L96" i="4"/>
  <c r="M96" i="4"/>
  <c r="Q96" i="4"/>
  <c r="L95" i="4"/>
  <c r="M95" i="4"/>
  <c r="Q95" i="4"/>
  <c r="L94" i="4"/>
  <c r="M94" i="4"/>
  <c r="Q94" i="4"/>
  <c r="L93" i="4"/>
  <c r="M93" i="4"/>
  <c r="Q93" i="4"/>
  <c r="L92" i="4"/>
  <c r="M92" i="4"/>
  <c r="Q92" i="4"/>
  <c r="L91" i="4"/>
  <c r="M91" i="4"/>
  <c r="Q91" i="4"/>
  <c r="L90" i="4"/>
  <c r="M90" i="4"/>
  <c r="Q90" i="4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3" i="3"/>
  <c r="M46" i="3"/>
  <c r="N46" i="3"/>
  <c r="M48" i="3"/>
  <c r="Q48" i="3"/>
  <c r="M49" i="3"/>
  <c r="Q49" i="3"/>
  <c r="L71" i="5"/>
  <c r="M71" i="5"/>
  <c r="Q116" i="4"/>
  <c r="Q117" i="4"/>
  <c r="L108" i="4"/>
  <c r="M108" i="4"/>
  <c r="Q108" i="4"/>
  <c r="L109" i="4"/>
  <c r="M109" i="4"/>
  <c r="Q109" i="4"/>
  <c r="L110" i="4"/>
  <c r="M110" i="4"/>
  <c r="Q110" i="4"/>
  <c r="L107" i="4"/>
  <c r="M107" i="4"/>
  <c r="Q107" i="4"/>
  <c r="L105" i="4"/>
  <c r="M105" i="4"/>
  <c r="Q105" i="4"/>
  <c r="L104" i="4"/>
  <c r="M104" i="4"/>
  <c r="Q104" i="4"/>
  <c r="L106" i="4"/>
  <c r="M106" i="4"/>
  <c r="Q106" i="4"/>
  <c r="L118" i="4"/>
  <c r="M118" i="4"/>
  <c r="Q118" i="4"/>
  <c r="L103" i="4"/>
  <c r="M103" i="4"/>
  <c r="Q103" i="4"/>
  <c r="L102" i="4"/>
  <c r="M102" i="4"/>
  <c r="Q102" i="4"/>
  <c r="L101" i="4"/>
  <c r="M101" i="4"/>
  <c r="Q101" i="4"/>
  <c r="L100" i="4"/>
  <c r="M100" i="4"/>
  <c r="L84" i="4"/>
  <c r="M84" i="4"/>
  <c r="Q84" i="4"/>
  <c r="L85" i="4"/>
  <c r="M85" i="4"/>
  <c r="Q85" i="4"/>
  <c r="L86" i="4"/>
  <c r="M86" i="4"/>
  <c r="Q86" i="4"/>
  <c r="L87" i="4"/>
  <c r="M87" i="4"/>
  <c r="Q87" i="4"/>
  <c r="L88" i="4"/>
  <c r="M88" i="4"/>
  <c r="Q88" i="4"/>
  <c r="L89" i="4"/>
  <c r="M89" i="4"/>
  <c r="Q89" i="4"/>
  <c r="Q57" i="3"/>
  <c r="Q58" i="3"/>
  <c r="Q59" i="3"/>
  <c r="Q60" i="3"/>
  <c r="L78" i="6"/>
  <c r="M78" i="6" s="1"/>
  <c r="Q78" i="6" s="1"/>
  <c r="L79" i="6"/>
  <c r="M79" i="6" s="1"/>
  <c r="Q79" i="6" s="1"/>
  <c r="L80" i="6"/>
  <c r="M80" i="6" s="1"/>
  <c r="Q80" i="6" s="1"/>
  <c r="L77" i="6"/>
  <c r="M77" i="6" s="1"/>
  <c r="Q77" i="6" s="1"/>
  <c r="L79" i="3"/>
  <c r="M79" i="3"/>
  <c r="Q79" i="3"/>
  <c r="L78" i="3"/>
  <c r="M78" i="3"/>
  <c r="Q78" i="3"/>
  <c r="L77" i="3"/>
  <c r="M77" i="3"/>
  <c r="Q77" i="3"/>
  <c r="M83" i="5"/>
  <c r="Q83" i="5"/>
  <c r="M81" i="5"/>
  <c r="Q81" i="5"/>
  <c r="M92" i="5"/>
  <c r="Q92" i="5"/>
  <c r="M91" i="5"/>
  <c r="Q91" i="5"/>
  <c r="M90" i="5"/>
  <c r="Q90" i="5"/>
  <c r="M89" i="5"/>
  <c r="Q89" i="5"/>
  <c r="M88" i="5"/>
  <c r="Q88" i="5"/>
  <c r="M85" i="5"/>
  <c r="Q85" i="5"/>
  <c r="M84" i="5"/>
  <c r="Q84" i="5"/>
  <c r="M82" i="5"/>
  <c r="Q82" i="5"/>
  <c r="L84" i="3"/>
  <c r="M84" i="3"/>
  <c r="Q84" i="3"/>
  <c r="L85" i="3"/>
  <c r="M85" i="3"/>
  <c r="Q85" i="3"/>
  <c r="L86" i="3"/>
  <c r="M86" i="3"/>
  <c r="Q86" i="3"/>
  <c r="L87" i="3"/>
  <c r="M87" i="3"/>
  <c r="Q87" i="3"/>
  <c r="L83" i="3"/>
  <c r="M83" i="3"/>
  <c r="M50" i="3"/>
  <c r="Q50" i="3"/>
  <c r="M51" i="3"/>
  <c r="Q51" i="3"/>
  <c r="M52" i="3"/>
  <c r="Q52" i="3"/>
  <c r="L53" i="3"/>
  <c r="M53" i="3"/>
  <c r="Q53" i="3"/>
  <c r="L54" i="3"/>
  <c r="M54" i="3"/>
  <c r="Q54" i="3"/>
  <c r="L55" i="3"/>
  <c r="M55" i="3"/>
  <c r="Q55" i="3"/>
  <c r="L56" i="3"/>
  <c r="M56" i="3"/>
  <c r="Q56" i="3"/>
  <c r="M88" i="8"/>
  <c r="M87" i="8"/>
  <c r="M86" i="8"/>
  <c r="M85" i="8"/>
  <c r="M84" i="8"/>
  <c r="M81" i="8"/>
  <c r="M80" i="8"/>
  <c r="M79" i="8"/>
  <c r="M78" i="8"/>
  <c r="M77" i="8"/>
  <c r="Q75" i="8"/>
  <c r="M109" i="6"/>
  <c r="Q109" i="6" s="1"/>
  <c r="M119" i="6"/>
  <c r="Q119" i="6" s="1"/>
  <c r="M123" i="6"/>
  <c r="Q123" i="6" s="1"/>
  <c r="M121" i="6"/>
  <c r="Q121" i="6" s="1"/>
  <c r="M120" i="6"/>
  <c r="Q120" i="6" s="1"/>
  <c r="M115" i="6"/>
  <c r="Q115" i="6" s="1"/>
  <c r="M132" i="4"/>
  <c r="Q132" i="4"/>
  <c r="M131" i="4"/>
  <c r="Q131" i="4"/>
  <c r="M130" i="4"/>
  <c r="Q130" i="4"/>
  <c r="M129" i="4"/>
  <c r="Q129" i="4"/>
  <c r="M128" i="4"/>
  <c r="Q128" i="4"/>
  <c r="M125" i="4"/>
  <c r="Q125" i="4"/>
  <c r="M124" i="4"/>
  <c r="Q124" i="4"/>
  <c r="M123" i="4"/>
  <c r="Q123" i="4"/>
  <c r="M122" i="4"/>
  <c r="Q122" i="4"/>
  <c r="M121" i="4"/>
  <c r="Q121" i="4"/>
  <c r="Q84" i="7"/>
  <c r="Q77" i="7"/>
  <c r="Q70" i="7"/>
  <c r="M100" i="3"/>
  <c r="Q100" i="3"/>
  <c r="M99" i="3"/>
  <c r="Q99" i="3"/>
  <c r="M98" i="3"/>
  <c r="Q98" i="3"/>
  <c r="M101" i="3"/>
  <c r="Q101" i="3"/>
  <c r="M97" i="3"/>
  <c r="Q97" i="3"/>
  <c r="M94" i="3"/>
  <c r="Q94" i="3"/>
  <c r="M93" i="3"/>
  <c r="M92" i="3"/>
  <c r="Q92" i="3"/>
  <c r="M91" i="3"/>
  <c r="Q91" i="3"/>
  <c r="M90" i="3"/>
  <c r="Q90" i="3"/>
  <c r="Q83" i="7"/>
  <c r="Q82" i="7"/>
  <c r="Q81" i="7"/>
  <c r="Q80" i="7"/>
  <c r="Q79" i="7"/>
  <c r="Q76" i="7"/>
  <c r="Q75" i="7"/>
  <c r="Q74" i="7"/>
  <c r="Q73" i="7"/>
  <c r="Q72" i="7"/>
  <c r="M83" i="7"/>
  <c r="M82" i="7"/>
  <c r="M81" i="7"/>
  <c r="M80" i="7"/>
  <c r="M79" i="7"/>
  <c r="M76" i="7"/>
  <c r="M75" i="7"/>
  <c r="M74" i="7"/>
  <c r="M73" i="7"/>
  <c r="M72" i="7"/>
  <c r="M75" i="3"/>
  <c r="Q75" i="3"/>
  <c r="M76" i="3"/>
  <c r="Q76" i="3"/>
  <c r="M80" i="3"/>
  <c r="Q80" i="3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M74" i="8"/>
  <c r="Q74" i="8"/>
  <c r="Q73" i="8"/>
  <c r="M73" i="8"/>
  <c r="M72" i="8"/>
  <c r="Q72" i="8"/>
  <c r="M71" i="8"/>
  <c r="Q71" i="8"/>
  <c r="M70" i="8"/>
  <c r="Q70" i="8"/>
  <c r="M69" i="7"/>
  <c r="Q69" i="7"/>
  <c r="Q68" i="7"/>
  <c r="M68" i="7"/>
  <c r="M67" i="7"/>
  <c r="Q67" i="7"/>
  <c r="M66" i="7"/>
  <c r="Q66" i="7"/>
  <c r="M65" i="7"/>
  <c r="Q65" i="7"/>
  <c r="M62" i="7"/>
  <c r="Q62" i="7"/>
  <c r="M61" i="7"/>
  <c r="Q61" i="7"/>
  <c r="M60" i="7"/>
  <c r="Q60" i="7"/>
  <c r="M59" i="7"/>
  <c r="Q59" i="7"/>
  <c r="M58" i="7"/>
  <c r="Q58" i="7"/>
  <c r="M57" i="7"/>
  <c r="Q57" i="7"/>
  <c r="Q56" i="7"/>
  <c r="M56" i="7"/>
  <c r="M55" i="7"/>
  <c r="Q55" i="7"/>
  <c r="M54" i="7"/>
  <c r="Q54" i="7"/>
  <c r="M53" i="7"/>
  <c r="Q53" i="7"/>
  <c r="M52" i="7"/>
  <c r="Q52" i="7"/>
  <c r="M51" i="7"/>
  <c r="Q51" i="7"/>
  <c r="M50" i="7"/>
  <c r="Q50" i="7"/>
  <c r="M49" i="7"/>
  <c r="Q49" i="7"/>
  <c r="M48" i="7"/>
  <c r="M47" i="7"/>
  <c r="Q47" i="7"/>
  <c r="M46" i="7"/>
  <c r="Q46" i="7"/>
  <c r="M45" i="7"/>
  <c r="Q45" i="7"/>
  <c r="M44" i="7"/>
  <c r="Q44" i="7"/>
  <c r="M106" i="6"/>
  <c r="Q106" i="6"/>
  <c r="M105" i="6"/>
  <c r="Q105" i="6"/>
  <c r="M104" i="6"/>
  <c r="Q104" i="6" s="1"/>
  <c r="M99" i="6"/>
  <c r="Q99" i="6"/>
  <c r="M98" i="6"/>
  <c r="Q98" i="6" s="1"/>
  <c r="M95" i="6"/>
  <c r="Q95" i="6" s="1"/>
  <c r="M94" i="6"/>
  <c r="Q94" i="6" s="1"/>
  <c r="M93" i="6"/>
  <c r="Q93" i="6" s="1"/>
  <c r="M87" i="6"/>
  <c r="Q87" i="6" s="1"/>
  <c r="M70" i="5"/>
  <c r="Q70" i="5"/>
  <c r="M67" i="5"/>
  <c r="Q67" i="5"/>
  <c r="M66" i="5"/>
  <c r="Q66" i="5"/>
  <c r="M65" i="5"/>
  <c r="Q65" i="5"/>
  <c r="M64" i="5"/>
  <c r="Q64" i="5"/>
  <c r="M63" i="5"/>
  <c r="Q63" i="5"/>
  <c r="M62" i="5"/>
  <c r="M68" i="5" s="1"/>
  <c r="Q62" i="5"/>
  <c r="M61" i="5"/>
  <c r="Q61" i="5"/>
  <c r="M60" i="5"/>
  <c r="Q60" i="5"/>
  <c r="M57" i="5"/>
  <c r="Q57" i="5"/>
  <c r="M56" i="5"/>
  <c r="Q56" i="5"/>
  <c r="M53" i="5"/>
  <c r="Q53" i="5"/>
  <c r="M52" i="5"/>
  <c r="M51" i="5"/>
  <c r="Q51" i="5"/>
  <c r="M50" i="5"/>
  <c r="Q50" i="5"/>
  <c r="M49" i="5"/>
  <c r="Q49" i="5" s="1"/>
  <c r="M74" i="3"/>
  <c r="Q74" i="3"/>
  <c r="M72" i="3"/>
  <c r="Q72" i="3"/>
  <c r="Q80" i="1"/>
  <c r="Q81" i="1"/>
  <c r="Q82" i="1"/>
  <c r="M80" i="1"/>
  <c r="M79" i="1"/>
  <c r="Q79" i="1"/>
  <c r="M78" i="1"/>
  <c r="Q78" i="1"/>
  <c r="M73" i="3"/>
  <c r="Q73" i="3"/>
  <c r="Q68" i="8"/>
  <c r="Q48" i="7"/>
  <c r="Q52" i="5"/>
  <c r="O69" i="1"/>
  <c r="N69" i="1"/>
  <c r="M69" i="1"/>
  <c r="Q67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60" i="1"/>
  <c r="Q61" i="1"/>
  <c r="Q62" i="1"/>
  <c r="Q63" i="1"/>
  <c r="Q64" i="1"/>
  <c r="Q65" i="1"/>
  <c r="Q66" i="1"/>
  <c r="Q68" i="1"/>
  <c r="Q3" i="1"/>
  <c r="M119" i="4"/>
  <c r="M98" i="4"/>
  <c r="O46" i="3"/>
  <c r="M70" i="3"/>
  <c r="M105" i="3"/>
  <c r="Q71" i="5"/>
  <c r="M126" i="4"/>
  <c r="M133" i="4"/>
  <c r="Q100" i="4"/>
  <c r="M95" i="3"/>
  <c r="M102" i="3"/>
  <c r="M81" i="3"/>
  <c r="Q81" i="3"/>
  <c r="Q93" i="3"/>
  <c r="M88" i="3"/>
  <c r="Q83" i="3"/>
  <c r="M136" i="4"/>
  <c r="M102" i="10" l="1"/>
  <c r="M109" i="10"/>
  <c r="M130" i="11"/>
  <c r="Q130" i="11" s="1"/>
  <c r="M116" i="12"/>
  <c r="Q116" i="12" s="1"/>
  <c r="M88" i="12"/>
  <c r="Q88" i="12" s="1"/>
  <c r="Q111" i="12"/>
  <c r="M102" i="12"/>
  <c r="M123" i="11"/>
  <c r="Q123" i="11" s="1"/>
  <c r="M151" i="11"/>
  <c r="Q151" i="11" s="1"/>
  <c r="M137" i="11"/>
  <c r="M144" i="11"/>
  <c r="Q69" i="12"/>
  <c r="M95" i="12"/>
  <c r="Q95" i="12" s="1"/>
  <c r="M100" i="9"/>
  <c r="M81" i="9"/>
  <c r="Q81" i="9" s="1"/>
  <c r="M93" i="9"/>
  <c r="Q126" i="11"/>
  <c r="Q147" i="11"/>
  <c r="Q75" i="11"/>
  <c r="Q68" i="10"/>
  <c r="M90" i="10"/>
  <c r="Q90" i="10" s="1"/>
  <c r="M116" i="10"/>
  <c r="Q116" i="10" s="1"/>
  <c r="Q107" i="9"/>
  <c r="M116" i="6"/>
  <c r="M107" i="6"/>
  <c r="Q107" i="6" s="1"/>
  <c r="M96" i="6"/>
  <c r="Q96" i="6" s="1"/>
  <c r="M124" i="6"/>
  <c r="M131" i="6"/>
  <c r="Q131" i="6" s="1"/>
  <c r="Q110" i="6"/>
  <c r="Q96" i="8"/>
  <c r="Q91" i="8"/>
  <c r="M155" i="11" l="1"/>
  <c r="M120" i="12"/>
  <c r="M120" i="10"/>
  <c r="M111" i="9"/>
  <c r="M135" i="6"/>
</calcChain>
</file>

<file path=xl/sharedStrings.xml><?xml version="1.0" encoding="utf-8"?>
<sst xmlns="http://schemas.openxmlformats.org/spreadsheetml/2006/main" count="4019" uniqueCount="1014">
  <si>
    <t>12月請求分</t>
    <phoneticPr fontId="5"/>
  </si>
  <si>
    <t>整理ID</t>
  </si>
  <si>
    <t>カート番号</t>
  </si>
  <si>
    <t>発送</t>
  </si>
  <si>
    <t>発注日時</t>
  </si>
  <si>
    <t>発送先</t>
  </si>
  <si>
    <t>商品コード</t>
  </si>
  <si>
    <t>商品名</t>
  </si>
  <si>
    <t>単価(税別)</t>
  </si>
  <si>
    <t>入数</t>
  </si>
  <si>
    <t>受注数</t>
  </si>
  <si>
    <t>単位</t>
  </si>
  <si>
    <t>合計金額(税別)</t>
  </si>
  <si>
    <t>合計金額(税込)</t>
  </si>
  <si>
    <t>送料(税別)</t>
  </si>
  <si>
    <t>発送状況</t>
  </si>
  <si>
    <t>納期</t>
  </si>
  <si>
    <t>単価</t>
    <rPh sb="0" eb="2">
      <t>タンカ</t>
    </rPh>
    <phoneticPr fontId="5"/>
  </si>
  <si>
    <r>
      <rPr>
        <sz val="11"/>
        <color theme="1"/>
        <rFont val="Calibri"/>
        <family val="3"/>
        <charset val="128"/>
        <scheme val="minor"/>
      </rPr>
      <t>ピーチトイ</t>
    </r>
    <phoneticPr fontId="5"/>
  </si>
  <si>
    <t>スポガ久留米 卓球ゲームコーナー</t>
  </si>
  <si>
    <t>サンリオフェイスパスケース　ヒョウ柄</t>
    <rPh sb="17" eb="18">
      <t>ガラ</t>
    </rPh>
    <phoneticPr fontId="5"/>
  </si>
  <si>
    <t>箱</t>
    <rPh sb="0" eb="1">
      <t>ハコ</t>
    </rPh>
    <phoneticPr fontId="5"/>
  </si>
  <si>
    <t>株式会社change</t>
  </si>
  <si>
    <t>MEGAドン・キホーテ飯塚店内ゲームコーナー</t>
  </si>
  <si>
    <t>鹿児島事務所</t>
    <rPh sb="0" eb="3">
      <t>カゴシマ</t>
    </rPh>
    <rPh sb="3" eb="6">
      <t>ジムショ</t>
    </rPh>
    <phoneticPr fontId="5"/>
  </si>
  <si>
    <t>サンリオマスコットポーチ　ヒョウ柄　キティ40　クロミ30　シナモ15　マイメロ15</t>
    <rPh sb="16" eb="17">
      <t>ガラ</t>
    </rPh>
    <phoneticPr fontId="5"/>
  </si>
  <si>
    <t>サンリオフェイスポーチ　ふわふわケープ　キティ35　黒キティ35　シナモ15　マイメロ15</t>
    <rPh sb="26" eb="27">
      <t>クロ</t>
    </rPh>
    <phoneticPr fontId="5"/>
  </si>
  <si>
    <t>サンリオ寝そべりクッションミニ　ふわふわケープ　キティ18　黒キティ18　シナモ7　マイメロ7</t>
  </si>
  <si>
    <r>
      <rPr>
        <sz val="11"/>
        <color theme="1"/>
        <rFont val="Calibri"/>
        <family val="3"/>
        <charset val="128"/>
        <scheme val="minor"/>
      </rPr>
      <t>インフィニティ</t>
    </r>
    <phoneticPr fontId="5"/>
  </si>
  <si>
    <r>
      <rPr>
        <sz val="11"/>
        <color theme="1"/>
        <rFont val="Calibri"/>
        <family val="3"/>
        <charset val="128"/>
        <scheme val="minor"/>
      </rPr>
      <t>エスディーワイ</t>
    </r>
    <phoneticPr fontId="5"/>
  </si>
  <si>
    <t>ネクストステージ</t>
    <phoneticPr fontId="5"/>
  </si>
  <si>
    <t>アクシズ</t>
    <phoneticPr fontId="5"/>
  </si>
  <si>
    <t>野芥</t>
    <rPh sb="0" eb="2">
      <t>ノケ</t>
    </rPh>
    <phoneticPr fontId="5"/>
  </si>
  <si>
    <t>★スヌーピー 寝そべりマスコット</t>
  </si>
  <si>
    <t>久留米</t>
    <rPh sb="0" eb="3">
      <t>クルメ</t>
    </rPh>
    <phoneticPr fontId="5"/>
  </si>
  <si>
    <t>★ジャグラー超BIGボストンバッグ</t>
  </si>
  <si>
    <t>★ジャグラーサテンピロー</t>
  </si>
  <si>
    <t>11月請求分</t>
    <phoneticPr fontId="5"/>
  </si>
  <si>
    <t>サンリオフェイスパスケース　ヒョウ柄　キティ22　クロミ18　シナモ10　マイメロ10</t>
    <rPh sb="17" eb="18">
      <t>ガラ</t>
    </rPh>
    <phoneticPr fontId="5"/>
  </si>
  <si>
    <t>サンリオフェイスポーチ　ヒョウ柄　キティ40　クロミ30　シナモ15　マイメロ15</t>
    <rPh sb="15" eb="16">
      <t>ガラ</t>
    </rPh>
    <phoneticPr fontId="5"/>
  </si>
  <si>
    <t>サンリオスマートキーケース　ヒョウ柄　キティ40　クロミ30　シナモ15　マイメロ15</t>
    <rPh sb="17" eb="18">
      <t>ガラ</t>
    </rPh>
    <phoneticPr fontId="5"/>
  </si>
  <si>
    <t>サンリオスマートキーケース　ヒョウ柄　キティ40　クロミ30　シナモ15　マイメロ15</t>
  </si>
  <si>
    <t>サンリオミニミニバニティポーチ　ヒョウ柄　キティ30　クロミ26　シナモ12　マイメロ12</t>
  </si>
  <si>
    <t>サンリオミニミニバニティポーチ　ヒョウ柄　キティ30　クロミ26　シナモ12　マイメロ12</t>
    <rPh sb="19" eb="20">
      <t>ガラ</t>
    </rPh>
    <phoneticPr fontId="5"/>
  </si>
  <si>
    <t>サンリオヘアバンド　ヒョウ柄　キティ40　クロミ30　シナモ15　マイメロ15</t>
    <rPh sb="13" eb="14">
      <t>ガラ</t>
    </rPh>
    <phoneticPr fontId="5"/>
  </si>
  <si>
    <t>サンリオヘアバンド　ヒョウ柄　キティ40　クロミ30　シナモ15　マイメロ15</t>
  </si>
  <si>
    <t>サンリオフェイスポーチ　ふわふわケープ　キティ35　黒キティ35　シナモ15　マイメロ15</t>
  </si>
  <si>
    <t>サンリオスマートキーケース　ウィンター　キティ40　クロミ30　シナモ15　マイメロ15</t>
    <phoneticPr fontId="5"/>
  </si>
  <si>
    <t>サンリオスマートキーケース　ウィンター　キティ40　クロミ30　シナモ15　マイメロ15</t>
  </si>
  <si>
    <t>サンリオマスコットポーチ　ウィンター　キティ40　クロミ30　シナモ15　マイメロ15</t>
    <phoneticPr fontId="5"/>
  </si>
  <si>
    <t>サンリオマスコットポーチ　ウィンター　キティ40　クロミ30　シナモ15　マイメロ15</t>
  </si>
  <si>
    <t>モンチッチ　カラビナ付きミニミニポーチ　チムタン30　チャム30　リボン24　ノーマル12</t>
    <rPh sb="10" eb="11">
      <t>ツ</t>
    </rPh>
    <phoneticPr fontId="5"/>
  </si>
  <si>
    <t>10月請求分</t>
    <phoneticPr fontId="5"/>
  </si>
  <si>
    <t>準備中</t>
  </si>
  <si>
    <t>RB764</t>
  </si>
  <si>
    <t>ミュージック付き拡声器ボイコレBC　サイズ：約Ｗ6.5×Ｄ6×Ｈ6.5㎝　4種</t>
  </si>
  <si>
    <t>箱</t>
  </si>
  <si>
    <t>発注受付
10/1出荷</t>
  </si>
  <si>
    <t>2025年04月 上旬</t>
  </si>
  <si>
    <t>発送完了</t>
  </si>
  <si>
    <t>RR522</t>
  </si>
  <si>
    <t xml:space="preserve"> どこでもバスボタン NEXT2ピンポン(ハーフ/クォーター+1000円)【箱サイズ:7x4x7cm ウィンドウBOX入】</t>
  </si>
  <si>
    <t>9/26発送完了（10月伝票）</t>
  </si>
  <si>
    <t>2025年09月 即納</t>
  </si>
  <si>
    <t>UC149</t>
  </si>
  <si>
    <t>ミニゲームキーリングツートーン　【商品サイズ】H6.5×W6.5×D4.5cm</t>
  </si>
  <si>
    <t>10/1発送予定</t>
  </si>
  <si>
    <t>SK493</t>
  </si>
  <si>
    <t>なんちゃって うそ発見器 ！？ EX  240入(ハーフ/クォーター+1000円)【箱サイズ:約6x3.5x4cm カラーパッケージ入】</t>
  </si>
  <si>
    <t>UB874</t>
  </si>
  <si>
    <t>ジャグラー光る！パネルキーホルダー　BOX4*8*3.5㎝</t>
  </si>
  <si>
    <t>発注受付</t>
  </si>
  <si>
    <t>2025年09月 即納です</t>
  </si>
  <si>
    <t>SB260</t>
  </si>
  <si>
    <t>ジャグラースロットクロックDX（ネオアイムジャグラーEX）【商品サイズ:約H18.5×W14×D7㎝】☆</t>
  </si>
  <si>
    <t>2025年10月 中～下旬</t>
  </si>
  <si>
    <t>SK800</t>
  </si>
  <si>
    <t>ジャグラーオーバルクッション【商品サイズ　H35×W42×D10cm】【PKG　PP】</t>
  </si>
  <si>
    <t>2025年10月 下旬</t>
  </si>
  <si>
    <t>SV550</t>
  </si>
  <si>
    <t>即納　20種以上のアソート  もちふわマシュマロますこっとボールチェーン20種以上のアソート　紙タグ付　約H95×Ｗ85×D60mm</t>
  </si>
  <si>
    <t>SS198</t>
  </si>
  <si>
    <t>アンパンマン もちふわマシュマロますこっと Aアソート【9.5×8.5×6㎝（種類差あり】紙タグ,ビニール袋</t>
  </si>
  <si>
    <t>2025年10月 上旬</t>
  </si>
  <si>
    <t>SX174</t>
  </si>
  <si>
    <t>ロボクリーナーTOUGH19【紙箱入り】【箱サイズ：約H28.5*W31*D8cm】【商品サイズ：H24*W24.5*D5.8cm】</t>
  </si>
  <si>
    <t>商品発送9/25
納品予定9/27</t>
  </si>
  <si>
    <t>SB245</t>
  </si>
  <si>
    <t>クロミ・ポチャッコ ダストBOX【商品サイズ:約H27×W19×D19㎝】☆</t>
  </si>
  <si>
    <t>UA167</t>
  </si>
  <si>
    <t>サンリオ　スカーフ付チャームリュック Ver.2　サイズ：約W9.5×H11×D5.5㎝　4種不均等　※SNS等での告知は厳禁でお願いします※投入不可地域がございます※</t>
  </si>
  <si>
    <t>発注受付
10月下旬</t>
  </si>
  <si>
    <t>SF738</t>
  </si>
  <si>
    <t>スヌーピーミニバニティショルダーバッグ【サイズ　約H9ｘW11xD8cm】</t>
  </si>
  <si>
    <t>SJ355</t>
  </si>
  <si>
    <t>ﾓﾝﾁｯﾁちゃん&amp;ﾁﾑたん ﾏｽｺｯﾄ【パッケージPP　サイズ：約11*7*5.5ｃｍ】モンチッチちゃん＆チムたん　マスコット</t>
  </si>
  <si>
    <t>10/下
J5903430</t>
  </si>
  <si>
    <t xml:space="preserve">発注受付
10月下旬
</t>
  </si>
  <si>
    <t>RZ878</t>
  </si>
  <si>
    <t>2924_Pro超ミニカメラカラフル</t>
  </si>
  <si>
    <t>発注受付
9/3手配済み</t>
  </si>
  <si>
    <t>2025年10月 中旬〜下旬</t>
  </si>
  <si>
    <t>SK444</t>
  </si>
  <si>
    <t>やみつき！光る！カチカチキートップKH　【商品サイズ】H2.7×W1.8×D1.8cm</t>
  </si>
  <si>
    <t>2025年10月 中旬</t>
  </si>
  <si>
    <t>SX688</t>
  </si>
  <si>
    <t>即納  アミューズ不可　バンダイ　それいけ！アンパンマン ぴかぴかスイッチマスコットNEW3　300円</t>
  </si>
  <si>
    <t>袋</t>
  </si>
  <si>
    <t>￥ウ</t>
  </si>
  <si>
    <t>10/下
J5900053</t>
  </si>
  <si>
    <t>SY131</t>
  </si>
  <si>
    <t>サンリオマスコットエコバッグ6種アソート[PP袋][商品サイズ12×7×10cm]</t>
  </si>
  <si>
    <t>10月中下旬発送予定</t>
  </si>
  <si>
    <t>2025年10月 中下旬</t>
  </si>
  <si>
    <t>SB261</t>
  </si>
  <si>
    <t>ジャグラーサウンドフラッシュボタン６(GOLD＆SILVER)【商品サイズ:約H12×W18×D6㎝】☆</t>
  </si>
  <si>
    <t>SS514</t>
  </si>
  <si>
    <t>9月下旬発売　8/5締切　2種　サンリオ　ミミポーチ　PPBOX＋台紙入　約Ｈ88×W97×D47mm</t>
  </si>
  <si>
    <t>2025年09月 下旬</t>
  </si>
  <si>
    <t>SG531</t>
  </si>
  <si>
    <t>ポケットモンスターシリコンミニポーチ　６種～８種おまかせ　【商品サイズ】H68×W82×D30mm（ポーチ部分最大サイズ）</t>
  </si>
  <si>
    <t>受付完了　10月</t>
  </si>
  <si>
    <t>島添勝也</t>
  </si>
  <si>
    <t>SJ730</t>
  </si>
  <si>
    <t>サンリオカラビナ付きぬいぐるみファスナー　４種　【商品サイズ】H100×W115×D50mm</t>
  </si>
  <si>
    <t>RY856</t>
  </si>
  <si>
    <t>サンリオフェイスヘアバンド　ハローキティ　４種　【商品サイズ】H100×W235mm</t>
  </si>
  <si>
    <t>SI252</t>
  </si>
  <si>
    <t>●7/8締切 300　ベネリック　サンリオキャラクターズ レトロミニ定規＆分度器キーホルダー</t>
  </si>
  <si>
    <t>SI253</t>
  </si>
  <si>
    <t>●7/8締切 300　ベネリック　サンリオキャラクターズ　ふいうちキュートショットキーホルダー</t>
  </si>
  <si>
    <t>SJ126</t>
  </si>
  <si>
    <t>10月下旬発売　7/24締切　5種　サンリオ　ジュエリークリップ　OPP袋入　約H80×W115×D15mm</t>
  </si>
  <si>
    <t>SB250</t>
  </si>
  <si>
    <t xml:space="preserve"> ジャグラーゆらゆらソーラースウィング２(蓄光)【商品サイズ:約H10×W10×D8.5㎝】☆</t>
  </si>
  <si>
    <t>SB173</t>
  </si>
  <si>
    <t xml:space="preserve"> デジタルミニカメラ Petit3 96入(ハーフ/クォーター+1000円)【サイズ:約8cm カラーパッケージ入】</t>
  </si>
  <si>
    <t>10/上</t>
  </si>
  <si>
    <t>SB839</t>
  </si>
  <si>
    <t>6/18〆切　ちいかわまんまるミニシリコンポーチ【約7㎝】※通常送料＋別途送料（発注数×6000円）</t>
  </si>
  <si>
    <t>SB837</t>
  </si>
  <si>
    <t>6/18〆切　ちいかわぬいふわトートミニ【約17㎝　取っ手含まず】※通常送料＋別途送料（発注数×6000円）</t>
  </si>
  <si>
    <t>SB006</t>
  </si>
  <si>
    <t>●6/10締切  400　夢屋　サンリオ　ハローキティエコバッグ</t>
  </si>
  <si>
    <t>発注受付
10/1出荷予定</t>
  </si>
  <si>
    <t>2025年09月 中旬</t>
  </si>
  <si>
    <t>RY323</t>
  </si>
  <si>
    <t>U1855 ピュレグミワイヤレスイヤホン 2種不均等(60入)　サイズ：約H6×W6×D3ｃm</t>
  </si>
  <si>
    <t>受注完了</t>
  </si>
  <si>
    <t>2025年10月 中旬～</t>
  </si>
  <si>
    <t>ピーチトイ</t>
    <phoneticPr fontId="5"/>
  </si>
  <si>
    <t>サンリオぬいぐるみポシェットボアポーチ　キティ15クロミ15シナモ12ポチャ12マイメロ9ハンギョ9</t>
    <phoneticPr fontId="5"/>
  </si>
  <si>
    <t>サンリオぬいぐるみポシェットボアポーチ　キティ15クロミ15シナモ12ポチャ12マイメロ9ハンギョ9</t>
  </si>
  <si>
    <t>ＤNキラキラブレスレット</t>
    <phoneticPr fontId="5"/>
  </si>
  <si>
    <t>インフィニティ</t>
    <phoneticPr fontId="5"/>
  </si>
  <si>
    <t>9月請求分</t>
    <phoneticPr fontId="5"/>
  </si>
  <si>
    <t>SK634</t>
  </si>
  <si>
    <t>AIﾓﾝｽﾀｰぬいぐるみﾏｽｺｯﾄ20㎝</t>
  </si>
  <si>
    <t>2025年08月 上</t>
  </si>
  <si>
    <t>JS249</t>
  </si>
  <si>
    <t>ダイヤカットクリアストーン グリーン10kg(送料+1000円 ハーフ不可)</t>
  </si>
  <si>
    <t>9/18発送完了</t>
  </si>
  <si>
    <t>KR714</t>
  </si>
  <si>
    <t>ダイヤカットクリアストーン クリア10kg(送料+1000円 ハーフ不可)</t>
  </si>
  <si>
    <t>SG712</t>
  </si>
  <si>
    <t>ダイヤカットクリアストーンα ピンク10kg(送料+1000円 ハーフ不可)</t>
  </si>
  <si>
    <t>SJ681</t>
  </si>
  <si>
    <t>カムカム120ｇボトル 2種【商品サイズ　H9×W6.4×D6.4cm】【賞味期限　製造から1年】</t>
  </si>
  <si>
    <t>9月16日出荷　9月18日着</t>
  </si>
  <si>
    <t>2025年07月 受注後1週間</t>
  </si>
  <si>
    <t>SS962</t>
  </si>
  <si>
    <t>ガブリチュウMINIボトル【デザインボトル入り】【ボトルサイズ：約8.5*Φ6.5cm】</t>
  </si>
  <si>
    <t>商品発送9/12
納品予定9/16</t>
  </si>
  <si>
    <t>SV956</t>
  </si>
  <si>
    <t>忍者めしミニチュアポット2種 【ミニポット入り】【ミニポットサイズ：約H11*W7×D7cm】</t>
  </si>
  <si>
    <t>商品発送9/16
納品予定9/18</t>
  </si>
  <si>
    <t>JX690</t>
  </si>
  <si>
    <t>【価格改定】湖池屋ポテトチップス5個パック2種【商品サイズ：20×21×16cm】</t>
  </si>
  <si>
    <t>2025年09月 受注後約1週間　</t>
  </si>
  <si>
    <t>UB253</t>
  </si>
  <si>
    <t>マルちゃん正麺カップ4種アソート【商品サイズ　H7.7×W18×D18cm】【賞味期限　製造から180日】</t>
  </si>
  <si>
    <t>2025年09月 受注後1週間</t>
  </si>
  <si>
    <t>RC777</t>
  </si>
  <si>
    <t>熱血! 匠のﾊﾞﾁ 5【パッケージBOX　サイズ：約39.5*14.5*3.5ｃｍ】熱血！　匠のバチ　５</t>
  </si>
  <si>
    <t>9/11発送完了
J5905551</t>
  </si>
  <si>
    <t>2025年03月 上旬</t>
  </si>
  <si>
    <t>RC821</t>
  </si>
  <si>
    <t>ﾜｲﾔﾚｽBIGｶﾗｵｹﾏｲｸ【パッケージBOX　サイズ：約22.5*12*12ｃｍ】※通常送料＋別途送料 （発注数×4000円）ワイヤレスＢＩＧカラオケマイク</t>
  </si>
  <si>
    <t>9/11発送完了
J5905549</t>
  </si>
  <si>
    <t>2025年05月 上旬</t>
  </si>
  <si>
    <t>RC829</t>
  </si>
  <si>
    <t>ﾃﾞﾋﾞﾙ ﾜｲﾔﾚｽﾍｯﾄﾞﾌｫﾝ 2【パッケージBOX　サイズ：約24*18*7ｃｍ】※通常送料＋別途送料 （発注数×3000円）デビル　ワイヤレスヘッドフォン　２</t>
  </si>
  <si>
    <t>9/11発送完了
J5905547</t>
  </si>
  <si>
    <t>SU437</t>
  </si>
  <si>
    <t>サンリオ ミニポシェット立体アップリケ刺繍　　約16*21.5*3㎝</t>
  </si>
  <si>
    <t>2025年08月 即納です</t>
  </si>
  <si>
    <t>JS246</t>
  </si>
  <si>
    <t>ダイヤカットクリアストーン ブルー10kg(送料+1000円 ハーフ不可)</t>
  </si>
  <si>
    <t>9/8発送完了</t>
  </si>
  <si>
    <t>SG579</t>
  </si>
  <si>
    <t xml:space="preserve">   光る！麻雀牌 ～ＳＰ～  448入(ハーフ/クォーター+1000円)【パッケージサイズ:約3.3x2.8x4.4cm PP袋入】</t>
  </si>
  <si>
    <t>9/5発送完了</t>
  </si>
  <si>
    <t>SW650</t>
  </si>
  <si>
    <t>ハイグレードゴールドメタルスピナー【商品サイズ：約7cm】</t>
  </si>
  <si>
    <t>HH443</t>
  </si>
  <si>
    <t>お菓子ソックスランダムアソート[紙ヘッダー][商品サイズ22～24cm]</t>
  </si>
  <si>
    <t>9/9発送完了</t>
  </si>
  <si>
    <t>2025年08月 上旬</t>
  </si>
  <si>
    <t>JX225</t>
  </si>
  <si>
    <t>スロットマシンmini 6colors 432入＠141(ハーフ/クォーター+1000円)【サイズ:約5.5cm 個別PP袋入】</t>
  </si>
  <si>
    <t>9/4発送完了</t>
  </si>
  <si>
    <t>SW908</t>
  </si>
  <si>
    <t>aiモンスターマスコットキーホルダー【約18㎝】</t>
  </si>
  <si>
    <t>SW601</t>
  </si>
  <si>
    <t>液晶付きミニデジタルカメラ vogue 64入(ハーフ/クォーター+1000円)【サイズ:約8cm カラーPKG入】</t>
  </si>
  <si>
    <t>9/17発送完了</t>
  </si>
  <si>
    <t xml:space="preserve">9/17発送完了
</t>
  </si>
  <si>
    <t>発注受付
9/4出荷</t>
  </si>
  <si>
    <t>9/3発送完了</t>
  </si>
  <si>
    <t>SZ412</t>
  </si>
  <si>
    <t>BE1968ぷくっとアングリーKH</t>
  </si>
  <si>
    <t>発注受付
9/3手配済み
9/16出荷</t>
  </si>
  <si>
    <t>2025年09月 末～</t>
  </si>
  <si>
    <t>HC712</t>
  </si>
  <si>
    <t>ミニピストルライトキーホルダー[個包装PP袋][商品サイズ：1.8*4*5cm]</t>
  </si>
  <si>
    <t>RI737</t>
  </si>
  <si>
    <t xml:space="preserve">  ミニミニ NEWクレーンアームキーホルダー2 320入＠182(ハーフ/クォーター+1000円)【サイズ:約6cm 個別袋入 】</t>
  </si>
  <si>
    <t>RZ992</t>
  </si>
  <si>
    <t>AIモンスターズﾊｲｸｵﾘﾃｨﾌｨｷﾞｭｱKHストラップ付5.7×8㎝</t>
  </si>
  <si>
    <t>9/2出荷完了</t>
  </si>
  <si>
    <t>2025年06月 中旬</t>
  </si>
  <si>
    <t>KF567</t>
  </si>
  <si>
    <t>やみつき！光る！カチカチキートップKH【商品サイズ：約3cm】</t>
  </si>
  <si>
    <t>2025年11月 上旬</t>
  </si>
  <si>
    <t>9/2発送完了</t>
  </si>
  <si>
    <t>SK719</t>
  </si>
  <si>
    <t>8/20 納期遅延連絡済み
9月伝票変更
納期変更前：8月下旬
納期変更後：9月上旬
9/18発送完了</t>
  </si>
  <si>
    <t>2025年08月 下旬</t>
  </si>
  <si>
    <t>SG544</t>
  </si>
  <si>
    <t>ポケットモンスターシリコンミニポーチ　４種　【商品サイズ】H60～70×W60～80×D20～25mm</t>
  </si>
  <si>
    <t>受付完了7月
7/16 納期遅延連絡済み
9月伝票変更
納期変更前：7月
納期変更後：9月中旬</t>
  </si>
  <si>
    <t>2025年07月 中旬</t>
  </si>
  <si>
    <t>SK492</t>
  </si>
  <si>
    <t>携帯ゲーム機 GAME Ark S mini5 96入(ハーフ/クォーター+1000円)【箱サイズ:約9.7cm カラーパッケージ入】</t>
  </si>
  <si>
    <t>9/12発送完了</t>
  </si>
  <si>
    <t>SF324</t>
  </si>
  <si>
    <t>8月下旬発売　7/10締切　4種　サンリオカラビナ付フェイスポーチ　約H115×W130×D70mm</t>
  </si>
  <si>
    <t>8/21 納期遅延連絡済み
9月伝票変更
納期変更前：8月下旬
納期変更後：9月下旬</t>
  </si>
  <si>
    <t>RY896</t>
  </si>
  <si>
    <t>サンリオカラビナ付きぬいぐるみファスナーＭＣ　Ｙ２Ｋ　４種　【商品サイズ】H120×W185×D55mm以内</t>
  </si>
  <si>
    <t>9/1発送完了</t>
  </si>
  <si>
    <t>2025年08月 下旬～9月上旬</t>
  </si>
  <si>
    <t>SF133</t>
  </si>
  <si>
    <t>9月下旬再販　6/19締切　3種　キティ　ヒョウ柄ボールチェーンマスコット　ヘッダー台紙付　約H95×W72×D54mm</t>
  </si>
  <si>
    <t>発注受付
9/19発送完了</t>
  </si>
  <si>
    <t>SF134</t>
  </si>
  <si>
    <t>SA807</t>
  </si>
  <si>
    <t>ﾓﾝﾁｯﾁ ｽﾏｰﾄｷｰｹｰｽ【パッケージPP　サイズ：約9.5*6*2.5ｃｍ】モンチッチ　スマートキーケース</t>
  </si>
  <si>
    <t>9/8発送完了
J4601015</t>
  </si>
  <si>
    <t>9/8発送完了
J4601014</t>
  </si>
  <si>
    <t>RW575</t>
  </si>
  <si>
    <t>ハローキティ ミラークロック【商品サイズ:約H5.5×W14×D3.5㎝】☆</t>
  </si>
  <si>
    <t>2025年09月 中～下旬</t>
  </si>
  <si>
    <t>RR936</t>
  </si>
  <si>
    <t>5/15〆切　ロッテ雪見だいふくクッションＢＩＧ１７（２個口）【約30×16㎝】※通常送料＋別途送料（発注数×3000円）</t>
  </si>
  <si>
    <t>2025年09月 3週発売</t>
  </si>
  <si>
    <t>RW561</t>
  </si>
  <si>
    <t>トッポ ワイヤレスイヤホン【商品サイズ:約H3.1×W6.2×D4.3㎝】☆</t>
  </si>
  <si>
    <t>RW572</t>
  </si>
  <si>
    <t>ジャグラーワイヤレスイヤホン(ＯＶＡＬ２)【商品サイズ:約H3.1×W6.2×D4.3㎝】☆</t>
  </si>
  <si>
    <t>RW570</t>
  </si>
  <si>
    <t>ジャグラーティッシュクロック３（アイムジャグラーEX）【商品サイズ:約H7×W24×D14.5㎝】☆</t>
  </si>
  <si>
    <t>RV279</t>
  </si>
  <si>
    <t>●5/9締切 300　アミューズ不可　バンダイ　それいけ！アンパンマン おっきなねつ気球マスコット2</t>
  </si>
  <si>
    <t>￥ウ　</t>
  </si>
  <si>
    <t>2025年09月 １週目</t>
  </si>
  <si>
    <t>RS346</t>
  </si>
  <si>
    <t>U1823 北斗の拳サウンドチェンジ！！ワイヤレスイヤホンvol.1 1種(60入)　サイズ：約H6×W6×D3ｃm</t>
  </si>
  <si>
    <t>9/11着発送完了</t>
  </si>
  <si>
    <t>2025年09月 中旬～</t>
  </si>
  <si>
    <t>RJ790</t>
  </si>
  <si>
    <t>ジャグラーサウンドフラッシュボタンmini５【商品サイズ:約H6.2×W4.4×D1.4㎝】☆</t>
  </si>
  <si>
    <t>2025年08月 上～中旬</t>
  </si>
  <si>
    <t>8月請求分</t>
    <phoneticPr fontId="5"/>
  </si>
  <si>
    <t>RR533</t>
  </si>
  <si>
    <t>携帯ゲーム機 GAME Ark S mini4 96入＠620(ハーフ/クォーター+1000円)【箱サイズ:約9.7cm カラーパッケージ入】</t>
  </si>
  <si>
    <t>8/29発送完了</t>
  </si>
  <si>
    <t>RC988</t>
  </si>
  <si>
    <t xml:space="preserve">  ぶるぶる電ブルBC  Cute3 180入 @222(ハーフ/クォーター+1000円)【箱サイズ:3x3x11cm カラーパッケージ入】</t>
  </si>
  <si>
    <t>8/22発送完了</t>
  </si>
  <si>
    <t>8/21発送完了</t>
  </si>
  <si>
    <t>8/20発送完了</t>
  </si>
  <si>
    <t>SW331</t>
  </si>
  <si>
    <t>ハイグレードメタルスピナー【商品サイズ：約6cm】</t>
  </si>
  <si>
    <t>RC275</t>
  </si>
  <si>
    <t xml:space="preserve"> ミニチュアハーモニカ2  960入@48.9(ハーフ/クォーター+1000円)【商品サイズ:1.4x1x3.5cm PP袋入】</t>
  </si>
  <si>
    <t>2025年08月 即納</t>
  </si>
  <si>
    <t>SJ961</t>
  </si>
  <si>
    <t>超軽量　充電式COB+3LEDミニフラッシュライト　約10.3*4.3*4.3ｃｍ</t>
  </si>
  <si>
    <t>SG270</t>
  </si>
  <si>
    <t>放送禁止！？音声ボタン 240入(ハーフ/クォーター+1000円)【サイズ:約7cm カラーBOX入】</t>
  </si>
  <si>
    <t>8/19発送完了</t>
  </si>
  <si>
    <t>RR736</t>
  </si>
  <si>
    <t xml:space="preserve"> ミニNEW クレーンアームキーホルダー２ 192入＠273(ハーフ/クォーター+1000円)【サイズ:MAX8.2cm PP袋入 】</t>
  </si>
  <si>
    <t>RB654</t>
  </si>
  <si>
    <t xml:space="preserve"> クレーン用  丸ブリスター小 1000入@8.0（送料＋1000円 ハーフ不可）</t>
  </si>
  <si>
    <t>8/18発送完了</t>
  </si>
  <si>
    <t>SW489</t>
  </si>
  <si>
    <t>即納　ケイカンパニー　サンリオキャラクターズ　リボンチャーム　500円</t>
  </si>
  <si>
    <t>JW467</t>
  </si>
  <si>
    <t>【景品フォーム先行予約発売】景品フォーム先行予約発売　サンリオキャラクターズアクリルチャーム[PP袋][パッケージサイズ：5.5*9.1*0.5㎝]</t>
  </si>
  <si>
    <t>2025年08月 終売</t>
  </si>
  <si>
    <t>SI055</t>
  </si>
  <si>
    <t>カラフル　カギ付き手錠　PKサイズ：約13.5×12×1.5㎝　PK：OPP　6種</t>
  </si>
  <si>
    <t>発注受付
8/18出荷</t>
  </si>
  <si>
    <t>2025年07月 下旬</t>
  </si>
  <si>
    <t>RZ990</t>
  </si>
  <si>
    <t>AIﾓﾝｽﾀｰぬいぐるみ22㎝～37㎝（木８０残り4種20ずつ）</t>
  </si>
  <si>
    <t>8/29出荷完了</t>
  </si>
  <si>
    <t>8/7発送完了</t>
  </si>
  <si>
    <t>SG711</t>
  </si>
  <si>
    <t>ダイヤカットクリアストーンα クリア10kg(送料+1000円 ハーフ不可)</t>
  </si>
  <si>
    <t>7/31発送完了（8月伝票）</t>
  </si>
  <si>
    <t>KV573</t>
  </si>
  <si>
    <t>SPGぬいぐるみ27種２４ｃｍほど</t>
  </si>
  <si>
    <t xml:space="preserve">8/6出荷
8/2納期遅延連絡済み
8月伝票変更
納期変更前：7月
納期変更後：8月２週目出荷予定
</t>
  </si>
  <si>
    <t>2025年01月 20日入荷</t>
  </si>
  <si>
    <t>RU152</t>
  </si>
  <si>
    <t>ポケモンシリコンミニポーチ４種　【商品サイズ】Φ7cm×D2.8cm</t>
  </si>
  <si>
    <t>8/8発送完了
7/31 納期遅延連絡済み
8月伝票変更
納期変更前：7月
納期変更後：8/8頃発送予定</t>
  </si>
  <si>
    <t>2025年07月 中旬～下旬</t>
  </si>
  <si>
    <t>SH893</t>
  </si>
  <si>
    <t>衝撃で光る！ミニクレーンゲームキーリング　サイズ：約3×4×7.3cm　3種</t>
  </si>
  <si>
    <t>発注受付
8/1出荷</t>
  </si>
  <si>
    <t>SF497</t>
  </si>
  <si>
    <t>ふわりんスマイルぬいぐるみS　A【商品サイズ　H25cm】【PKG　タグ】</t>
  </si>
  <si>
    <t>7月30日出荷　8月2日着(8月伝票)</t>
  </si>
  <si>
    <t>2025年08月 上旬予定</t>
  </si>
  <si>
    <t>SJ015</t>
  </si>
  <si>
    <t>チェゴシムカラビナ付ミニファン[箱][パッケージサイズ：6×15×5cm]</t>
  </si>
  <si>
    <t>2025年08月 中旬</t>
  </si>
  <si>
    <t>SG444</t>
  </si>
  <si>
    <t>こびとづかんスマートキーケース　約5.5*9*2㎝</t>
  </si>
  <si>
    <t>2025年08月 下旬予定</t>
  </si>
  <si>
    <t>SG342</t>
  </si>
  <si>
    <t>BE1952きゅるんモンスターサングラスMC</t>
  </si>
  <si>
    <t>発注受付　6/30手配済
8/1出荷</t>
  </si>
  <si>
    <t>2025年11月 中旬</t>
  </si>
  <si>
    <t>SC685</t>
  </si>
  <si>
    <t>●6/15締切 緊急受注　300 くりんぼう　SPG PVCフィギュアキーホルダー</t>
  </si>
  <si>
    <t>￥ウ　
⇒８月延期</t>
  </si>
  <si>
    <t>SB657</t>
  </si>
  <si>
    <t>サンリオ　保温保冷多機能BIGトートバッグVer.２　サイズ：約Ｈ39×Ｗ51×Ｄ3㎝　2種　※ＳＮＳ等での告知は厳禁です！※投入不可地域がございます※</t>
  </si>
  <si>
    <t>発注受付
8月上旬
8/4出荷</t>
  </si>
  <si>
    <t>SB672</t>
  </si>
  <si>
    <t>サンリオ　ジャンボパイルケット　ＰＫサイズ：約Ｈ38×Ｗ26×Ｄ3.5㎝　2種　※ＳＮＳ等での告知は厳禁です！※投入不可地域がございます※</t>
  </si>
  <si>
    <t>発注受付
8月上旬
8/7出荷</t>
  </si>
  <si>
    <t>RW882</t>
  </si>
  <si>
    <t>ﾚﾄﾛﾓﾝﾁｯﾁ ﾏｽｺｯﾄ【パッケージPP　サイズ：約9.5*8*5.5ｃｍ】レトロモンチッチ　マスコット</t>
  </si>
  <si>
    <t>8/20発送完了
J4601016</t>
  </si>
  <si>
    <t>RZ502</t>
  </si>
  <si>
    <t>サンリオフェイスクッション第6弾【商品サイズ　H35×W50×D10cm】【PKG　圧縮PP】</t>
  </si>
  <si>
    <t>8月7日出荷　8月9日着</t>
  </si>
  <si>
    <t>RK716</t>
  </si>
  <si>
    <t>ジャグラーサウンドフラッシュボタンＤＸ(PINK)【商品サイズ:約H4.5×W13×D4.8㎝】☆</t>
  </si>
  <si>
    <t>RY897</t>
  </si>
  <si>
    <t>サンリオトレーディングアイシャドウ風キーチェーン　単品８個　【商品サイズ】H110×W85mm</t>
  </si>
  <si>
    <t>8/26発送完了</t>
  </si>
  <si>
    <t>RX600</t>
  </si>
  <si>
    <t>BE1919　ゲーム型アラームKHにゃんこ</t>
  </si>
  <si>
    <t>発注受付
5/26手配済み
8/1出荷</t>
  </si>
  <si>
    <t>2025年07月 末</t>
  </si>
  <si>
    <t>RJ783</t>
  </si>
  <si>
    <t>雪見だいふく ハンディファンmini【商品サイズ:約5㎝(閉じた時)】☆</t>
  </si>
  <si>
    <t>8/20発送完了
J4503345</t>
  </si>
  <si>
    <t>8/21発送完了
J5802360</t>
  </si>
  <si>
    <t>RW873</t>
  </si>
  <si>
    <t>ﾚﾄﾛﾓﾝﾁｯﾁ BIGぬいぐるみ【パッケージPP　サイズ：約32*22*18ｃｍ】※通常送料＋別途送料 （発注数×3000円）レトロモンチッチ　ＢＩＧぬいぐるみ</t>
  </si>
  <si>
    <t>8/28発送完了
J4503341</t>
  </si>
  <si>
    <t>RV112</t>
  </si>
  <si>
    <t>●5/9締切 300　アミューズ不可　バンダイ　それいけ！アンパンマン おっきなぷらりんアンパンマン7</t>
  </si>
  <si>
    <t>2025年08月 １週目</t>
  </si>
  <si>
    <t>RV787</t>
  </si>
  <si>
    <t>●5/11締切 500　ケーツー　サンリオキャラクターズ キラキラコスメコレクション</t>
  </si>
  <si>
    <t>RI970</t>
  </si>
  <si>
    <t>●4/8締切 300　アミューズ不可　バンダイ　それいけ！アンパンマン ぴかぴかスイッチマスコットNEW3</t>
  </si>
  <si>
    <t>2025年08月 2週目</t>
  </si>
  <si>
    <t>RJ781</t>
  </si>
  <si>
    <t>ガーナ ワイヤレスイヤホン【商品サイズ:約H3×W6×D4㎝】☆</t>
  </si>
  <si>
    <t>RJ799</t>
  </si>
  <si>
    <t>ジャグラーコインホルダー【商品サイズ:約4.5×3.3×4㎝】☆</t>
  </si>
  <si>
    <t>RJ729</t>
  </si>
  <si>
    <t>U1809 Calbeeじゃがりこワイヤレスイヤホンvol.2 2種不均等(60入)　サイズ：約H6×W6×D3ｃm</t>
  </si>
  <si>
    <t>8/22着発送完了</t>
  </si>
  <si>
    <t>2025年08月 中旬～</t>
  </si>
  <si>
    <t>RG004</t>
  </si>
  <si>
    <t>4/27(日)締切【８月上旬~中旬】なクママスコットぬいぐるみ【約9cm】【全3種】</t>
  </si>
  <si>
    <t>発送完了
8/7着</t>
  </si>
  <si>
    <t>2025年08月 上旬~中旬</t>
  </si>
  <si>
    <t>7月請求分</t>
    <phoneticPr fontId="5"/>
  </si>
  <si>
    <t>RF316</t>
  </si>
  <si>
    <t>7月中旬発売　3/25締切　8種　サンリオキャラクターズ　マスコット付4色ボールペン　約H145×直径12mm</t>
  </si>
  <si>
    <t>RF960</t>
  </si>
  <si>
    <t>ジャグラー バスタオル(BOX入り)【商品サイズ:約H60×W120㎝】☆</t>
  </si>
  <si>
    <t>2025年07月 中～下旬</t>
  </si>
  <si>
    <t>RF174</t>
  </si>
  <si>
    <t>クーリッシュ　ワイヤレスイヤホン２(パール)【パッケージサイズ:約6×6×3.5㎝】☆</t>
  </si>
  <si>
    <t>RF021</t>
  </si>
  <si>
    <t>U1770 ロッテスイカ＆メロンバーワイヤレスイヤホン 1種(60入)　サイズ：約H6×W6×D3ｃm</t>
  </si>
  <si>
    <t>2025年07月 中旬～</t>
  </si>
  <si>
    <t>RA596</t>
  </si>
  <si>
    <t>3/25〆切　ロッテ雪見だいふくぬいぐるみＭＣ【4×6.5㎝】</t>
  </si>
  <si>
    <t>2025年07月 3週発売</t>
  </si>
  <si>
    <t>RA592</t>
  </si>
  <si>
    <t>3/25〆切　ロッテ雪見だいふくクッションＢＩＧ１６（２個口）【30×16㎝】※通常送料＋別途送料（発注数×3000円）</t>
  </si>
  <si>
    <t>RF023</t>
  </si>
  <si>
    <t>U1761 アラビックヤマトオイルチャームBC 4種不均等(160入)　サイズ：約H7.5×直径2.5ｃm</t>
  </si>
  <si>
    <t>KY399</t>
  </si>
  <si>
    <t>ミニクレーンゲーム　スティック＆ボタンK／H　商品サイズ6.7×6×4.7cm　クリアBOX入り</t>
  </si>
  <si>
    <t>■7月発送</t>
  </si>
  <si>
    <t>RB586</t>
  </si>
  <si>
    <t>JUGGLER　カラビナ付きラバーマスコット【商品サイズ　H10.5×W7×D0.5cm】【PKG　】</t>
  </si>
  <si>
    <t>2025年07月 中旬予定</t>
  </si>
  <si>
    <t>KZ428</t>
  </si>
  <si>
    <t>7月中旬発売　3/2締切　6種　サンリオキャラクターズ　ヘアブラシ　 オープンパッケージ入　約H218×W130×D50mm</t>
  </si>
  <si>
    <t>おさるのジョージファン</t>
  </si>
  <si>
    <t>おさるのジョージファン</t>
    <phoneticPr fontId="5"/>
  </si>
  <si>
    <t>飯塚</t>
    <rPh sb="0" eb="2">
      <t>イイヅカ</t>
    </rPh>
    <phoneticPr fontId="5"/>
  </si>
  <si>
    <t>鹿児島</t>
    <rPh sb="0" eb="3">
      <t>カゴシマ</t>
    </rPh>
    <phoneticPr fontId="5"/>
  </si>
  <si>
    <t>サンリオカラビナファン</t>
    <phoneticPr fontId="5"/>
  </si>
  <si>
    <t>サンリオマスコットポーチギャル２</t>
    <phoneticPr fontId="5"/>
  </si>
  <si>
    <t>ピクミン　ゆらゆらフィギュア</t>
  </si>
  <si>
    <t>6月請求分</t>
    <phoneticPr fontId="5"/>
  </si>
  <si>
    <t>RY413</t>
  </si>
  <si>
    <t>パール＆グリッタービーズブレスレット</t>
  </si>
  <si>
    <t>個</t>
  </si>
  <si>
    <t>6着予定</t>
  </si>
  <si>
    <t xml:space="preserve">2025年06月 即納　 　 　 　 　 　 　 　 　 　 　 　 　 　 　 　 　 　 </t>
  </si>
  <si>
    <t>KY930</t>
  </si>
  <si>
    <t>アヒルちゃんヘルメット　デコレーションブレスレット【商品サイズ：約6cm】</t>
  </si>
  <si>
    <t>2025年06月 即納</t>
  </si>
  <si>
    <t>JH366</t>
  </si>
  <si>
    <t xml:space="preserve">ﾋﾟｸｾﾙ風ｻﾝｸﾞﾗｽ15.5cm </t>
  </si>
  <si>
    <t>6/2出荷完了
発注受付</t>
  </si>
  <si>
    <t>2024年07月 末</t>
  </si>
  <si>
    <t>RC639</t>
  </si>
  <si>
    <t>カップヌードルドーム缶2種【デザイン缶入り】【缶サイズ：約H17.5*W16.5*D16.5cm】</t>
  </si>
  <si>
    <t>商品発送5/29
納品予定5/31</t>
  </si>
  <si>
    <t>KV574</t>
  </si>
  <si>
    <t>アニマルツムツムラバーマスコット9.5㎝　75ﾊﾟｲには入る</t>
  </si>
  <si>
    <t>5/29出荷完了
発注受付</t>
  </si>
  <si>
    <t>RS522</t>
  </si>
  <si>
    <t>モンチッチマスコット付ゲルペン[PP袋無][商品サイズ15cm]</t>
  </si>
  <si>
    <t>5/29発送完了</t>
  </si>
  <si>
    <t>2025年04月 下旬</t>
  </si>
  <si>
    <t>5/29発送完了（6月伝票）</t>
  </si>
  <si>
    <t>JS247</t>
  </si>
  <si>
    <t>【価格改定】 ダイヤカットクリアストーン ピンク10kg(送料+1000円 ハーフ不可)</t>
  </si>
  <si>
    <t xml:space="preserve"> 【価格改定】 ダイヤカットクリアストーン ブルー10kg(送料+1000円 ハーフ不可)</t>
  </si>
  <si>
    <t>【価格改定】ダイヤカットクリアストーン クリア10kg(送料+1000円 ハーフ不可)</t>
  </si>
  <si>
    <t>【価格改定】 ダイヤカットクリアストーン グリーン10kg(送料+1000円 ハーフ不可)</t>
  </si>
  <si>
    <t>HW924</t>
  </si>
  <si>
    <t>発注受付
6/2出荷</t>
  </si>
  <si>
    <t>2023年11月 中旬</t>
  </si>
  <si>
    <t>RK677</t>
  </si>
  <si>
    <t>SPG BIGぬいぐるみ６０㎝</t>
  </si>
  <si>
    <t>発注受付
6/3出荷</t>
  </si>
  <si>
    <t>2025年04月 末</t>
  </si>
  <si>
    <t>RJ530</t>
  </si>
  <si>
    <t xml:space="preserve">   つぶらな瞳のなまがき おめかし むらさきからー もちふわ びっぐ 64入＠984(送料:1ct+2000円・ハーフ/クォーター+1000円)【サイズ:約55cm 圧縮袋入】</t>
  </si>
  <si>
    <t>RY504</t>
  </si>
  <si>
    <t>即納 ７4mm商品　Qualia　こびとづかんのぬいぐるみ (再販)　500円</t>
  </si>
  <si>
    <t>こ￥</t>
  </si>
  <si>
    <t>RZ109</t>
  </si>
  <si>
    <t>即納　アミューズ不可　バンダイ　それいけ！アンパンマン ピコピコマスコットNEW2　200円</t>
  </si>
  <si>
    <t>KX304</t>
  </si>
  <si>
    <t>ﾌﾞﾙｶﾞﾘなどﾐﾆ香水ｱｿｰﾄ(6種不均等ｱｿｰﾄ)【パッケージBOX　サイズ：4.9～5ml】※別途送料 （発注数×12000円）ブルガリなどミニ香水アソート（６種不均等アソート）</t>
  </si>
  <si>
    <t>6/5発送完了
J4513023</t>
  </si>
  <si>
    <t>2025年02月 中旬</t>
  </si>
  <si>
    <t>KX303</t>
  </si>
  <si>
    <t>ｱﾅｽｲﾐﾆ香水ｱｿｰﾄ(5～6種不均等ｱｿｰﾄ)【パッケージBOX　サイズ：5ml】※別途送料 （発注数×12000円）アナスイミニ香水アソート（５～６種不均等アソート）</t>
  </si>
  <si>
    <t>6/5発送完了
J4513019</t>
  </si>
  <si>
    <t>RA627</t>
  </si>
  <si>
    <t>ﾏｽｺｯﾄ8㎝　SPG10種</t>
  </si>
  <si>
    <t>5/31 納期遅延連絡済み
6月伝票変更
納期変更前：5月
納期変更後：6月１週目
6/4出荷</t>
  </si>
  <si>
    <t>2025年03月 上</t>
  </si>
  <si>
    <t>KV930</t>
  </si>
  <si>
    <t>ジャグラーサウンドフラッシュタイマークロックmini【商品サイズ:約H6.2×W4.5×D1.6㎝】☆</t>
  </si>
  <si>
    <t>2025年05月 中～下旬</t>
  </si>
  <si>
    <t>KY728</t>
  </si>
  <si>
    <t>ペヤングソースやきそばタイマークロック【商品サイズ:約H6.2×W4.5×D1.6㎝】☆</t>
  </si>
  <si>
    <t>2025年06月 中～下旬</t>
  </si>
  <si>
    <t>RX767</t>
  </si>
  <si>
    <t>受付完了　6月</t>
  </si>
  <si>
    <t>2025年06月 下旬～7月上旬</t>
  </si>
  <si>
    <t>６/５出荷完了
5/31 納期遅延連絡済み
6月伝票変更
納期変更前：5月
納期変更後：6月1週目</t>
  </si>
  <si>
    <t>RU505</t>
  </si>
  <si>
    <t>2025年06月 中旬予定</t>
  </si>
  <si>
    <t>RR485</t>
  </si>
  <si>
    <t>なんちゃって手榴弾　　約９cm</t>
  </si>
  <si>
    <t>2025年06月 下旬予定</t>
  </si>
  <si>
    <t>KW456</t>
  </si>
  <si>
    <t>モンチッチフェイスヘアゴム4種[紙台紙＋OPP袋][商品サイズ110x120x40mm]</t>
  </si>
  <si>
    <t xml:space="preserve">5/26発送完了
4/21 納期遅延連絡済み
6月伝票変更
納期変更前：4月下旬発送予定
納期変更後：6月上中旬発送予定
</t>
  </si>
  <si>
    <t>2025年05月 中旬</t>
  </si>
  <si>
    <t>RK763</t>
  </si>
  <si>
    <t>IW899</t>
  </si>
  <si>
    <t>ぽちゃちゃ珍海生物デコレーションブレスレット【商品サイズ：約5.5cm】</t>
  </si>
  <si>
    <t>2025年04月 即納</t>
  </si>
  <si>
    <t>RG249</t>
  </si>
  <si>
    <t>ぽちゃちゃ海のいきものデコレーションブレスレット　ルミナスカラー【商品サイズ：約6cm】</t>
  </si>
  <si>
    <t>RG436</t>
  </si>
  <si>
    <t>2025年06月 上旬</t>
  </si>
  <si>
    <t>RG435</t>
  </si>
  <si>
    <t>RF992</t>
  </si>
  <si>
    <t>5月下旬再販　4/8締切　4種　サンリオ　ミニサンダルキーホルダー　ブリスター+台紙入　約H162×W82×D20mm</t>
  </si>
  <si>
    <t>発注受付
5/27 納期遅延連絡済み
6月伝票変更
納期変更前：5月下旬
納期変更後：6月下旬</t>
  </si>
  <si>
    <t>2025年05月 下旬</t>
  </si>
  <si>
    <t>RF917</t>
  </si>
  <si>
    <t>モンスターハンターワイルズ ワイヤレスイヤホン【商品サイズ:約H3×W6×D4㎝】☆</t>
  </si>
  <si>
    <t>RC564</t>
  </si>
  <si>
    <t>●3/10締切 400　夢屋　大好評第２弾　サンリオ　ハローキティぬいぐるみチャーム</t>
  </si>
  <si>
    <t>RB919</t>
  </si>
  <si>
    <t>●3/9締切 500　アミューズ不可　バンダイ　【90Φカプセル】サンリオキャラクターズ ミニ貯金箱</t>
  </si>
  <si>
    <t>2025年06月 １週目</t>
  </si>
  <si>
    <t>KZ419</t>
  </si>
  <si>
    <t>チロルチョコ ワイヤレスイヤホン２【パッケージサイズ:約W6×H6×D3.5㎝】☆</t>
  </si>
  <si>
    <t>2025年06月 中旬～下旬</t>
  </si>
  <si>
    <t>RB235</t>
  </si>
  <si>
    <t>ﾁｭｯﾊﾟﾁｬﾌﾟｽ ﾐﾆｳｫﾚｯﾄ【パッケージPP　サイズ：約9.8*7.4*3ｃｍ】チュッパチャプス　ミニウォレット</t>
  </si>
  <si>
    <t>6/下
J4211793</t>
  </si>
  <si>
    <t>2025年06月 下旬</t>
  </si>
  <si>
    <t>6/下
J4211790</t>
  </si>
  <si>
    <t>6/下
J4211789</t>
  </si>
  <si>
    <t>6/下
J4211788</t>
  </si>
  <si>
    <t>KZ416</t>
  </si>
  <si>
    <t>ジャグラーフラッシュキーホルダー２【商品サイズ:約H150×W50㎜】☆</t>
  </si>
  <si>
    <t>株式会社change（旧：achieve(アミューズ））</t>
  </si>
  <si>
    <t>KS523</t>
  </si>
  <si>
    <t>●1/8締切 300　アミューズ不可　バンダイ　サンリオキャラクターズ キャラパキ ミニチュアコレクション</t>
  </si>
  <si>
    <t>発注受付
■２
⇒６月延期
よ￥</t>
  </si>
  <si>
    <t>2025年05月 １週目</t>
  </si>
  <si>
    <t>サンリオマスコットポシェットミニポーチ</t>
    <phoneticPr fontId="5"/>
  </si>
  <si>
    <t>島添</t>
    <rPh sb="0" eb="2">
      <t>シマゾエ</t>
    </rPh>
    <phoneticPr fontId="5"/>
  </si>
  <si>
    <t>サンリオマスコットポーチ和柄日和</t>
    <rPh sb="12" eb="16">
      <t>ワガラビヨリ</t>
    </rPh>
    <phoneticPr fontId="5"/>
  </si>
  <si>
    <t>サンリオスカーフ付きチャームリュック</t>
    <rPh sb="8" eb="9">
      <t>ツ</t>
    </rPh>
    <phoneticPr fontId="5"/>
  </si>
  <si>
    <t>サンリオマスコットルーズソックス</t>
    <phoneticPr fontId="5"/>
  </si>
  <si>
    <t>サンリオスマートキーケースギャル</t>
    <phoneticPr fontId="5"/>
  </si>
  <si>
    <t>３in1急速充電ケーブル</t>
    <rPh sb="4" eb="8">
      <t>キュウソクジュウデン</t>
    </rPh>
    <phoneticPr fontId="5"/>
  </si>
  <si>
    <t>6in1マルチケーブル</t>
    <phoneticPr fontId="5"/>
  </si>
  <si>
    <t>低単価香水</t>
    <rPh sb="0" eb="3">
      <t>テイタンカ</t>
    </rPh>
    <rPh sb="3" eb="5">
      <t>コウスイ</t>
    </rPh>
    <phoneticPr fontId="5"/>
  </si>
  <si>
    <t>SimpleACアダプター</t>
    <phoneticPr fontId="5"/>
  </si>
  <si>
    <t>おどろき！アニマルラバーキーホルダー</t>
    <phoneticPr fontId="5"/>
  </si>
  <si>
    <t>6/上</t>
    <rPh sb="2" eb="3">
      <t>ウエ</t>
    </rPh>
    <phoneticPr fontId="5"/>
  </si>
  <si>
    <t>神袋mini</t>
    <rPh sb="0" eb="1">
      <t>カミ</t>
    </rPh>
    <rPh sb="1" eb="2">
      <t>フクロ</t>
    </rPh>
    <phoneticPr fontId="5"/>
  </si>
  <si>
    <t>どでかサングラス</t>
    <phoneticPr fontId="5"/>
  </si>
  <si>
    <t>ハローキティ クリームソーダドールGJ</t>
  </si>
  <si>
    <t>ターボババアおすわりBIGぬいぐるみ</t>
    <phoneticPr fontId="5"/>
  </si>
  <si>
    <t>ターボババアマスコット</t>
    <phoneticPr fontId="5"/>
  </si>
  <si>
    <t>5月請求分</t>
    <phoneticPr fontId="5"/>
  </si>
  <si>
    <t>KV350</t>
  </si>
  <si>
    <t>ケース入りデジタルウォッチ ヴェリアス【商品サイズ：縦8.2cm×横5.3cm×幅7.4cm】</t>
  </si>
  <si>
    <t>2025年07月 上旬</t>
  </si>
  <si>
    <t>KU227</t>
  </si>
  <si>
    <t xml:space="preserve"> コンパクトボイスチェンジャー  Carnival 240入＠235(ハーフ/クォーター+1000円)【サイズ:約6.7cm OPP袋入】</t>
  </si>
  <si>
    <t>5/27発送完了</t>
  </si>
  <si>
    <t>RV495</t>
  </si>
  <si>
    <t>ジャグラー　エナジー　商品サイズ13.5×5×5cm　缶</t>
  </si>
  <si>
    <t>5/21発送完了</t>
  </si>
  <si>
    <t>RK522</t>
  </si>
  <si>
    <t>ポケットモンスターポケットティッシュマスコット３種　【商品サイズ】H19～23×W20～21×D12～17cm</t>
  </si>
  <si>
    <t>RC579</t>
  </si>
  <si>
    <t xml:space="preserve">  カリキュレーターウォッチ 8colors 448入＠127(ハーフ/クォーター+1000円)【サイズ:約22.8cm 個別PP入】</t>
  </si>
  <si>
    <t>5/19発送完了</t>
  </si>
  <si>
    <t>2025年05月 即納</t>
  </si>
  <si>
    <t xml:space="preserve">   スロットマシンmini 6colors 432入＠141(ハーフ/クォーター+1000円)【サイズ:約5.5cm 個別PP袋入】</t>
  </si>
  <si>
    <t>発注受付
5/20出荷</t>
  </si>
  <si>
    <t>発注受付
5/13出荷</t>
  </si>
  <si>
    <t>RB719</t>
  </si>
  <si>
    <t>SPG立体ﾗﾊﾞｰ6.5㎝ほど33種</t>
  </si>
  <si>
    <t>5/14出荷完了
発注受付</t>
  </si>
  <si>
    <t>2025年03月 中旬</t>
  </si>
  <si>
    <t>RW609</t>
  </si>
  <si>
    <t>お菓子柄スペシャルアソート　三つ折りウォレット　PKサイズ：約H7.5×W9.5×D3.5㎝　7種不均等</t>
  </si>
  <si>
    <t>発注受付
5月下旬
5/16出荷</t>
  </si>
  <si>
    <t>RF192</t>
  </si>
  <si>
    <t>サンリオカラビナ付きminiFAN[箱][商品サイズ20.5×8.5×4.5㎝]</t>
  </si>
  <si>
    <t>KA876</t>
  </si>
  <si>
    <t xml:space="preserve">   ボイレコ mini～triangle～ 240入＠188(ハーフ/クォーター+1000円)【サイズ:約5.7x2.1x5.3cm 個別OPP袋入】</t>
  </si>
  <si>
    <t>5/7発送完了</t>
  </si>
  <si>
    <t>KW987</t>
  </si>
  <si>
    <t xml:space="preserve">   天才ピアニストへの道２～極～ 288入＠174(ハーフ/クォーター+1000円)【サイズ:約5.9cm 個別OPP袋入】</t>
  </si>
  <si>
    <t>KK158</t>
  </si>
  <si>
    <t xml:space="preserve">   液晶ミニゲーム機 FIT～Pastel Color～280入＠146(ハーフ/クォーター+1000円)【サイズ:約6.2x1.8x4.9cm 個別OPP袋入】</t>
  </si>
  <si>
    <t>KU178</t>
  </si>
  <si>
    <t>ジャグラー液晶ハンディファン２(SDVer.)【商品サイズ:約H20.3×W9.3×D4.3㎝】☆</t>
  </si>
  <si>
    <t>RK862</t>
  </si>
  <si>
    <t>即納 アミューズ不可　バンダイ　それいけ！アンパンマン チキチキアンパンマンNEW2　300円</t>
  </si>
  <si>
    <t>RV527</t>
  </si>
  <si>
    <t>即納 アミュース不可　バンダイ　モンチッチ めじるしアクセサリー　300円</t>
  </si>
  <si>
    <t>KK770</t>
  </si>
  <si>
    <t>じゃがりこ　三つ折りウォレット　PKサイズ：約H7.5×W9.5×D3.5㎝　4種不均等</t>
  </si>
  <si>
    <t>発注受付
5/2出荷</t>
  </si>
  <si>
    <t>2025年02月 上旬</t>
  </si>
  <si>
    <t>4/16出荷完了</t>
  </si>
  <si>
    <t>RK738</t>
  </si>
  <si>
    <t>ポケットモンスターラウンド小物ポーチ５種～６種おまかせ　【商品サイズ】W12×H15cm</t>
  </si>
  <si>
    <t>5/14発送完了</t>
  </si>
  <si>
    <t>2025年05月 中旬～下旬</t>
  </si>
  <si>
    <t>KU174</t>
  </si>
  <si>
    <t>ペヤングソースやきそばワイヤレスイヤホン【商品サイズ:約H3.1×W6.2×D4.3㎝】☆</t>
  </si>
  <si>
    <t>KU176</t>
  </si>
  <si>
    <t>ジャグラーワイヤレスイヤホンNeo３　(メタリック)【商品サイズ:約H4.5×W4.5㎝】☆</t>
  </si>
  <si>
    <t>RF052</t>
  </si>
  <si>
    <t>U1790 クレーンゲームぷかぷかオイルマスコット 4種(240入)　サイズ：約H5×W4×D3ｃm</t>
  </si>
  <si>
    <t>5/23発送完了</t>
  </si>
  <si>
    <t>2025年05月 中旬～</t>
  </si>
  <si>
    <t>KU756</t>
  </si>
  <si>
    <t>【フリュー】18636/クロミ超超BIGぬいぐるみ～かしげポーズ～24個入り約55cm</t>
  </si>
  <si>
    <t>5/8発送予定</t>
  </si>
  <si>
    <t>2025年05月 2週</t>
  </si>
  <si>
    <t>KX396</t>
  </si>
  <si>
    <t xml:space="preserve">   【業界初サイズ！】 GIGA NEW クレーンアームキーホルダー 64入＠977(送料:1ct+2000円・ハーフ/クォーター+1000円)【サイズ:MAX40cm PP袋入】</t>
  </si>
  <si>
    <t>5/28発送完了</t>
  </si>
  <si>
    <t>KS519</t>
  </si>
  <si>
    <t>●1/8締切 300　アミューズ不可　バンダイ　それいけ！アンパンマン ぴょこぴょこアンパンマン7</t>
  </si>
  <si>
    <t>発注受付￥う</t>
  </si>
  <si>
    <t>2025年05月 2週目</t>
  </si>
  <si>
    <t>KI493</t>
  </si>
  <si>
    <t>1/10〆切　スーパーマリオブラザーズ　ポケットウォッチ</t>
  </si>
  <si>
    <t>2025年05月 4週発売</t>
  </si>
  <si>
    <t>Pro4ゴールドワイヤレスイヤホン</t>
    <phoneticPr fontId="5"/>
  </si>
  <si>
    <t>メタリックワイヤレスイヤホン</t>
    <phoneticPr fontId="5"/>
  </si>
  <si>
    <t>メタリックワイヤレスイヤホン</t>
  </si>
  <si>
    <t>まんぷくおすし～ず</t>
    <phoneticPr fontId="5"/>
  </si>
  <si>
    <t>GOLDメタリックミニゲーム</t>
    <phoneticPr fontId="5"/>
  </si>
  <si>
    <t>サンリオカラビナ付きミニファン</t>
    <rPh sb="8" eb="9">
      <t>ツ</t>
    </rPh>
    <phoneticPr fontId="5"/>
  </si>
  <si>
    <t>ピクミンぬいぐるみマスコット</t>
    <phoneticPr fontId="5"/>
  </si>
  <si>
    <t>NICIビーンバッグキーリング売れ筋BEST14</t>
    <rPh sb="15" eb="16">
      <t>ウ</t>
    </rPh>
    <rPh sb="17" eb="18">
      <t>スジ</t>
    </rPh>
    <phoneticPr fontId="5"/>
  </si>
  <si>
    <t>B.B　EARPHONE　BLACKBOX</t>
  </si>
  <si>
    <t>ウイングウォッチ</t>
  </si>
  <si>
    <t>ムーンタイムス</t>
  </si>
  <si>
    <t>ワンピーススマートキーポーチ</t>
    <phoneticPr fontId="5"/>
  </si>
  <si>
    <t>5/末</t>
    <rPh sb="2" eb="3">
      <t>マツ</t>
    </rPh>
    <phoneticPr fontId="5"/>
  </si>
  <si>
    <t>ポケットモンスタースマートキーポーチ</t>
    <phoneticPr fontId="5"/>
  </si>
  <si>
    <t>5/中</t>
    <rPh sb="2" eb="3">
      <t>ナカ</t>
    </rPh>
    <phoneticPr fontId="5"/>
  </si>
  <si>
    <t>4月請求分</t>
    <phoneticPr fontId="5"/>
  </si>
  <si>
    <t>JZ061</t>
  </si>
  <si>
    <t xml:space="preserve">  つぶらな瞳の水族館 スクイーズBC 400入＠120(ハーフ/クォーター+1000円)【サイズ:約7.5x2.8x6cm 個別OPP袋入 】</t>
  </si>
  <si>
    <t>ラクチャレキュート景品</t>
  </si>
  <si>
    <t>ラクチャレW景品（下部）</t>
  </si>
  <si>
    <t>送料無料（ハーフ別途料金）北海道・沖縄・離島除く</t>
  </si>
  <si>
    <t>KZ366</t>
  </si>
  <si>
    <t>即納 ピーナッツ　【再販】モンチッチ　ラバーマスコット　300円</t>
  </si>
  <si>
    <t>RJ653</t>
  </si>
  <si>
    <t>（大阪万博に合わせて！）マシュマロロリポップ　ミャクミャク　賞味期限：製造から540日</t>
  </si>
  <si>
    <t>25着予定</t>
  </si>
  <si>
    <t xml:space="preserve">2025年04月 約1週間（時期により遅延の可能性有）　 　 　 　 　 　 　 　 　 　 　 　 　 　 　 　 　 </t>
  </si>
  <si>
    <t>SNS・流行り物</t>
  </si>
  <si>
    <t>RK669</t>
  </si>
  <si>
    <t>SPGｼﾞﾋﾞｯﾂ２０種</t>
  </si>
  <si>
    <t>発注受付
4/22出荷</t>
  </si>
  <si>
    <t>発注受付
4/17出荷</t>
  </si>
  <si>
    <t>KV341</t>
  </si>
  <si>
    <t xml:space="preserve">   しっぽぶんぶん！ポメラニアン 6種 144入＠382(ハーフ/クォーター+1000円)【サイズ:約14.5cm OPP袋入】</t>
  </si>
  <si>
    <t>4/下</t>
  </si>
  <si>
    <t>4/18発送完了
J4409003</t>
  </si>
  <si>
    <t>HU368</t>
  </si>
  <si>
    <t>キラキラブレスレットBIG宝石マスコット付【商品サイズ：約6cm】</t>
  </si>
  <si>
    <t>低額キャッチャー景品</t>
  </si>
  <si>
    <t>JH352</t>
  </si>
  <si>
    <t>即納　アミューズ不可　バンダイ それいけ！アンパンマン アンパンマンエアーフレンズ12　200円</t>
  </si>
  <si>
    <t>同梱\か</t>
  </si>
  <si>
    <t>RG990</t>
  </si>
  <si>
    <t>即納　アミューズ不可　バンダイ　それいけ！アンパンマン くるりんダッシュ！7　300円</t>
  </si>
  <si>
    <t xml:space="preserve">\か
</t>
  </si>
  <si>
    <t>RH572</t>
  </si>
  <si>
    <t>即納 アミューズ不可　バンダイ　サンリオキャラクターズ ポンデクルール 夢見るエンジェルデザイン マルチカラーバーム　500円</t>
  </si>
  <si>
    <t>な￥</t>
  </si>
  <si>
    <t>4/2発送完了</t>
  </si>
  <si>
    <t>JA957</t>
  </si>
  <si>
    <t>PPT２０㎝ﾏｽｺｯﾄ９種</t>
  </si>
  <si>
    <t>発注受付
4/11出荷完了</t>
  </si>
  <si>
    <t>2024年06月 即納</t>
  </si>
  <si>
    <t>発注受付
4/2出荷</t>
  </si>
  <si>
    <t>HS274</t>
  </si>
  <si>
    <t>レトロクリームソーダ　デコレーションブレスレット【商品サイズ：約6cm】</t>
  </si>
  <si>
    <t>KG230</t>
  </si>
  <si>
    <t>ぽちゃちゃ海のいきものデコレーションブレスレットNEO【商品サイズ：約8cm】</t>
  </si>
  <si>
    <t>10円キャッチャー</t>
  </si>
  <si>
    <t>RI707</t>
  </si>
  <si>
    <t>即納  TTA　サンリオキャラクターズ ファッションリングジュエルクリア　200円</t>
  </si>
  <si>
    <t>￥ウ　140ｘ1　100ｘ1*</t>
  </si>
  <si>
    <t>RI370</t>
  </si>
  <si>
    <t>ジャグラータッチライトスピーカー３【商品サイズ:約φ9.5×H12㎝】☆</t>
  </si>
  <si>
    <t>2025年04月 中～下旬</t>
  </si>
  <si>
    <t>発注受付
4/2 納期遅延連絡済み
4/10出荷完了
4月伝票変更
納期変更前：3月
納期変更後：4月第１週</t>
  </si>
  <si>
    <t>4/3出荷完了
発注受付
4/2 納期遅延連絡済み
4月伝票変更
納期変更前：3月
納期変更後：4/3出荷</t>
  </si>
  <si>
    <t>4/1出荷完了
4/1 納期遅延連絡済み
4月伝票変更
納期変更前：3月
納期変更後：4/1出荷</t>
  </si>
  <si>
    <t>発注受付
4/2 納期遅延連絡済み
4月伝票変更
4/10出荷完了
納期変更前：3月
納期変更後：4月第１週</t>
  </si>
  <si>
    <t>発注受付
4/2 納期遅延連絡済み
4月伝票変更
納期変更前：3月
4/10
納期変更後：4月第１週</t>
  </si>
  <si>
    <t>RF350</t>
  </si>
  <si>
    <t>LOTTE 　パイの実　ペイントツインマーカー60Pセット　PKサイズ：約W16.5×H15.5×D10㎝　2種均等　※アミューズメント専用</t>
  </si>
  <si>
    <t>発注受付
4/下旬</t>
  </si>
  <si>
    <t>KH373</t>
  </si>
  <si>
    <t>パイの実　ワイヤレスイヤホン２【商品サイズ:約H3.1×W6.2×D4.3㎝】☆</t>
  </si>
  <si>
    <t>3/10 数量変更連絡済み
数量変更前：2箱
数量変更後：1箱</t>
  </si>
  <si>
    <t>RF368</t>
  </si>
  <si>
    <t>サンリオ　スカーフ付チャームリュック　【SNS等での告知はNGです】【投入制限地域がございます】　PKサイズ：約W9.5×H11×D5.5㎝　3種不均等</t>
  </si>
  <si>
    <t>発注受付
4月下旬
4/10出荷</t>
  </si>
  <si>
    <t>KZ573</t>
  </si>
  <si>
    <t>サンリオ　ミニ電卓キーホルダー　商品サイズ8.2×3.8×1.5cm　OPP入り</t>
  </si>
  <si>
    <t>4/9発送完了</t>
  </si>
  <si>
    <t>2025年04月 中旬</t>
  </si>
  <si>
    <t>KI507</t>
  </si>
  <si>
    <t>ねこカメラストラップ付き　サイズ：約6.5×D4.5×H2㎝　4種</t>
  </si>
  <si>
    <t>2/25 納期遅延連絡済み
4月伝票変更
納期変更前：即納
納期変更後：4月上旬
4/1出荷</t>
  </si>
  <si>
    <t>2025年01月 上旬</t>
  </si>
  <si>
    <t>KW730</t>
  </si>
  <si>
    <t xml:space="preserve">   デジタルミニカメラ Petit 96入＠656(ハーフ/クォーター+1000円)【サイズ:約8cm カラーパッケージ入】</t>
  </si>
  <si>
    <t>4/10発送完了</t>
  </si>
  <si>
    <t>KI247</t>
  </si>
  <si>
    <t>ジャグラーサウンドフラッシュボタンmini４（レインボー）【商品サイズ:約H6.2×W4.4×D1.4㎝】☆</t>
  </si>
  <si>
    <t>KR297</t>
  </si>
  <si>
    <t>USB型パーティーミラーボールライト 4*4*4.5㎝　</t>
  </si>
  <si>
    <t>3/26 納期遅延連絡済み
4月伝票変更
納期変更前：2025年3月下旬予定      
納期変更後：2025年4月上旬予定</t>
  </si>
  <si>
    <t>2025年03月 下旬予定</t>
  </si>
  <si>
    <t>KS418</t>
  </si>
  <si>
    <t>おさるのジョージ ミドルシリコンがまぐち②　サイズ：約H7.5×W7.5×D3.5㎝　4種均等　実用的なサイズ感でミニクレにぴったり！お子様は勿論、女性にも人気のくすみカラーのシリコンがまぐちです！</t>
  </si>
  <si>
    <t>発注受付
4月下旬</t>
  </si>
  <si>
    <t>KJ428</t>
  </si>
  <si>
    <t>ジャグラーサウンドフラッシュボタンＤＸ【商品サイズ:約H4.5×W13.4×D4.8㎝】☆</t>
  </si>
  <si>
    <t>KS856</t>
  </si>
  <si>
    <t>●1/10締切 500　夢屋 　大好評第3弾サンリオ　ハローキティぬいぐるみポシェット</t>
  </si>
  <si>
    <t>KC078</t>
  </si>
  <si>
    <t>マリオカート8プルバックフィギュア</t>
  </si>
  <si>
    <t>1/6 納期遅延連絡済み
4月伝票変更
納期変更前：即納
納期変更後：4月下旬
4/10発送完了</t>
  </si>
  <si>
    <t>2024年12月 下旬</t>
  </si>
  <si>
    <t>KK042</t>
  </si>
  <si>
    <t>ﾍﾞﾃｨｰﾌﾞｰﾌﾟ ﾐﾆｳｫﾚｯﾄ Ver.2 【パッケージPP　サイズ：約9.5*7*2.5ｃｍ】ベティーブープ　ミニウォレット　Ｖｅｒ．２</t>
  </si>
  <si>
    <t>4/下
J4C10812</t>
  </si>
  <si>
    <t>KJ603</t>
  </si>
  <si>
    <t>●12/10締切 500　エスケイ　たべっ子どうぶつ THE MOVIE フェイスマスコット</t>
  </si>
  <si>
    <t>KJ089</t>
  </si>
  <si>
    <t>●12/8締切 500　アミューズ不可　バンダイ　“ディズニーキャラクター” Q posket（キューポスケット） ミニチュアコレクション2</t>
  </si>
  <si>
    <t>発注受付
■1.5</t>
  </si>
  <si>
    <t>KB315</t>
  </si>
  <si>
    <t>4/15発送完了</t>
  </si>
  <si>
    <t>2025年04月 中下旬</t>
  </si>
  <si>
    <t>4/上～中</t>
    <rPh sb="2" eb="3">
      <t>ウエ</t>
    </rPh>
    <rPh sb="4" eb="5">
      <t>ナカ</t>
    </rPh>
    <phoneticPr fontId="5"/>
  </si>
  <si>
    <t>サンリオスマートキーケースギャル</t>
  </si>
  <si>
    <t>4/末</t>
    <rPh sb="2" eb="3">
      <t>マツ</t>
    </rPh>
    <phoneticPr fontId="5"/>
  </si>
  <si>
    <t>サンリオマスコットポーチギャル２</t>
  </si>
  <si>
    <t>サンリオビッグポーチギャル２</t>
    <phoneticPr fontId="5"/>
  </si>
  <si>
    <t>サンダル型マルチポーチギャル</t>
    <rPh sb="4" eb="5">
      <t>ガタ</t>
    </rPh>
    <phoneticPr fontId="5"/>
  </si>
  <si>
    <t>シンプルブルートゥースイヤホン</t>
    <phoneticPr fontId="5"/>
  </si>
  <si>
    <r>
      <t>Pro6</t>
    </r>
    <r>
      <rPr>
        <sz val="11"/>
        <color theme="1"/>
        <rFont val="ＭＳ ゴシック"/>
        <family val="3"/>
        <charset val="128"/>
      </rPr>
      <t>ワイヤレスイヤホン</t>
    </r>
    <r>
      <rPr>
        <sz val="11"/>
        <color theme="1"/>
        <rFont val="Calibri"/>
        <family val="2"/>
        <scheme val="minor"/>
      </rPr>
      <t>メタリックゴールド</t>
    </r>
    <phoneticPr fontId="5"/>
  </si>
  <si>
    <t>もっちりリアルドーナツスクイーズ</t>
    <phoneticPr fontId="5"/>
  </si>
  <si>
    <t>サンリオシューズストラップKC　VER２</t>
    <phoneticPr fontId="5"/>
  </si>
  <si>
    <t>サンリオシューズストラップKC　VER２</t>
  </si>
  <si>
    <t>サンリオバケットハットKH</t>
    <phoneticPr fontId="5"/>
  </si>
  <si>
    <t>3月請求分</t>
    <phoneticPr fontId="5"/>
  </si>
  <si>
    <t>送料込単価</t>
    <rPh sb="0" eb="3">
      <t>ソウリ</t>
    </rPh>
    <rPh sb="3" eb="5">
      <t>タンカ</t>
    </rPh>
    <phoneticPr fontId="5"/>
  </si>
  <si>
    <t>3/31発送完了</t>
  </si>
  <si>
    <t>2025年03月 即納</t>
  </si>
  <si>
    <t>RI224</t>
  </si>
  <si>
    <t>即納 TTA　サンリオキャラクターズ ジュエリーブレスレット　200円</t>
  </si>
  <si>
    <t xml:space="preserve">3/28出荷完了
</t>
  </si>
  <si>
    <t>クレーン用  丸ブリスター小 1000入@8.0（送料＋1000円 ハーフ不可）</t>
  </si>
  <si>
    <t>3/24発送完了</t>
  </si>
  <si>
    <t>【価格改定】 ダイヤカットクリアストーン ブルー10kg(送料+1000円 ハーフ不可)</t>
  </si>
  <si>
    <t>3/21発送完了</t>
  </si>
  <si>
    <t>RB697</t>
  </si>
  <si>
    <t>トイストーリーぬいぐるみリュック　約33*25*8ｃｍ</t>
  </si>
  <si>
    <t>2025年03月 上旬予定</t>
  </si>
  <si>
    <t xml:space="preserve">  スロットマシンmini 6colors 432入＠141(ハーフ/クォーター+1000円)【サイズ:約5.5cm 個別PP袋入】</t>
  </si>
  <si>
    <t>3/13発送完了</t>
  </si>
  <si>
    <t>KG960</t>
  </si>
  <si>
    <t xml:space="preserve">  コンパクト ボイスチェンジャーMetal  192入＠331(ハーフ/クォーター+1000円)【サイズ:約5.5x5x6.7cm 個別OPP袋入】</t>
  </si>
  <si>
    <t>KK712</t>
  </si>
  <si>
    <t>サンリオ オーロラシューズKCver2【5×7.5×3.5㎝】</t>
  </si>
  <si>
    <t>3/10発送完了</t>
  </si>
  <si>
    <t>2025年02月 7日発売</t>
  </si>
  <si>
    <t>RC924</t>
  </si>
  <si>
    <t>サンリオアンブレラチャーム6種アソート[PP袋][商品サイズ12*7.5*0.3cm]</t>
  </si>
  <si>
    <t>3/4発送完了</t>
  </si>
  <si>
    <t>KY213</t>
  </si>
  <si>
    <t>A to Zアクリルシャカシャカボールチェーン　【商品サイズ】W5×D0.4×H5.3cm</t>
  </si>
  <si>
    <t>JX043</t>
  </si>
  <si>
    <t>CuriousGeorgeTOYSTYLEラバーマスコット [PP袋][パッケージサイズ：5.7*5*3.2㎝]</t>
  </si>
  <si>
    <t>3/3発送完了</t>
  </si>
  <si>
    <t>発注受付
3/4出荷</t>
  </si>
  <si>
    <t>KG169</t>
  </si>
  <si>
    <t>クレヨンしんちゃん　三つ折りウォレット　PKサイズ：約W12×H8.5×D3.5㎝　PK：OPP　アソート：A柄ミント：28個／B柄ピンク：20個／C柄イエロー：24個</t>
  </si>
  <si>
    <t>発注受付
3/3出荷</t>
  </si>
  <si>
    <t>3/28出荷完了
発注受付</t>
  </si>
  <si>
    <t>KV590</t>
  </si>
  <si>
    <t>ﾁｮｺﾏｼｭﾏﾛ　袋23×8×3㎝</t>
  </si>
  <si>
    <t>3/3出荷完了</t>
  </si>
  <si>
    <t>2025年01月 24日入荷</t>
  </si>
  <si>
    <t>KY901</t>
  </si>
  <si>
    <t>【特価】ミルキーBIGキャンディ　あまおう苺のパルフェver（デザイン袋入）【サイズ：H20*W60*20cm】</t>
  </si>
  <si>
    <t>商品発送3/3
納品予定3/5</t>
  </si>
  <si>
    <t>RB407</t>
  </si>
  <si>
    <t>サンリオマスコットルーズソックス６種アソート【商品サイズ：約２２～２４ｃｍ】</t>
  </si>
  <si>
    <t>3/25発送完了</t>
  </si>
  <si>
    <t>2025年03月 下旬</t>
  </si>
  <si>
    <t>KB985</t>
  </si>
  <si>
    <t>ﾄﾑとｼﾞｪﾘｰ さくらﾏｽｺｯﾄ【パッケージPP　サイズ：約8.5～9.5ｃｍ】トムとジェリー　さくらマスコット</t>
  </si>
  <si>
    <t>3/3発送完了
J4205001</t>
  </si>
  <si>
    <t>3/7発送完了</t>
  </si>
  <si>
    <t>KB097</t>
  </si>
  <si>
    <t>U1638 Calbeeじゃがりこワイヤレスイヤホン 2種不均等(60入)　サイズ：約H6×W6×D3ｃm</t>
  </si>
  <si>
    <t>3/27着発送完了</t>
  </si>
  <si>
    <t>2025年03月 中旬～</t>
  </si>
  <si>
    <t>KB079</t>
  </si>
  <si>
    <t>U1655 北斗の拳サウンドフラッシュボタン 2種不均等(60入)　サイズ：約H12×W11.6×D2ｃm</t>
  </si>
  <si>
    <t>3/28着発送完了</t>
  </si>
  <si>
    <t>KK342</t>
  </si>
  <si>
    <t>パシャぴか！ミニカメラうみのいきもの[PP包装+紙タグ][本体サイズ：W50×D15×H30mm]</t>
  </si>
  <si>
    <t>3/5発送完了</t>
  </si>
  <si>
    <t>2025年03月 中下旬</t>
  </si>
  <si>
    <t>KJ835</t>
  </si>
  <si>
    <t>サンリオスマートキーケース　スイーツシリーズ　9*5.5*2㎝</t>
  </si>
  <si>
    <t>2025年03月 中旬予定</t>
  </si>
  <si>
    <t>KC901</t>
  </si>
  <si>
    <t>●11/8締切 300　アミュース不可　バンダイ　それいけ！アンパンマン ピタピタくっつくマスコット</t>
  </si>
  <si>
    <t>発注受付
■１　白　￥</t>
  </si>
  <si>
    <t>2025年03月 4週目</t>
  </si>
  <si>
    <t>フェイクレザーバンドウォッチ</t>
  </si>
  <si>
    <t>シンプルACアダプタ</t>
  </si>
  <si>
    <t>香水</t>
  </si>
  <si>
    <t>カラフルワイヤレスイヤホン</t>
  </si>
  <si>
    <t>完全ワイヤレスイヤホン</t>
  </si>
  <si>
    <t>ミニ香水</t>
    <rPh sb="2" eb="4">
      <t>コウスイ</t>
    </rPh>
    <phoneticPr fontId="5"/>
  </si>
  <si>
    <t>6in1ケーブル</t>
    <phoneticPr fontId="5"/>
  </si>
  <si>
    <r>
      <rPr>
        <sz val="11"/>
        <color theme="1"/>
        <rFont val="Calibri"/>
        <family val="2"/>
        <scheme val="minor"/>
      </rPr>
      <t>CDラジカセキーホルダー</t>
    </r>
    <phoneticPr fontId="5"/>
  </si>
  <si>
    <t>デジタルウオッチアソート</t>
  </si>
  <si>
    <t>パステルカラーワイヤレスイヤホン</t>
  </si>
  <si>
    <t>2CBC</t>
    <phoneticPr fontId="5"/>
  </si>
  <si>
    <t>ウイングウォッチ</t>
    <phoneticPr fontId="5"/>
  </si>
  <si>
    <t>3/中</t>
    <rPh sb="2" eb="3">
      <t>ナカ</t>
    </rPh>
    <phoneticPr fontId="5"/>
  </si>
  <si>
    <t>ズーシーアニマルアイシャドウ夢幻</t>
    <rPh sb="14" eb="16">
      <t>ムゲン</t>
    </rPh>
    <phoneticPr fontId="5"/>
  </si>
  <si>
    <t>スマートブラック</t>
  </si>
  <si>
    <t>島添</t>
  </si>
  <si>
    <t>しなこDIYアイススーパーマシュマロ</t>
  </si>
  <si>
    <t>3/末</t>
    <rPh sb="2" eb="3">
      <t>マツ</t>
    </rPh>
    <phoneticPr fontId="5"/>
  </si>
  <si>
    <t>ビリビリショックアソート⑤</t>
    <phoneticPr fontId="5"/>
  </si>
  <si>
    <t>ドラゴンクエスト　AM　スライムビッグクリアフィギュア</t>
  </si>
  <si>
    <t>あミューズ</t>
    <phoneticPr fontId="5"/>
  </si>
  <si>
    <t>65mm空カプセル黒</t>
    <rPh sb="4" eb="5">
      <t>カラ</t>
    </rPh>
    <rPh sb="9" eb="10">
      <t>クロ</t>
    </rPh>
    <phoneticPr fontId="5"/>
  </si>
  <si>
    <t>3月合計</t>
    <rPh sb="1" eb="2">
      <t>ツキ</t>
    </rPh>
    <rPh sb="2" eb="4">
      <t>ゴウケイ</t>
    </rPh>
    <phoneticPr fontId="5"/>
  </si>
  <si>
    <r>
      <t>2</t>
    </r>
    <r>
      <rPr>
        <sz val="11"/>
        <color theme="1"/>
        <rFont val="Calibri"/>
        <family val="3"/>
        <charset val="128"/>
        <scheme val="minor"/>
      </rPr>
      <t>月請求分</t>
    </r>
    <phoneticPr fontId="5"/>
  </si>
  <si>
    <r>
      <rPr>
        <sz val="11"/>
        <color theme="1"/>
        <rFont val="Calibri"/>
        <family val="3"/>
        <charset val="128"/>
        <scheme val="minor"/>
      </rPr>
      <t>整理</t>
    </r>
    <r>
      <rPr>
        <sz val="11"/>
        <color theme="1"/>
        <rFont val="Calibri"/>
        <family val="2"/>
        <scheme val="minor"/>
      </rPr>
      <t>ID</t>
    </r>
  </si>
  <si>
    <r>
      <rPr>
        <sz val="11"/>
        <color theme="1"/>
        <rFont val="Calibri"/>
        <family val="3"/>
        <charset val="128"/>
        <scheme val="minor"/>
      </rPr>
      <t>カート番号</t>
    </r>
  </si>
  <si>
    <r>
      <rPr>
        <sz val="11"/>
        <color theme="1"/>
        <rFont val="Calibri"/>
        <family val="3"/>
        <charset val="128"/>
        <scheme val="minor"/>
      </rPr>
      <t>発送</t>
    </r>
  </si>
  <si>
    <r>
      <rPr>
        <sz val="11"/>
        <color theme="1"/>
        <rFont val="Calibri"/>
        <family val="3"/>
        <charset val="128"/>
        <scheme val="minor"/>
      </rPr>
      <t>発注日時</t>
    </r>
  </si>
  <si>
    <r>
      <rPr>
        <sz val="11"/>
        <color theme="1"/>
        <rFont val="Calibri"/>
        <family val="3"/>
        <charset val="128"/>
        <scheme val="minor"/>
      </rPr>
      <t>発送先</t>
    </r>
  </si>
  <si>
    <r>
      <rPr>
        <sz val="11"/>
        <color theme="1"/>
        <rFont val="Calibri"/>
        <family val="3"/>
        <charset val="128"/>
        <scheme val="minor"/>
      </rPr>
      <t>商品コード</t>
    </r>
  </si>
  <si>
    <r>
      <rPr>
        <sz val="11"/>
        <color theme="1"/>
        <rFont val="Calibri"/>
        <family val="3"/>
        <charset val="128"/>
        <scheme val="minor"/>
      </rPr>
      <t>商品名</t>
    </r>
  </si>
  <si>
    <r>
      <rPr>
        <sz val="11"/>
        <color theme="1"/>
        <rFont val="Calibri"/>
        <family val="3"/>
        <charset val="128"/>
        <scheme val="minor"/>
      </rPr>
      <t>単価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8"/>
        <scheme val="minor"/>
      </rPr>
      <t>税別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</si>
  <si>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8"/>
        <scheme val="minor"/>
      </rPr>
      <t>入数</t>
    </r>
  </si>
  <si>
    <r>
      <rPr>
        <sz val="11"/>
        <color theme="1"/>
        <rFont val="Calibri"/>
        <family val="3"/>
        <charset val="128"/>
        <scheme val="minor"/>
      </rPr>
      <t>受注数</t>
    </r>
  </si>
  <si>
    <r>
      <rPr>
        <sz val="11"/>
        <color theme="1"/>
        <rFont val="Calibri"/>
        <family val="3"/>
        <charset val="128"/>
        <scheme val="minor"/>
      </rPr>
      <t>単位</t>
    </r>
  </si>
  <si>
    <r>
      <rPr>
        <sz val="11"/>
        <color theme="1"/>
        <rFont val="Calibri"/>
        <family val="3"/>
        <charset val="128"/>
        <scheme val="minor"/>
      </rPr>
      <t>合計金額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8"/>
        <scheme val="minor"/>
      </rPr>
      <t>税別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</si>
  <si>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8"/>
        <scheme val="minor"/>
      </rPr>
      <t>合計金額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8"/>
        <scheme val="minor"/>
      </rPr>
      <t>税込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</si>
  <si>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8"/>
        <scheme val="minor"/>
      </rPr>
      <t>送料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8"/>
        <scheme val="minor"/>
      </rPr>
      <t>税別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</si>
  <si>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8"/>
        <scheme val="minor"/>
      </rPr>
      <t>発送状況</t>
    </r>
  </si>
  <si>
    <r>
      <rPr>
        <sz val="11"/>
        <color theme="1"/>
        <rFont val="Calibri"/>
        <family val="3"/>
        <charset val="128"/>
        <scheme val="minor"/>
      </rPr>
      <t>納期</t>
    </r>
  </si>
  <si>
    <r>
      <rPr>
        <b/>
        <sz val="11"/>
        <color theme="1"/>
        <rFont val="Calibri"/>
        <family val="3"/>
        <charset val="128"/>
        <scheme val="minor"/>
      </rPr>
      <t>単価</t>
    </r>
    <rPh sb="0" eb="2">
      <t>タンカ</t>
    </rPh>
    <phoneticPr fontId="5"/>
  </si>
  <si>
    <r>
      <rPr>
        <sz val="11"/>
        <color theme="1"/>
        <rFont val="Calibri"/>
        <family val="3"/>
        <charset val="128"/>
        <scheme val="minor"/>
      </rPr>
      <t>発送完了</t>
    </r>
  </si>
  <si>
    <r>
      <t>MEGA</t>
    </r>
    <r>
      <rPr>
        <sz val="11"/>
        <color theme="1"/>
        <rFont val="Calibri"/>
        <family val="3"/>
        <charset val="128"/>
        <scheme val="minor"/>
      </rPr>
      <t>ドン・キホーテ飯塚店内ゲームコーナー</t>
    </r>
  </si>
  <si>
    <t>KZ940</t>
  </si>
  <si>
    <r>
      <rPr>
        <sz val="11"/>
        <color theme="1"/>
        <rFont val="Calibri"/>
        <family val="3"/>
        <charset val="128"/>
        <scheme val="minor"/>
      </rPr>
      <t>クレーンゲーム　スティック＆ボタン５　商品サイズ</t>
    </r>
    <r>
      <rPr>
        <sz val="11"/>
        <color theme="1"/>
        <rFont val="Calibri"/>
        <family val="2"/>
        <scheme val="minor"/>
      </rPr>
      <t>15.2×10.2×13.5cm</t>
    </r>
    <r>
      <rPr>
        <sz val="11"/>
        <color theme="1"/>
        <rFont val="Calibri"/>
        <family val="3"/>
        <charset val="128"/>
        <scheme val="minor"/>
      </rPr>
      <t>　カラー</t>
    </r>
    <r>
      <rPr>
        <sz val="11"/>
        <color theme="1"/>
        <rFont val="Calibri"/>
        <family val="2"/>
        <scheme val="minor"/>
      </rPr>
      <t>BOX</t>
    </r>
    <r>
      <rPr>
        <sz val="11"/>
        <color theme="1"/>
        <rFont val="Calibri"/>
        <family val="3"/>
        <charset val="128"/>
        <scheme val="minor"/>
      </rPr>
      <t>入り</t>
    </r>
  </si>
  <si>
    <r>
      <rPr>
        <sz val="11"/>
        <color theme="1"/>
        <rFont val="Calibri"/>
        <family val="3"/>
        <charset val="128"/>
        <scheme val="minor"/>
      </rPr>
      <t>箱</t>
    </r>
  </si>
  <si>
    <r>
      <t>2/28</t>
    </r>
    <r>
      <rPr>
        <sz val="11"/>
        <color theme="1"/>
        <rFont val="Calibri"/>
        <family val="3"/>
        <charset val="128"/>
        <scheme val="minor"/>
      </rPr>
      <t>発送完了</t>
    </r>
  </si>
  <si>
    <r>
      <t>2025</t>
    </r>
    <r>
      <rPr>
        <sz val="11"/>
        <color theme="1"/>
        <rFont val="Calibri"/>
        <family val="3"/>
        <charset val="128"/>
        <scheme val="minor"/>
      </rPr>
      <t>年</t>
    </r>
    <r>
      <rPr>
        <sz val="11"/>
        <color theme="1"/>
        <rFont val="Calibri"/>
        <family val="2"/>
        <scheme val="minor"/>
      </rPr>
      <t>02</t>
    </r>
    <r>
      <rPr>
        <sz val="11"/>
        <color theme="1"/>
        <rFont val="Calibri"/>
        <family val="3"/>
        <charset val="128"/>
        <scheme val="minor"/>
      </rPr>
      <t>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中旬</t>
    </r>
  </si>
  <si>
    <r>
      <rPr>
        <sz val="11"/>
        <color theme="1"/>
        <rFont val="Calibri"/>
        <family val="3"/>
        <charset val="128"/>
        <scheme val="minor"/>
      </rPr>
      <t>スポガ久留米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卓球ゲームコーナー</t>
    </r>
  </si>
  <si>
    <t>JX216</t>
  </si>
  <si>
    <r>
      <t xml:space="preserve"> </t>
    </r>
    <r>
      <rPr>
        <sz val="11"/>
        <color theme="1"/>
        <rFont val="Calibri"/>
        <family val="3"/>
        <charset val="128"/>
        <scheme val="minor"/>
      </rPr>
      <t>つぶらな瞳の水族館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むぎゅぬい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その</t>
    </r>
    <r>
      <rPr>
        <sz val="11"/>
        <color theme="1"/>
        <rFont val="Calibri"/>
        <family val="2"/>
        <scheme val="minor"/>
      </rPr>
      <t>2 264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208(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9.5x6x10.5cm </t>
    </r>
    <r>
      <rPr>
        <sz val="11"/>
        <color theme="1"/>
        <rFont val="Calibri"/>
        <family val="3"/>
        <charset val="128"/>
        <scheme val="minor"/>
      </rPr>
      <t>大袋入】</t>
    </r>
  </si>
  <si>
    <t>2/12発送完了</t>
  </si>
  <si>
    <t xml:space="preserve">2025年03月 即納 </t>
  </si>
  <si>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ボイレコ</t>
    </r>
    <r>
      <rPr>
        <sz val="11"/>
        <color theme="1"/>
        <rFont val="Calibri"/>
        <family val="2"/>
        <scheme val="minor"/>
      </rPr>
      <t xml:space="preserve"> mini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>triangle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 xml:space="preserve"> 240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188(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5.7x2.1x5.3cm </t>
    </r>
    <r>
      <rPr>
        <sz val="11"/>
        <color theme="1"/>
        <rFont val="Calibri"/>
        <family val="3"/>
        <charset val="128"/>
        <scheme val="minor"/>
      </rPr>
      <t>個別</t>
    </r>
    <r>
      <rPr>
        <sz val="11"/>
        <color theme="1"/>
        <rFont val="Calibri"/>
        <family val="2"/>
        <scheme val="minor"/>
      </rPr>
      <t>OPP</t>
    </r>
    <r>
      <rPr>
        <sz val="11"/>
        <color theme="1"/>
        <rFont val="Calibri"/>
        <family val="3"/>
        <charset val="128"/>
        <scheme val="minor"/>
      </rPr>
      <t>袋入】</t>
    </r>
  </si>
  <si>
    <t>2/25発送完了</t>
  </si>
  <si>
    <t>KB974</t>
  </si>
  <si>
    <r>
      <rPr>
        <sz val="11"/>
        <color theme="1"/>
        <rFont val="Calibri"/>
        <family val="3"/>
        <charset val="128"/>
        <scheme val="minor"/>
      </rPr>
      <t>なんちゃって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うそ発見器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！？</t>
    </r>
    <r>
      <rPr>
        <sz val="11"/>
        <color theme="1"/>
        <rFont val="Calibri"/>
        <family val="2"/>
        <scheme val="minor"/>
      </rPr>
      <t xml:space="preserve"> 240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219(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【箱サイズ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6x3.5x4cm </t>
    </r>
    <r>
      <rPr>
        <sz val="11"/>
        <color theme="1"/>
        <rFont val="Calibri"/>
        <family val="3"/>
        <charset val="128"/>
        <scheme val="minor"/>
      </rPr>
      <t>カラーパッケージ入】</t>
    </r>
  </si>
  <si>
    <r>
      <rPr>
        <sz val="11"/>
        <color theme="1"/>
        <rFont val="Calibri"/>
        <family val="3"/>
        <charset val="128"/>
        <scheme val="minor"/>
      </rPr>
      <t>株式会社</t>
    </r>
    <r>
      <rPr>
        <sz val="11"/>
        <color theme="1"/>
        <rFont val="Calibri"/>
        <family val="2"/>
        <scheme val="minor"/>
      </rPr>
      <t>change</t>
    </r>
  </si>
  <si>
    <t>IX630</t>
  </si>
  <si>
    <r>
      <rPr>
        <sz val="11"/>
        <color theme="1"/>
        <rFont val="Calibri"/>
        <family val="3"/>
        <charset val="128"/>
        <scheme val="minor"/>
      </rPr>
      <t>光る！ぷかぴか海のおともだち</t>
    </r>
    <r>
      <rPr>
        <sz val="11"/>
        <color theme="1"/>
        <rFont val="Calibri"/>
        <family val="2"/>
        <scheme val="minor"/>
      </rPr>
      <t>2 400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107.5(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【商品サイズ</t>
    </r>
    <r>
      <rPr>
        <sz val="11"/>
        <color theme="1"/>
        <rFont val="Calibri"/>
        <family val="2"/>
        <scheme val="minor"/>
      </rPr>
      <t>:5.5x6.8x3.2cm OPP</t>
    </r>
    <r>
      <rPr>
        <sz val="11"/>
        <color theme="1"/>
        <rFont val="Calibri"/>
        <family val="3"/>
        <charset val="128"/>
        <scheme val="minor"/>
      </rPr>
      <t>袋入】</t>
    </r>
  </si>
  <si>
    <t>2/19発送完了</t>
  </si>
  <si>
    <t>KX242</t>
  </si>
  <si>
    <r>
      <t xml:space="preserve">  </t>
    </r>
    <r>
      <rPr>
        <sz val="11"/>
        <color theme="1"/>
        <rFont val="Calibri"/>
        <family val="3"/>
        <charset val="128"/>
        <scheme val="minor"/>
      </rPr>
      <t>つぶらな瞳の水族館レトロクリームソーダ</t>
    </r>
    <r>
      <rPr>
        <sz val="11"/>
        <color theme="1"/>
        <rFont val="Calibri"/>
        <family val="2"/>
        <scheme val="minor"/>
      </rPr>
      <t xml:space="preserve"> 288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188(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【商品サイズ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>3x3x8.6cm PP</t>
    </r>
    <r>
      <rPr>
        <sz val="11"/>
        <color theme="1"/>
        <rFont val="Calibri"/>
        <family val="3"/>
        <charset val="128"/>
        <scheme val="minor"/>
      </rPr>
      <t>袋入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】</t>
    </r>
  </si>
  <si>
    <t>KS991</t>
  </si>
  <si>
    <r>
      <rPr>
        <sz val="11"/>
        <color theme="1"/>
        <rFont val="Calibri"/>
        <family val="3"/>
        <charset val="128"/>
        <scheme val="minor"/>
      </rPr>
      <t>真っ白と真っ黒なお友達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3"/>
        <charset val="128"/>
        <scheme val="minor"/>
      </rPr>
      <t>マスコット</t>
    </r>
    <r>
      <rPr>
        <sz val="11"/>
        <color theme="1"/>
        <rFont val="Calibri"/>
        <family val="2"/>
        <scheme val="minor"/>
      </rPr>
      <t>BC 192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297(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>9cm OPP</t>
    </r>
    <r>
      <rPr>
        <sz val="11"/>
        <color theme="1"/>
        <rFont val="Calibri"/>
        <family val="3"/>
        <charset val="128"/>
        <scheme val="minor"/>
      </rPr>
      <t>袋入】</t>
    </r>
  </si>
  <si>
    <t>KS992</t>
  </si>
  <si>
    <r>
      <rPr>
        <sz val="11"/>
        <color theme="1"/>
        <rFont val="Calibri"/>
        <family val="3"/>
        <charset val="128"/>
        <scheme val="minor"/>
      </rPr>
      <t>桃色のお友達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3"/>
        <charset val="128"/>
        <scheme val="minor"/>
      </rPr>
      <t>マスコット</t>
    </r>
    <r>
      <rPr>
        <sz val="11"/>
        <color theme="1"/>
        <rFont val="Calibri"/>
        <family val="2"/>
        <scheme val="minor"/>
      </rPr>
      <t>BC 192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297(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>9cm OPP</t>
    </r>
    <r>
      <rPr>
        <sz val="11"/>
        <color theme="1"/>
        <rFont val="Calibri"/>
        <family val="3"/>
        <charset val="128"/>
        <scheme val="minor"/>
      </rPr>
      <t>袋入】</t>
    </r>
  </si>
  <si>
    <t>KW731</t>
  </si>
  <si>
    <r>
      <t xml:space="preserve">  </t>
    </r>
    <r>
      <rPr>
        <sz val="11"/>
        <color theme="1"/>
        <rFont val="Calibri"/>
        <family val="3"/>
        <charset val="128"/>
        <scheme val="minor"/>
      </rPr>
      <t>完全ワイヤレスイヤホン</t>
    </r>
    <r>
      <rPr>
        <sz val="11"/>
        <color theme="1"/>
        <rFont val="Calibri"/>
        <family val="2"/>
        <scheme val="minor"/>
      </rPr>
      <t xml:space="preserve">  Parallel 96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540(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 xml:space="preserve">:MAX6.5cm </t>
    </r>
    <r>
      <rPr>
        <sz val="11"/>
        <color theme="1"/>
        <rFont val="Calibri"/>
        <family val="3"/>
        <charset val="128"/>
        <scheme val="minor"/>
      </rPr>
      <t>カラー</t>
    </r>
    <r>
      <rPr>
        <sz val="11"/>
        <color theme="1"/>
        <rFont val="Calibri"/>
        <family val="2"/>
        <scheme val="minor"/>
      </rPr>
      <t>PKG</t>
    </r>
    <r>
      <rPr>
        <sz val="11"/>
        <color theme="1"/>
        <rFont val="Calibri"/>
        <family val="3"/>
        <charset val="128"/>
        <scheme val="minor"/>
      </rPr>
      <t>入】</t>
    </r>
  </si>
  <si>
    <t>2/18発送完了</t>
  </si>
  <si>
    <t>KW732</t>
  </si>
  <si>
    <r>
      <t xml:space="preserve"> TWS</t>
    </r>
    <r>
      <rPr>
        <sz val="11"/>
        <color theme="1"/>
        <rFont val="Calibri"/>
        <family val="3"/>
        <charset val="128"/>
        <scheme val="minor"/>
      </rPr>
      <t>イヤホン</t>
    </r>
    <r>
      <rPr>
        <sz val="11"/>
        <color theme="1"/>
        <rFont val="Calibri"/>
        <family val="2"/>
        <scheme val="minor"/>
      </rPr>
      <t>Pale  96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490(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 xml:space="preserve">:MAX6.5cm </t>
    </r>
    <r>
      <rPr>
        <sz val="11"/>
        <color theme="1"/>
        <rFont val="Calibri"/>
        <family val="3"/>
        <charset val="128"/>
        <scheme val="minor"/>
      </rPr>
      <t>カラー</t>
    </r>
    <r>
      <rPr>
        <sz val="11"/>
        <color theme="1"/>
        <rFont val="Calibri"/>
        <family val="2"/>
        <scheme val="minor"/>
      </rPr>
      <t>PKG</t>
    </r>
    <r>
      <rPr>
        <sz val="11"/>
        <color theme="1"/>
        <rFont val="Calibri"/>
        <family val="3"/>
        <charset val="128"/>
        <scheme val="minor"/>
      </rPr>
      <t>入】</t>
    </r>
  </si>
  <si>
    <t>KS986</t>
  </si>
  <si>
    <r>
      <t xml:space="preserve">  </t>
    </r>
    <r>
      <rPr>
        <sz val="11"/>
        <color theme="1"/>
        <rFont val="Calibri"/>
        <family val="3"/>
        <charset val="128"/>
        <scheme val="minor"/>
      </rPr>
      <t>うとうと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あくありうむ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もちふわぷちマスコット</t>
    </r>
    <r>
      <rPr>
        <sz val="11"/>
        <color theme="1"/>
        <rFont val="Calibri"/>
        <family val="2"/>
        <scheme val="minor"/>
      </rPr>
      <t>BC 320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188(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>7.2cm OPP</t>
    </r>
    <r>
      <rPr>
        <sz val="11"/>
        <color theme="1"/>
        <rFont val="Calibri"/>
        <family val="3"/>
        <charset val="128"/>
        <scheme val="minor"/>
      </rPr>
      <t>袋入】</t>
    </r>
  </si>
  <si>
    <t>2/17発送完了</t>
  </si>
  <si>
    <t>IX620</t>
  </si>
  <si>
    <r>
      <t xml:space="preserve"> </t>
    </r>
    <r>
      <rPr>
        <sz val="11"/>
        <color theme="1"/>
        <rFont val="Calibri"/>
        <family val="3"/>
        <charset val="128"/>
        <scheme val="minor"/>
      </rPr>
      <t>つぶらな瞳の水族館</t>
    </r>
    <r>
      <rPr>
        <sz val="11"/>
        <color theme="1"/>
        <rFont val="Calibri"/>
        <family val="2"/>
        <scheme val="minor"/>
      </rPr>
      <t xml:space="preserve">   </t>
    </r>
    <r>
      <rPr>
        <sz val="11"/>
        <color theme="1"/>
        <rFont val="Calibri"/>
        <family val="3"/>
        <charset val="128"/>
        <scheme val="minor"/>
      </rPr>
      <t>むぎゅぬい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その</t>
    </r>
    <r>
      <rPr>
        <sz val="11"/>
        <color theme="1"/>
        <rFont val="Calibri"/>
        <family val="2"/>
        <scheme val="minor"/>
      </rPr>
      <t>1 264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208(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11x5x9.5cm </t>
    </r>
    <r>
      <rPr>
        <sz val="11"/>
        <color theme="1"/>
        <rFont val="Calibri"/>
        <family val="3"/>
        <charset val="128"/>
        <scheme val="minor"/>
      </rPr>
      <t>大袋入】</t>
    </r>
  </si>
  <si>
    <t>KA909</t>
  </si>
  <si>
    <r>
      <t xml:space="preserve"> </t>
    </r>
    <r>
      <rPr>
        <sz val="11"/>
        <color theme="1"/>
        <rFont val="Calibri"/>
        <family val="3"/>
        <charset val="128"/>
        <scheme val="minor"/>
      </rPr>
      <t>つぶらな瞳の水族館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3"/>
        <charset val="128"/>
        <scheme val="minor"/>
      </rPr>
      <t>むぎゅぬいその</t>
    </r>
    <r>
      <rPr>
        <sz val="11"/>
        <color theme="1"/>
        <rFont val="Calibri"/>
        <family val="2"/>
        <scheme val="minor"/>
      </rPr>
      <t>3 256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242(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13x5x9.5cm </t>
    </r>
    <r>
      <rPr>
        <sz val="11"/>
        <color theme="1"/>
        <rFont val="Calibri"/>
        <family val="3"/>
        <charset val="128"/>
        <scheme val="minor"/>
      </rPr>
      <t>大袋入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】</t>
    </r>
  </si>
  <si>
    <t>KY642</t>
  </si>
  <si>
    <r>
      <rPr>
        <sz val="11"/>
        <color theme="1"/>
        <rFont val="Calibri"/>
        <family val="3"/>
        <charset val="128"/>
        <scheme val="minor"/>
      </rPr>
      <t>　コットンキャンディベア</t>
    </r>
    <r>
      <rPr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3"/>
        <charset val="128"/>
        <scheme val="minor"/>
      </rPr>
      <t>㎝</t>
    </r>
    <r>
      <rPr>
        <sz val="11"/>
        <color theme="1"/>
        <rFont val="Calibri"/>
        <family val="2"/>
        <scheme val="minor"/>
      </rPr>
      <t xml:space="preserve"> 64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984(</t>
    </r>
    <r>
      <rPr>
        <sz val="11"/>
        <color theme="1"/>
        <rFont val="Calibri"/>
        <family val="3"/>
        <charset val="128"/>
        <scheme val="minor"/>
      </rPr>
      <t>送料</t>
    </r>
    <r>
      <rPr>
        <sz val="11"/>
        <color theme="1"/>
        <rFont val="Calibri"/>
        <family val="2"/>
        <scheme val="minor"/>
      </rPr>
      <t>:1ct+2000</t>
    </r>
    <r>
      <rPr>
        <sz val="11"/>
        <color theme="1"/>
        <rFont val="Calibri"/>
        <family val="3"/>
        <charset val="128"/>
        <scheme val="minor"/>
      </rPr>
      <t>円・ハーフ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【商品サイズ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45cm </t>
    </r>
    <r>
      <rPr>
        <sz val="11"/>
        <color theme="1"/>
        <rFont val="Calibri"/>
        <family val="3"/>
        <charset val="128"/>
        <scheme val="minor"/>
      </rPr>
      <t>圧縮袋入】</t>
    </r>
  </si>
  <si>
    <t>2/4発送完了</t>
  </si>
  <si>
    <t>KW808</t>
  </si>
  <si>
    <r>
      <t xml:space="preserve"> </t>
    </r>
    <r>
      <rPr>
        <sz val="11"/>
        <color theme="1"/>
        <rFont val="Calibri"/>
        <family val="3"/>
        <charset val="128"/>
        <scheme val="minor"/>
      </rPr>
      <t>∞にくきゅう</t>
    </r>
    <r>
      <rPr>
        <sz val="11"/>
        <color theme="1"/>
        <rFont val="Calibri"/>
        <family val="2"/>
        <scheme val="minor"/>
      </rPr>
      <t xml:space="preserve"> 360</t>
    </r>
    <r>
      <rPr>
        <sz val="11"/>
        <color theme="1"/>
        <rFont val="Calibri"/>
        <family val="3"/>
        <charset val="128"/>
        <scheme val="minor"/>
      </rPr>
      <t>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＠</t>
    </r>
    <r>
      <rPr>
        <sz val="11"/>
        <color theme="1"/>
        <rFont val="Calibri"/>
        <family val="2"/>
        <scheme val="minor"/>
      </rPr>
      <t>125(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:MAX6.5cm OPP</t>
    </r>
    <r>
      <rPr>
        <sz val="11"/>
        <color theme="1"/>
        <rFont val="Calibri"/>
        <family val="3"/>
        <charset val="128"/>
        <scheme val="minor"/>
      </rPr>
      <t>袋入】</t>
    </r>
  </si>
  <si>
    <r>
      <t xml:space="preserve"> </t>
    </r>
    <r>
      <rPr>
        <sz val="11"/>
        <color theme="1"/>
        <rFont val="Calibri"/>
        <family val="3"/>
        <charset val="128"/>
        <scheme val="minor"/>
      </rPr>
      <t>スロットマシン</t>
    </r>
    <r>
      <rPr>
        <sz val="11"/>
        <color theme="1"/>
        <rFont val="Calibri"/>
        <family val="2"/>
        <scheme val="minor"/>
      </rPr>
      <t>mini 6colors 432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141(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5.5cm </t>
    </r>
    <r>
      <rPr>
        <sz val="11"/>
        <color theme="1"/>
        <rFont val="Calibri"/>
        <family val="3"/>
        <charset val="128"/>
        <scheme val="minor"/>
      </rPr>
      <t>個別</t>
    </r>
    <r>
      <rPr>
        <sz val="11"/>
        <color theme="1"/>
        <rFont val="Calibri"/>
        <family val="2"/>
        <scheme val="minor"/>
      </rPr>
      <t>PP</t>
    </r>
    <r>
      <rPr>
        <sz val="11"/>
        <color theme="1"/>
        <rFont val="Calibri"/>
        <family val="3"/>
        <charset val="128"/>
        <scheme val="minor"/>
      </rPr>
      <t>袋入】</t>
    </r>
  </si>
  <si>
    <t>KW766</t>
  </si>
  <si>
    <r>
      <t xml:space="preserve"> </t>
    </r>
    <r>
      <rPr>
        <sz val="11"/>
        <color theme="1"/>
        <rFont val="Calibri"/>
        <family val="3"/>
        <charset val="128"/>
        <scheme val="minor"/>
      </rPr>
      <t>ミニミニ</t>
    </r>
    <r>
      <rPr>
        <sz val="11"/>
        <color theme="1"/>
        <rFont val="Calibri"/>
        <family val="2"/>
        <scheme val="minor"/>
      </rPr>
      <t xml:space="preserve"> NEW</t>
    </r>
    <r>
      <rPr>
        <sz val="11"/>
        <color theme="1"/>
        <rFont val="Calibri"/>
        <family val="3"/>
        <charset val="128"/>
        <scheme val="minor"/>
      </rPr>
      <t>クレーンアームキーホルダー</t>
    </r>
    <r>
      <rPr>
        <sz val="11"/>
        <color theme="1"/>
        <rFont val="Calibri"/>
        <family val="2"/>
        <scheme val="minor"/>
      </rPr>
      <t>2 320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182(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6cm </t>
    </r>
    <r>
      <rPr>
        <sz val="11"/>
        <color theme="1"/>
        <rFont val="Calibri"/>
        <family val="3"/>
        <charset val="128"/>
        <scheme val="minor"/>
      </rPr>
      <t>個別袋入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】</t>
    </r>
  </si>
  <si>
    <t>1/31発送完了（2月伝票）</t>
  </si>
  <si>
    <t>KG962</t>
  </si>
  <si>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>mob.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>2nd   stage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 xml:space="preserve"> 408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93.1(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>5.4x3x10.5cm OPP</t>
    </r>
    <r>
      <rPr>
        <sz val="11"/>
        <color theme="1"/>
        <rFont val="Calibri"/>
        <family val="3"/>
        <charset val="128"/>
        <scheme val="minor"/>
      </rPr>
      <t>袋入】</t>
    </r>
  </si>
  <si>
    <t>2/5発送完了</t>
  </si>
  <si>
    <r>
      <rPr>
        <sz val="11"/>
        <color theme="1"/>
        <rFont val="Calibri"/>
        <family val="3"/>
        <charset val="128"/>
        <scheme val="minor"/>
      </rPr>
      <t>株式会社</t>
    </r>
    <r>
      <rPr>
        <sz val="11"/>
        <color theme="1"/>
        <rFont val="Calibri"/>
        <family val="2"/>
        <scheme val="minor"/>
      </rPr>
      <t>change</t>
    </r>
    <r>
      <rPr>
        <sz val="11"/>
        <color theme="1"/>
        <rFont val="Calibri"/>
        <family val="3"/>
        <charset val="128"/>
        <scheme val="minor"/>
      </rPr>
      <t>（旧：</t>
    </r>
    <r>
      <rPr>
        <sz val="11"/>
        <color theme="1"/>
        <rFont val="Calibri"/>
        <family val="2"/>
        <scheme val="minor"/>
      </rPr>
      <t>achieve(</t>
    </r>
    <r>
      <rPr>
        <sz val="11"/>
        <color theme="1"/>
        <rFont val="Calibri"/>
        <family val="3"/>
        <charset val="128"/>
        <scheme val="minor"/>
      </rPr>
      <t>アミューズ））</t>
    </r>
  </si>
  <si>
    <t>JY632</t>
  </si>
  <si>
    <r>
      <t>U1644 JUGGLER</t>
    </r>
    <r>
      <rPr>
        <sz val="11"/>
        <color theme="1"/>
        <rFont val="Calibri"/>
        <family val="3"/>
        <charset val="128"/>
        <scheme val="minor"/>
      </rPr>
      <t>ぬいぐるみマスコットミニ</t>
    </r>
    <r>
      <rPr>
        <sz val="11"/>
        <color theme="1"/>
        <rFont val="Calibri"/>
        <family val="2"/>
        <scheme val="minor"/>
      </rPr>
      <t>BCvol.1 5</t>
    </r>
    <r>
      <rPr>
        <sz val="11"/>
        <color theme="1"/>
        <rFont val="Calibri"/>
        <family val="3"/>
        <charset val="128"/>
        <scheme val="minor"/>
      </rPr>
      <t>種</t>
    </r>
    <r>
      <rPr>
        <sz val="11"/>
        <color theme="1"/>
        <rFont val="Calibri"/>
        <family val="2"/>
        <scheme val="minor"/>
      </rPr>
      <t>(300</t>
    </r>
    <r>
      <rPr>
        <sz val="11"/>
        <color theme="1"/>
        <rFont val="Calibri"/>
        <family val="3"/>
        <charset val="128"/>
        <scheme val="minor"/>
      </rPr>
      <t>入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　サイズ：約</t>
    </r>
    <r>
      <rPr>
        <sz val="11"/>
        <color theme="1"/>
        <rFont val="Calibri"/>
        <family val="2"/>
        <scheme val="minor"/>
      </rPr>
      <t>H6.3×W7.2×D3</t>
    </r>
    <r>
      <rPr>
        <sz val="11"/>
        <color theme="1"/>
        <rFont val="Calibri"/>
        <family val="3"/>
        <charset val="128"/>
        <scheme val="minor"/>
      </rPr>
      <t>ｃ</t>
    </r>
    <r>
      <rPr>
        <sz val="11"/>
        <color theme="1"/>
        <rFont val="Calibri"/>
        <family val="2"/>
        <scheme val="minor"/>
      </rPr>
      <t>m</t>
    </r>
  </si>
  <si>
    <t>2/10着発送完了</t>
  </si>
  <si>
    <t>2025年02月 中旬～</t>
  </si>
  <si>
    <t>JY630</t>
  </si>
  <si>
    <r>
      <t>U1636 JUGGLER</t>
    </r>
    <r>
      <rPr>
        <sz val="11"/>
        <color theme="1"/>
        <rFont val="Calibri"/>
        <family val="3"/>
        <charset val="128"/>
        <scheme val="minor"/>
      </rPr>
      <t>コンコレフルグラロン</t>
    </r>
    <r>
      <rPr>
        <sz val="11"/>
        <color theme="1"/>
        <rFont val="Calibri"/>
        <family val="2"/>
        <scheme val="minor"/>
      </rPr>
      <t>Tvol.2 2</t>
    </r>
    <r>
      <rPr>
        <sz val="11"/>
        <color theme="1"/>
        <rFont val="Calibri"/>
        <family val="3"/>
        <charset val="128"/>
        <scheme val="minor"/>
      </rPr>
      <t>種</t>
    </r>
    <r>
      <rPr>
        <sz val="11"/>
        <color theme="1"/>
        <rFont val="Calibri"/>
        <family val="2"/>
        <scheme val="minor"/>
      </rPr>
      <t>(80</t>
    </r>
    <r>
      <rPr>
        <sz val="11"/>
        <color theme="1"/>
        <rFont val="Calibri"/>
        <family val="3"/>
        <charset val="128"/>
        <scheme val="minor"/>
      </rPr>
      <t>入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★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3"/>
        <charset val="128"/>
        <scheme val="minor"/>
      </rPr>
      <t>個口　サイズ：約</t>
    </r>
    <r>
      <rPr>
        <sz val="11"/>
        <color theme="1"/>
        <rFont val="Calibri"/>
        <family val="2"/>
        <scheme val="minor"/>
      </rPr>
      <t>H13×W28×D24</t>
    </r>
    <r>
      <rPr>
        <sz val="11"/>
        <color theme="1"/>
        <rFont val="Calibri"/>
        <family val="3"/>
        <charset val="128"/>
        <scheme val="minor"/>
      </rPr>
      <t>ｃ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3"/>
        <charset val="128"/>
        <scheme val="minor"/>
      </rPr>
      <t>※個口送料がかかる商品となります</t>
    </r>
  </si>
  <si>
    <t>2/14着発送完了</t>
  </si>
  <si>
    <r>
      <t>CuriousGeorgeTOYSTYLE</t>
    </r>
    <r>
      <rPr>
        <sz val="11"/>
        <color theme="1"/>
        <rFont val="Calibri"/>
        <family val="3"/>
        <charset val="128"/>
        <scheme val="minor"/>
      </rPr>
      <t>ラバーマスコット</t>
    </r>
    <r>
      <rPr>
        <sz val="11"/>
        <color theme="1"/>
        <rFont val="Calibri"/>
        <family val="2"/>
        <scheme val="minor"/>
      </rPr>
      <t xml:space="preserve"> [PP</t>
    </r>
    <r>
      <rPr>
        <sz val="11"/>
        <color theme="1"/>
        <rFont val="Calibri"/>
        <family val="3"/>
        <charset val="128"/>
        <scheme val="minor"/>
      </rPr>
      <t>袋</t>
    </r>
    <r>
      <rPr>
        <sz val="11"/>
        <color theme="1"/>
        <rFont val="Calibri"/>
        <family val="2"/>
        <scheme val="minor"/>
      </rPr>
      <t>][</t>
    </r>
    <r>
      <rPr>
        <sz val="11"/>
        <color theme="1"/>
        <rFont val="Calibri"/>
        <family val="3"/>
        <charset val="128"/>
        <scheme val="minor"/>
      </rPr>
      <t>パッケージサイズ：</t>
    </r>
    <r>
      <rPr>
        <sz val="11"/>
        <color theme="1"/>
        <rFont val="Calibri"/>
        <family val="2"/>
        <scheme val="minor"/>
      </rPr>
      <t>5.7*5*3.2</t>
    </r>
    <r>
      <rPr>
        <sz val="11"/>
        <color theme="1"/>
        <rFont val="Calibri"/>
        <family val="3"/>
        <charset val="128"/>
        <scheme val="minor"/>
      </rPr>
      <t>㎝</t>
    </r>
    <r>
      <rPr>
        <sz val="11"/>
        <color theme="1"/>
        <rFont val="Calibri"/>
        <family val="2"/>
        <scheme val="minor"/>
      </rPr>
      <t>]</t>
    </r>
  </si>
  <si>
    <t>2/26発送完了</t>
  </si>
  <si>
    <t>2/14発送完了</t>
  </si>
  <si>
    <t>FK426</t>
  </si>
  <si>
    <r>
      <rPr>
        <sz val="11"/>
        <color theme="1"/>
        <rFont val="Calibri"/>
        <family val="3"/>
        <charset val="128"/>
        <scheme val="minor"/>
      </rPr>
      <t>クレーン用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3"/>
        <charset val="128"/>
        <scheme val="minor"/>
      </rPr>
      <t>丸ブリスター小</t>
    </r>
    <r>
      <rPr>
        <sz val="11"/>
        <color theme="1"/>
        <rFont val="Calibri"/>
        <family val="2"/>
        <scheme val="minor"/>
      </rPr>
      <t xml:space="preserve"> 1000</t>
    </r>
    <r>
      <rPr>
        <sz val="11"/>
        <color theme="1"/>
        <rFont val="Calibri"/>
        <family val="3"/>
        <charset val="128"/>
        <scheme val="minor"/>
      </rPr>
      <t>入</t>
    </r>
    <r>
      <rPr>
        <sz val="11"/>
        <color theme="1"/>
        <rFont val="Calibri"/>
        <family val="2"/>
        <scheme val="minor"/>
      </rPr>
      <t>@8.0</t>
    </r>
    <r>
      <rPr>
        <sz val="11"/>
        <color theme="1"/>
        <rFont val="Calibri"/>
        <family val="3"/>
        <charset val="128"/>
        <scheme val="minor"/>
      </rPr>
      <t>（送料＋</t>
    </r>
    <r>
      <rPr>
        <sz val="11"/>
        <color theme="1"/>
        <rFont val="Calibri"/>
        <family val="2"/>
        <scheme val="minor"/>
      </rPr>
      <t>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ハーフ不可）</t>
    </r>
  </si>
  <si>
    <t xml:space="preserve">2025年02月 即納 </t>
  </si>
  <si>
    <t>KA874</t>
  </si>
  <si>
    <r>
      <t xml:space="preserve">  </t>
    </r>
    <r>
      <rPr>
        <sz val="11"/>
        <color theme="1"/>
        <rFont val="Calibri"/>
        <family val="3"/>
        <charset val="128"/>
        <scheme val="minor"/>
      </rPr>
      <t>コンパクトボイスレコーダー</t>
    </r>
    <r>
      <rPr>
        <sz val="11"/>
        <color theme="1"/>
        <rFont val="Calibri"/>
        <family val="2"/>
        <scheme val="minor"/>
      </rPr>
      <t xml:space="preserve">  240</t>
    </r>
    <r>
      <rPr>
        <sz val="11"/>
        <color theme="1"/>
        <rFont val="Calibri"/>
        <family val="3"/>
        <charset val="128"/>
        <scheme val="minor"/>
      </rPr>
      <t>入＠</t>
    </r>
    <r>
      <rPr>
        <sz val="11"/>
        <color theme="1"/>
        <rFont val="Calibri"/>
        <family val="2"/>
        <scheme val="minor"/>
      </rPr>
      <t>235(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 xml:space="preserve">5.5x5x6.7cm </t>
    </r>
    <r>
      <rPr>
        <sz val="11"/>
        <color theme="1"/>
        <rFont val="Calibri"/>
        <family val="3"/>
        <charset val="128"/>
        <scheme val="minor"/>
      </rPr>
      <t>個別</t>
    </r>
    <r>
      <rPr>
        <sz val="11"/>
        <color theme="1"/>
        <rFont val="Calibri"/>
        <family val="2"/>
        <scheme val="minor"/>
      </rPr>
      <t>OPP</t>
    </r>
    <r>
      <rPr>
        <sz val="11"/>
        <color theme="1"/>
        <rFont val="Calibri"/>
        <family val="3"/>
        <charset val="128"/>
        <scheme val="minor"/>
      </rPr>
      <t>袋入】</t>
    </r>
  </si>
  <si>
    <t>2025年02月 即納</t>
  </si>
  <si>
    <t>2/10発送完了</t>
  </si>
  <si>
    <t>KY800</t>
  </si>
  <si>
    <r>
      <t xml:space="preserve"> </t>
    </r>
    <r>
      <rPr>
        <sz val="11"/>
        <color theme="1"/>
        <rFont val="Calibri"/>
        <family val="3"/>
        <charset val="128"/>
        <scheme val="minor"/>
      </rPr>
      <t>ミニチュアハーモニカ</t>
    </r>
    <r>
      <rPr>
        <sz val="11"/>
        <color theme="1"/>
        <rFont val="Calibri"/>
        <family val="2"/>
        <scheme val="minor"/>
      </rPr>
      <t>2  960</t>
    </r>
    <r>
      <rPr>
        <sz val="11"/>
        <color theme="1"/>
        <rFont val="Calibri"/>
        <family val="3"/>
        <charset val="128"/>
        <scheme val="minor"/>
      </rPr>
      <t>入</t>
    </r>
    <r>
      <rPr>
        <sz val="11"/>
        <color theme="1"/>
        <rFont val="Calibri"/>
        <family val="2"/>
        <scheme val="minor"/>
      </rPr>
      <t>@48.9(</t>
    </r>
    <r>
      <rPr>
        <sz val="11"/>
        <color theme="1"/>
        <rFont val="Calibri"/>
        <family val="3"/>
        <charset val="128"/>
        <scheme val="minor"/>
      </rPr>
      <t>ハーフ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8"/>
        <scheme val="minor"/>
      </rPr>
      <t>クォーター</t>
    </r>
    <r>
      <rPr>
        <sz val="11"/>
        <color theme="1"/>
        <rFont val="Calibri"/>
        <family val="2"/>
        <scheme val="minor"/>
      </rPr>
      <t>+1000</t>
    </r>
    <r>
      <rPr>
        <sz val="11"/>
        <color theme="1"/>
        <rFont val="Calibri"/>
        <family val="3"/>
        <charset val="128"/>
        <scheme val="minor"/>
      </rPr>
      <t>円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3"/>
        <charset val="128"/>
        <scheme val="minor"/>
      </rPr>
      <t>【商品サイズ</t>
    </r>
    <r>
      <rPr>
        <sz val="11"/>
        <color theme="1"/>
        <rFont val="Calibri"/>
        <family val="2"/>
        <scheme val="minor"/>
      </rPr>
      <t>:1.4x1x3.5cm PP</t>
    </r>
    <r>
      <rPr>
        <sz val="11"/>
        <color theme="1"/>
        <rFont val="Calibri"/>
        <family val="3"/>
        <charset val="128"/>
        <scheme val="minor"/>
      </rPr>
      <t>袋入】</t>
    </r>
  </si>
  <si>
    <t>KY738</t>
  </si>
  <si>
    <r>
      <rPr>
        <sz val="11"/>
        <color theme="1"/>
        <rFont val="Calibri"/>
        <family val="3"/>
        <charset val="128"/>
        <scheme val="minor"/>
      </rPr>
      <t>サンリオキャラクターズ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ファーストラップ【商品サイズ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28"/>
        <scheme val="minor"/>
      </rPr>
      <t>約</t>
    </r>
    <r>
      <rPr>
        <sz val="11"/>
        <color theme="1"/>
        <rFont val="Calibri"/>
        <family val="2"/>
        <scheme val="minor"/>
      </rPr>
      <t>H103×W86×D50</t>
    </r>
    <r>
      <rPr>
        <sz val="11"/>
        <color theme="1"/>
        <rFont val="Calibri"/>
        <family val="3"/>
        <charset val="128"/>
        <scheme val="minor"/>
      </rPr>
      <t>㎜】○</t>
    </r>
  </si>
  <si>
    <t>KY236</t>
  </si>
  <si>
    <r>
      <rPr>
        <sz val="11"/>
        <color theme="1"/>
        <rFont val="Calibri"/>
        <family val="3"/>
        <charset val="128"/>
        <scheme val="minor"/>
      </rPr>
      <t>うずまきキャンディー１０種　商品サイズ</t>
    </r>
    <r>
      <rPr>
        <sz val="11"/>
        <color theme="1"/>
        <rFont val="Calibri"/>
        <family val="2"/>
        <scheme val="minor"/>
      </rPr>
      <t>18cm</t>
    </r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>OPP</t>
    </r>
    <r>
      <rPr>
        <sz val="11"/>
        <color theme="1"/>
        <rFont val="Calibri"/>
        <family val="3"/>
        <charset val="128"/>
        <scheme val="minor"/>
      </rPr>
      <t>入り</t>
    </r>
  </si>
  <si>
    <t>2/27発送完了</t>
  </si>
  <si>
    <r>
      <rPr>
        <sz val="11"/>
        <rFont val="Calibri"/>
        <family val="3"/>
        <charset val="128"/>
        <scheme val="minor"/>
      </rPr>
      <t>発送完了</t>
    </r>
  </si>
  <si>
    <r>
      <rPr>
        <sz val="11"/>
        <rFont val="Calibri"/>
        <family val="3"/>
        <charset val="128"/>
        <scheme val="minor"/>
      </rPr>
      <t>スポガ久留米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8"/>
        <scheme val="minor"/>
      </rPr>
      <t>卓球ゲームコーナー</t>
    </r>
  </si>
  <si>
    <r>
      <rPr>
        <sz val="11"/>
        <rFont val="Calibri"/>
        <family val="3"/>
        <charset val="128"/>
        <scheme val="minor"/>
      </rPr>
      <t>うずまきキャンディー１０種　商品サイズ</t>
    </r>
    <r>
      <rPr>
        <sz val="11"/>
        <rFont val="Calibri"/>
        <family val="2"/>
        <scheme val="minor"/>
      </rPr>
      <t>18cm</t>
    </r>
    <r>
      <rPr>
        <sz val="11"/>
        <rFont val="Calibri"/>
        <family val="3"/>
        <charset val="128"/>
        <scheme val="minor"/>
      </rPr>
      <t>　</t>
    </r>
    <r>
      <rPr>
        <sz val="11"/>
        <rFont val="Calibri"/>
        <family val="2"/>
        <scheme val="minor"/>
      </rPr>
      <t>OPP</t>
    </r>
    <r>
      <rPr>
        <sz val="11"/>
        <rFont val="Calibri"/>
        <family val="3"/>
        <charset val="128"/>
        <scheme val="minor"/>
      </rPr>
      <t>入り</t>
    </r>
  </si>
  <si>
    <r>
      <rPr>
        <sz val="11"/>
        <rFont val="Calibri"/>
        <family val="3"/>
        <charset val="128"/>
        <scheme val="minor"/>
      </rPr>
      <t>箱</t>
    </r>
  </si>
  <si>
    <r>
      <rPr>
        <sz val="11"/>
        <color theme="1"/>
        <rFont val="Calibri"/>
        <family val="3"/>
        <charset val="128"/>
        <scheme val="minor"/>
      </rPr>
      <t>島添勝也</t>
    </r>
  </si>
  <si>
    <t>発注受付
2/17出荷</t>
  </si>
  <si>
    <r>
      <rPr>
        <sz val="11"/>
        <color theme="1"/>
        <rFont val="Calibri"/>
        <family val="3"/>
        <charset val="128"/>
        <scheme val="minor"/>
      </rPr>
      <t>じゃがりこ　三つ折りウォレット　</t>
    </r>
    <r>
      <rPr>
        <sz val="11"/>
        <color theme="1"/>
        <rFont val="Calibri"/>
        <family val="2"/>
        <scheme val="minor"/>
      </rPr>
      <t>PK</t>
    </r>
    <r>
      <rPr>
        <sz val="11"/>
        <color theme="1"/>
        <rFont val="Calibri"/>
        <family val="3"/>
        <charset val="128"/>
        <scheme val="minor"/>
      </rPr>
      <t>サイズ：約</t>
    </r>
    <r>
      <rPr>
        <sz val="11"/>
        <color theme="1"/>
        <rFont val="Calibri"/>
        <family val="2"/>
        <scheme val="minor"/>
      </rPr>
      <t>H7.5×W9.5×D3.5</t>
    </r>
    <r>
      <rPr>
        <sz val="11"/>
        <color theme="1"/>
        <rFont val="Calibri"/>
        <family val="3"/>
        <charset val="128"/>
        <scheme val="minor"/>
      </rPr>
      <t>㎝　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3"/>
        <charset val="128"/>
        <scheme val="minor"/>
      </rPr>
      <t>種不均等</t>
    </r>
  </si>
  <si>
    <t>KY268</t>
  </si>
  <si>
    <r>
      <rPr>
        <sz val="11"/>
        <color theme="1"/>
        <rFont val="Calibri"/>
        <family val="3"/>
        <charset val="128"/>
        <scheme val="minor"/>
      </rPr>
      <t>ケースチャージ　ワイヤレスイヤフォンｔｏｕｃｈ６　商品サイズ</t>
    </r>
    <r>
      <rPr>
        <sz val="11"/>
        <color theme="1"/>
        <rFont val="Calibri"/>
        <family val="2"/>
        <scheme val="minor"/>
      </rPr>
      <t>4.5×4.5×2cm</t>
    </r>
    <r>
      <rPr>
        <sz val="11"/>
        <color theme="1"/>
        <rFont val="Calibri"/>
        <family val="3"/>
        <charset val="128"/>
        <scheme val="minor"/>
      </rPr>
      <t>　カラーＢＯＸ入り</t>
    </r>
  </si>
  <si>
    <t>発注受付
2/5出荷</t>
  </si>
  <si>
    <t>KZ937</t>
  </si>
  <si>
    <r>
      <rPr>
        <sz val="11"/>
        <color theme="1"/>
        <rFont val="Calibri"/>
        <family val="3"/>
        <charset val="128"/>
        <scheme val="minor"/>
      </rPr>
      <t>サンリオ　カラフルアイスドームキーホルダー　商品サイズ</t>
    </r>
    <r>
      <rPr>
        <sz val="11"/>
        <color theme="1"/>
        <rFont val="Calibri"/>
        <family val="2"/>
        <scheme val="minor"/>
      </rPr>
      <t>7.5×4.2×3.9cm</t>
    </r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>OPP</t>
    </r>
    <r>
      <rPr>
        <sz val="11"/>
        <color theme="1"/>
        <rFont val="Calibri"/>
        <family val="3"/>
        <charset val="128"/>
        <scheme val="minor"/>
      </rPr>
      <t>入り</t>
    </r>
  </si>
  <si>
    <t>2025年02月 下旬</t>
  </si>
  <si>
    <r>
      <rPr>
        <sz val="11"/>
        <color theme="1"/>
        <rFont val="Calibri"/>
        <family val="3"/>
        <charset val="128"/>
        <scheme val="minor"/>
      </rPr>
      <t>サンリオ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オーロラシューズ</t>
    </r>
    <r>
      <rPr>
        <sz val="11"/>
        <color theme="1"/>
        <rFont val="Calibri"/>
        <family val="2"/>
        <scheme val="minor"/>
      </rPr>
      <t>KCver2</t>
    </r>
    <r>
      <rPr>
        <sz val="11"/>
        <color theme="1"/>
        <rFont val="Calibri"/>
        <family val="3"/>
        <charset val="128"/>
        <scheme val="minor"/>
      </rPr>
      <t>【</t>
    </r>
    <r>
      <rPr>
        <sz val="11"/>
        <color theme="1"/>
        <rFont val="Calibri"/>
        <family val="2"/>
        <scheme val="minor"/>
      </rPr>
      <t>5×7.5×3.5</t>
    </r>
    <r>
      <rPr>
        <sz val="11"/>
        <color theme="1"/>
        <rFont val="Calibri"/>
        <family val="3"/>
        <charset val="128"/>
        <scheme val="minor"/>
      </rPr>
      <t>㎝】</t>
    </r>
  </si>
  <si>
    <t>KK733</t>
  </si>
  <si>
    <r>
      <rPr>
        <sz val="11"/>
        <color theme="1"/>
        <rFont val="Calibri"/>
        <family val="3"/>
        <charset val="128"/>
        <scheme val="minor"/>
      </rPr>
      <t>ハートチョコマシュマロ個包装</t>
    </r>
  </si>
  <si>
    <t>発注受付
2/3出荷</t>
  </si>
  <si>
    <t>2025年02月 3日ごろ</t>
  </si>
  <si>
    <t>KC780</t>
  </si>
  <si>
    <r>
      <rPr>
        <sz val="11"/>
        <color theme="1"/>
        <rFont val="Calibri"/>
        <family val="3"/>
        <charset val="128"/>
        <scheme val="minor"/>
      </rPr>
      <t>●</t>
    </r>
    <r>
      <rPr>
        <sz val="11"/>
        <color theme="1"/>
        <rFont val="Calibri"/>
        <family val="2"/>
        <scheme val="minor"/>
      </rPr>
      <t>11/8</t>
    </r>
    <r>
      <rPr>
        <sz val="11"/>
        <color theme="1"/>
        <rFont val="Calibri"/>
        <family val="3"/>
        <charset val="128"/>
        <scheme val="minor"/>
      </rPr>
      <t>締切</t>
    </r>
    <r>
      <rPr>
        <sz val="11"/>
        <color theme="1"/>
        <rFont val="Calibri"/>
        <family val="2"/>
        <scheme val="minor"/>
      </rPr>
      <t xml:space="preserve"> 300</t>
    </r>
    <r>
      <rPr>
        <sz val="11"/>
        <color theme="1"/>
        <rFont val="Calibri"/>
        <family val="3"/>
        <charset val="128"/>
        <scheme val="minor"/>
      </rPr>
      <t>　アミュース不可　バンダイ　それいけ！アンパンマン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アンパンマントレイン</t>
    </r>
    <r>
      <rPr>
        <sz val="11"/>
        <color theme="1"/>
        <rFont val="Calibri"/>
        <family val="2"/>
        <scheme val="minor"/>
      </rPr>
      <t>NEW2</t>
    </r>
  </si>
  <si>
    <r>
      <rPr>
        <sz val="11"/>
        <color theme="1"/>
        <rFont val="Calibri"/>
        <family val="3"/>
        <charset val="128"/>
        <scheme val="minor"/>
      </rPr>
      <t>袋</t>
    </r>
  </si>
  <si>
    <t>発注受付
■１
よ￥</t>
  </si>
  <si>
    <t>2025年02月 2週目</t>
  </si>
  <si>
    <t>JX386</t>
  </si>
  <si>
    <r>
      <rPr>
        <sz val="11"/>
        <color theme="1"/>
        <rFont val="Calibri"/>
        <family val="3"/>
        <charset val="128"/>
        <scheme val="minor"/>
      </rPr>
      <t>ﾁｭｯﾊﾟﾁｬﾌﾟｽ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ｱｲｼｬﾄﾞｳ【パッケージ</t>
    </r>
    <r>
      <rPr>
        <sz val="11"/>
        <color theme="1"/>
        <rFont val="Calibri"/>
        <family val="2"/>
        <scheme val="minor"/>
      </rPr>
      <t>PP</t>
    </r>
    <r>
      <rPr>
        <sz val="11"/>
        <color theme="1"/>
        <rFont val="Calibri"/>
        <family val="3"/>
        <charset val="128"/>
        <scheme val="minor"/>
      </rPr>
      <t>　サイズ：約</t>
    </r>
    <r>
      <rPr>
        <sz val="11"/>
        <color theme="1"/>
        <rFont val="Calibri"/>
        <family val="2"/>
        <scheme val="minor"/>
      </rPr>
      <t>7*4*1</t>
    </r>
    <r>
      <rPr>
        <sz val="11"/>
        <color theme="1"/>
        <rFont val="Calibri"/>
        <family val="3"/>
        <charset val="128"/>
        <scheme val="minor"/>
      </rPr>
      <t>ｃｍ】チュッパチャプス　アイシャドウ</t>
    </r>
  </si>
  <si>
    <r>
      <t>2/18</t>
    </r>
    <r>
      <rPr>
        <sz val="11"/>
        <color theme="1"/>
        <rFont val="Calibri"/>
        <family val="3"/>
        <charset val="128"/>
        <scheme val="minor"/>
      </rPr>
      <t>発送完了</t>
    </r>
    <phoneticPr fontId="5"/>
  </si>
  <si>
    <t>2025年01月 末</t>
  </si>
  <si>
    <t>JX388</t>
  </si>
  <si>
    <r>
      <rPr>
        <sz val="11"/>
        <color theme="1"/>
        <rFont val="Calibri"/>
        <family val="3"/>
        <charset val="128"/>
        <scheme val="minor"/>
      </rPr>
      <t>ﾁｭｯﾊﾟﾁｬﾌﾟｽ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ﾈｲﾙｶﾗｰ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【パッケージ</t>
    </r>
    <r>
      <rPr>
        <sz val="11"/>
        <color theme="1"/>
        <rFont val="Calibri"/>
        <family val="2"/>
        <scheme val="minor"/>
      </rPr>
      <t>PP</t>
    </r>
    <r>
      <rPr>
        <sz val="11"/>
        <color theme="1"/>
        <rFont val="Calibri"/>
        <family val="3"/>
        <charset val="128"/>
        <scheme val="minor"/>
      </rPr>
      <t>　サイズ：約</t>
    </r>
    <r>
      <rPr>
        <sz val="11"/>
        <color theme="1"/>
        <rFont val="Calibri"/>
        <family val="2"/>
        <scheme val="minor"/>
      </rPr>
      <t>5.5*2.8*1.5</t>
    </r>
    <r>
      <rPr>
        <sz val="11"/>
        <color theme="1"/>
        <rFont val="Calibri"/>
        <family val="3"/>
        <charset val="128"/>
        <scheme val="minor"/>
      </rPr>
      <t>ｃｍ】チュッパチャプス　ネイルカラー</t>
    </r>
  </si>
  <si>
    <r>
      <t>2/17</t>
    </r>
    <r>
      <rPr>
        <sz val="11"/>
        <color theme="1"/>
        <rFont val="Calibri"/>
        <family val="3"/>
        <charset val="128"/>
        <scheme val="minor"/>
      </rPr>
      <t>発送完了</t>
    </r>
    <phoneticPr fontId="5"/>
  </si>
  <si>
    <t>JY040</t>
  </si>
  <si>
    <r>
      <t>BES398</t>
    </r>
    <r>
      <rPr>
        <sz val="11"/>
        <color theme="1"/>
        <rFont val="Calibri"/>
        <family val="3"/>
        <charset val="128"/>
        <scheme val="minor"/>
      </rPr>
      <t>スポーツスマートウォッチ</t>
    </r>
  </si>
  <si>
    <r>
      <t xml:space="preserve">1/31 </t>
    </r>
    <r>
      <rPr>
        <sz val="11"/>
        <color theme="1"/>
        <rFont val="Calibri"/>
        <family val="3"/>
        <charset val="128"/>
        <scheme val="minor"/>
      </rPr>
      <t>納期遅延連絡済み</t>
    </r>
    <phoneticPr fontId="5"/>
  </si>
  <si>
    <t>2025年01月 中~下</t>
  </si>
  <si>
    <t>KX074</t>
  </si>
  <si>
    <r>
      <rPr>
        <sz val="11"/>
        <color theme="1"/>
        <rFont val="Calibri"/>
        <family val="3"/>
        <charset val="128"/>
        <scheme val="minor"/>
      </rPr>
      <t>おさるのジョージ小銭入れ付きミニ財布</t>
    </r>
    <r>
      <rPr>
        <sz val="11"/>
        <color theme="1"/>
        <rFont val="Calibri"/>
        <family val="2"/>
        <scheme val="minor"/>
      </rPr>
      <t>(OG-505</t>
    </r>
    <r>
      <rPr>
        <sz val="11"/>
        <color theme="1"/>
        <rFont val="Calibri"/>
        <family val="3"/>
        <charset val="128"/>
        <scheme val="minor"/>
      </rPr>
      <t>）【</t>
    </r>
    <r>
      <rPr>
        <sz val="11"/>
        <color theme="1"/>
        <rFont val="Calibri"/>
        <family val="2"/>
        <scheme val="minor"/>
      </rPr>
      <t>OPP</t>
    </r>
    <r>
      <rPr>
        <sz val="11"/>
        <color theme="1"/>
        <rFont val="Calibri"/>
        <family val="3"/>
        <charset val="128"/>
        <scheme val="minor"/>
      </rPr>
      <t>サイズ：約</t>
    </r>
    <r>
      <rPr>
        <sz val="11"/>
        <color theme="1"/>
        <rFont val="Calibri"/>
        <family val="2"/>
        <scheme val="minor"/>
      </rPr>
      <t>W10×H8</t>
    </r>
    <r>
      <rPr>
        <sz val="11"/>
        <color theme="1"/>
        <rFont val="Calibri"/>
        <family val="3"/>
        <charset val="128"/>
        <scheme val="minor"/>
      </rPr>
      <t>✕厚み</t>
    </r>
    <r>
      <rPr>
        <sz val="11"/>
        <color theme="1"/>
        <rFont val="Calibri"/>
        <family val="2"/>
        <scheme val="minor"/>
      </rPr>
      <t>3cm</t>
    </r>
    <r>
      <rPr>
        <sz val="11"/>
        <color theme="1"/>
        <rFont val="Calibri"/>
        <family val="3"/>
        <charset val="128"/>
        <scheme val="minor"/>
      </rPr>
      <t>】</t>
    </r>
  </si>
  <si>
    <t>2025年01月 上～中</t>
  </si>
  <si>
    <t>KV214</t>
  </si>
  <si>
    <r>
      <rPr>
        <sz val="11"/>
        <color theme="1"/>
        <rFont val="Calibri"/>
        <family val="3"/>
        <charset val="128"/>
        <scheme val="minor"/>
      </rPr>
      <t>ジミーチュウミニ香水アソート【商品サイズ】約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3"/>
        <charset val="128"/>
        <scheme val="minor"/>
      </rPr>
      <t>㎝程度</t>
    </r>
  </si>
  <si>
    <t>2025年01月 下旬</t>
  </si>
  <si>
    <r>
      <rPr>
        <sz val="11"/>
        <color theme="1"/>
        <rFont val="Calibri"/>
        <family val="3"/>
        <charset val="128"/>
        <scheme val="minor"/>
      </rPr>
      <t>アニマルツムツムラバーマスコット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Calibri"/>
        <family val="3"/>
        <charset val="128"/>
        <scheme val="minor"/>
      </rPr>
      <t>㎝　</t>
    </r>
    <r>
      <rPr>
        <sz val="11"/>
        <color theme="1"/>
        <rFont val="Calibri"/>
        <family val="2"/>
        <scheme val="minor"/>
      </rPr>
      <t>75</t>
    </r>
    <r>
      <rPr>
        <sz val="11"/>
        <color theme="1"/>
        <rFont val="Calibri"/>
        <family val="3"/>
        <charset val="128"/>
        <scheme val="minor"/>
      </rPr>
      <t>ﾊﾟｲには入る</t>
    </r>
  </si>
  <si>
    <t xml:space="preserve">2/5出荷完了
</t>
  </si>
  <si>
    <r>
      <t>MEGA</t>
    </r>
    <r>
      <rPr>
        <sz val="11"/>
        <rFont val="Calibri"/>
        <family val="3"/>
        <charset val="128"/>
        <scheme val="minor"/>
      </rPr>
      <t>ドン・キホーテ飯塚店内ゲームコーナー</t>
    </r>
  </si>
  <si>
    <r>
      <rPr>
        <sz val="11"/>
        <rFont val="Calibri"/>
        <family val="3"/>
        <charset val="128"/>
        <scheme val="minor"/>
      </rPr>
      <t>クレヨンしんちゃん　三つ折りウォレット　</t>
    </r>
    <r>
      <rPr>
        <sz val="11"/>
        <rFont val="Calibri"/>
        <family val="2"/>
        <scheme val="minor"/>
      </rPr>
      <t>PK</t>
    </r>
    <r>
      <rPr>
        <sz val="11"/>
        <rFont val="Calibri"/>
        <family val="3"/>
        <charset val="128"/>
        <scheme val="minor"/>
      </rPr>
      <t>サイズ：約</t>
    </r>
    <r>
      <rPr>
        <sz val="11"/>
        <rFont val="Calibri"/>
        <family val="2"/>
        <scheme val="minor"/>
      </rPr>
      <t>W12×H8.5×D3.5</t>
    </r>
    <r>
      <rPr>
        <sz val="11"/>
        <rFont val="Calibri"/>
        <family val="3"/>
        <charset val="128"/>
        <scheme val="minor"/>
      </rPr>
      <t>㎝　</t>
    </r>
    <phoneticPr fontId="5"/>
  </si>
  <si>
    <t>発注受付
2/26出荷</t>
  </si>
  <si>
    <r>
      <rPr>
        <sz val="11"/>
        <color theme="1"/>
        <rFont val="Calibri"/>
        <family val="3"/>
        <charset val="128"/>
        <scheme val="minor"/>
      </rPr>
      <t>クレヨンしんちゃん　三つ折りウォレット　</t>
    </r>
    <r>
      <rPr>
        <sz val="11"/>
        <color theme="1"/>
        <rFont val="Calibri"/>
        <family val="2"/>
        <scheme val="minor"/>
      </rPr>
      <t>PK</t>
    </r>
    <r>
      <rPr>
        <sz val="11"/>
        <color theme="1"/>
        <rFont val="Calibri"/>
        <family val="3"/>
        <charset val="128"/>
        <scheme val="minor"/>
      </rPr>
      <t>サイズ：約</t>
    </r>
    <r>
      <rPr>
        <sz val="11"/>
        <color theme="1"/>
        <rFont val="Calibri"/>
        <family val="2"/>
        <scheme val="minor"/>
      </rPr>
      <t>W12×H8.5×D3.5</t>
    </r>
    <r>
      <rPr>
        <sz val="11"/>
        <color theme="1"/>
        <rFont val="Calibri"/>
        <family val="3"/>
        <charset val="128"/>
        <scheme val="minor"/>
      </rPr>
      <t>㎝　</t>
    </r>
    <phoneticPr fontId="5"/>
  </si>
  <si>
    <t>JW098</t>
  </si>
  <si>
    <r>
      <rPr>
        <sz val="11"/>
        <color theme="1"/>
        <rFont val="Calibri"/>
        <family val="3"/>
        <charset val="128"/>
        <scheme val="minor"/>
      </rPr>
      <t>たべっ子ﾌｪｲｽﾀﾞｲｶｯﾄ缶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3"/>
        <charset val="128"/>
        <scheme val="minor"/>
      </rPr>
      <t>種【パッケージ缶　サイズ：約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>14.5*5</t>
    </r>
    <r>
      <rPr>
        <sz val="11"/>
        <color theme="1"/>
        <rFont val="Calibri"/>
        <family val="3"/>
        <charset val="128"/>
        <scheme val="minor"/>
      </rPr>
      <t>ｃｍ】たべっ子フェイスダイカット缶７種</t>
    </r>
    <r>
      <rPr>
        <sz val="11"/>
        <color theme="1"/>
        <rFont val="Calibri"/>
        <family val="2"/>
        <scheme val="minor"/>
      </rPr>
      <t>ARY</t>
    </r>
  </si>
  <si>
    <r>
      <t>2/3</t>
    </r>
    <r>
      <rPr>
        <sz val="11"/>
        <color theme="1"/>
        <rFont val="Calibri"/>
        <family val="3"/>
        <charset val="128"/>
        <scheme val="minor"/>
      </rPr>
      <t>発送完了</t>
    </r>
    <phoneticPr fontId="5"/>
  </si>
  <si>
    <t>2024年11月 中旬</t>
  </si>
  <si>
    <r>
      <rPr>
        <sz val="11"/>
        <color theme="1"/>
        <rFont val="Calibri"/>
        <family val="3"/>
        <charset val="128"/>
        <scheme val="minor"/>
      </rPr>
      <t>ﾋﾟｸｾﾙ風ｻﾝｸﾞﾗｽ</t>
    </r>
    <r>
      <rPr>
        <sz val="11"/>
        <color theme="1"/>
        <rFont val="Calibri"/>
        <family val="2"/>
        <scheme val="minor"/>
      </rPr>
      <t xml:space="preserve">15.5cm </t>
    </r>
  </si>
  <si>
    <t>2/21出荷完了</t>
  </si>
  <si>
    <t>2/12出荷完了
発注受付</t>
  </si>
  <si>
    <r>
      <rPr>
        <sz val="11"/>
        <color theme="1"/>
        <rFont val="Calibri"/>
        <family val="3"/>
        <charset val="128"/>
        <scheme val="minor"/>
      </rPr>
      <t>カラフル　カギ付き手錠　</t>
    </r>
    <r>
      <rPr>
        <sz val="11"/>
        <color theme="1"/>
        <rFont val="Calibri"/>
        <family val="2"/>
        <scheme val="minor"/>
      </rPr>
      <t>PK</t>
    </r>
    <r>
      <rPr>
        <sz val="11"/>
        <color theme="1"/>
        <rFont val="Calibri"/>
        <family val="3"/>
        <charset val="128"/>
        <scheme val="minor"/>
      </rPr>
      <t>サイズ：約</t>
    </r>
    <r>
      <rPr>
        <sz val="11"/>
        <color theme="1"/>
        <rFont val="Calibri"/>
        <family val="2"/>
        <scheme val="minor"/>
      </rPr>
      <t>13.5×12×1.5</t>
    </r>
    <r>
      <rPr>
        <sz val="11"/>
        <color theme="1"/>
        <rFont val="Calibri"/>
        <family val="3"/>
        <charset val="128"/>
        <scheme val="minor"/>
      </rPr>
      <t>㎝　</t>
    </r>
    <r>
      <rPr>
        <sz val="11"/>
        <color theme="1"/>
        <rFont val="Calibri"/>
        <family val="2"/>
        <scheme val="minor"/>
      </rPr>
      <t>PK</t>
    </r>
    <r>
      <rPr>
        <sz val="11"/>
        <color theme="1"/>
        <rFont val="Calibri"/>
        <family val="3"/>
        <charset val="128"/>
        <scheme val="minor"/>
      </rPr>
      <t>：</t>
    </r>
    <r>
      <rPr>
        <sz val="11"/>
        <color theme="1"/>
        <rFont val="Calibri"/>
        <family val="2"/>
        <scheme val="minor"/>
      </rPr>
      <t>OPP</t>
    </r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3"/>
        <charset val="128"/>
        <scheme val="minor"/>
      </rPr>
      <t>種</t>
    </r>
  </si>
  <si>
    <t>発注受付
2/25出荷</t>
  </si>
  <si>
    <t>KW349</t>
  </si>
  <si>
    <r>
      <rPr>
        <sz val="11"/>
        <color theme="1"/>
        <rFont val="Calibri"/>
        <family val="3"/>
        <charset val="128"/>
        <scheme val="minor"/>
      </rPr>
      <t>即納　アミューズ不可　バンダイ　【再販】仮面ライダー電王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8"/>
        <scheme val="minor"/>
      </rPr>
      <t>推し活イマジン</t>
    </r>
    <r>
      <rPr>
        <sz val="11"/>
        <color theme="1"/>
        <rFont val="Calibri"/>
        <family val="2"/>
        <scheme val="minor"/>
      </rPr>
      <t xml:space="preserve"> 400</t>
    </r>
    <r>
      <rPr>
        <sz val="11"/>
        <color theme="1"/>
        <rFont val="Calibri"/>
        <family val="3"/>
        <charset val="128"/>
        <scheme val="minor"/>
      </rPr>
      <t>円</t>
    </r>
  </si>
  <si>
    <t>よ￥</t>
  </si>
  <si>
    <t>RB022</t>
  </si>
  <si>
    <r>
      <rPr>
        <sz val="11"/>
        <color theme="1"/>
        <rFont val="Calibri"/>
        <family val="3"/>
        <charset val="128"/>
        <scheme val="minor"/>
      </rPr>
      <t>即納　夢屋　大好評第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3"/>
        <charset val="128"/>
        <scheme val="minor"/>
      </rPr>
      <t>弾サンリオ　ハローキティぬいぐるみボールチェーン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3"/>
        <charset val="128"/>
        <scheme val="minor"/>
      </rPr>
      <t>　</t>
    </r>
    <r>
      <rPr>
        <sz val="11"/>
        <color theme="1"/>
        <rFont val="Calibri"/>
        <family val="2"/>
        <scheme val="minor"/>
      </rPr>
      <t>400</t>
    </r>
    <r>
      <rPr>
        <sz val="11"/>
        <color theme="1"/>
        <rFont val="Calibri"/>
        <family val="3"/>
        <charset val="128"/>
        <scheme val="minor"/>
      </rPr>
      <t>円</t>
    </r>
  </si>
  <si>
    <t>KV226</t>
  </si>
  <si>
    <r>
      <rPr>
        <sz val="11"/>
        <color theme="1"/>
        <rFont val="Calibri"/>
        <family val="3"/>
        <charset val="128"/>
        <scheme val="minor"/>
      </rPr>
      <t>３ブランドミニ香水アソート【商品サイズ】約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3"/>
        <charset val="128"/>
        <scheme val="minor"/>
      </rPr>
      <t>～</t>
    </r>
    <r>
      <rPr>
        <sz val="11"/>
        <color theme="1"/>
        <rFont val="Calibri"/>
        <family val="2"/>
        <scheme val="minor"/>
      </rPr>
      <t>10cm</t>
    </r>
    <r>
      <rPr>
        <sz val="11"/>
        <color theme="1"/>
        <rFont val="Calibri"/>
        <family val="3"/>
        <charset val="128"/>
        <scheme val="minor"/>
      </rPr>
      <t>程度</t>
    </r>
  </si>
  <si>
    <t>JS558</t>
  </si>
  <si>
    <r>
      <t>BLUETOOTH SWITCH</t>
    </r>
    <r>
      <rPr>
        <sz val="11"/>
        <color theme="1"/>
        <rFont val="Calibri"/>
        <family val="3"/>
        <charset val="128"/>
        <scheme val="minor"/>
      </rPr>
      <t>対応ｹﾞｰﾑｺﾝﾄﾛｰﾗｰｸﾘｱ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3"/>
        <charset val="128"/>
        <scheme val="minor"/>
      </rPr>
      <t>【パッケージ</t>
    </r>
    <r>
      <rPr>
        <sz val="11"/>
        <color theme="1"/>
        <rFont val="Calibri"/>
        <family val="2"/>
        <scheme val="minor"/>
      </rPr>
      <t>BOX</t>
    </r>
    <r>
      <rPr>
        <sz val="11"/>
        <color theme="1"/>
        <rFont val="Calibri"/>
        <family val="3"/>
        <charset val="128"/>
        <scheme val="minor"/>
      </rPr>
      <t>　サイズ：約</t>
    </r>
    <r>
      <rPr>
        <sz val="11"/>
        <color theme="1"/>
        <rFont val="Calibri"/>
        <family val="2"/>
        <scheme val="minor"/>
      </rPr>
      <t>15*20*7.5</t>
    </r>
    <r>
      <rPr>
        <sz val="11"/>
        <color theme="1"/>
        <rFont val="Calibri"/>
        <family val="3"/>
        <charset val="128"/>
        <scheme val="minor"/>
      </rPr>
      <t>ｃｍ】</t>
    </r>
    <phoneticPr fontId="5"/>
  </si>
  <si>
    <t>2/28発送完了
J4212818</t>
  </si>
  <si>
    <t>2/28発送完了
J4212817</t>
  </si>
  <si>
    <t>2/28発送完了
J4212816</t>
  </si>
  <si>
    <t>ロムアンド　ティント</t>
    <phoneticPr fontId="5"/>
  </si>
  <si>
    <t>amazon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</si>
</sst>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_);[Red]\(0\)"/>
    <numFmt numFmtId="177" formatCode="#,##0.0;[Red]\-#,##0.0"/>
  </numFmts>
  <fonts count="20">
    <font>
      <sz val="11"/>
      <color theme="1"/>
      <name val="Calibri"/>
      <scheme val="minor"/>
    </font>
    <font>
      <sz val="11"/>
      <color theme="1"/>
      <name val="游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name val="游ゴシック"/>
      <family val="3"/>
      <charset val="128"/>
    </font>
    <font>
      <sz val="11"/>
      <name val="MS PGothic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游ゴシック"/>
      <family val="3"/>
      <charset val="128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name val="Calibri"/>
      <family val="3"/>
      <charset val="128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2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8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8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8" fontId="6" fillId="0" borderId="1" xfId="0" applyNumberFormat="1" applyFont="1" applyBorder="1" applyAlignment="1">
      <alignment horizontal="center" vertical="center"/>
    </xf>
    <xf numFmtId="38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8" fontId="1" fillId="0" borderId="0" xfId="1" applyFont="1" applyAlignment="1">
      <alignment horizontal="center" vertical="center"/>
    </xf>
    <xf numFmtId="38" fontId="1" fillId="2" borderId="1" xfId="1" applyFont="1" applyFill="1" applyBorder="1" applyAlignment="1">
      <alignment horizontal="center" vertical="center"/>
    </xf>
    <xf numFmtId="38" fontId="1" fillId="0" borderId="1" xfId="1" applyFont="1" applyBorder="1" applyAlignment="1">
      <alignment horizontal="center" vertical="center"/>
    </xf>
    <xf numFmtId="38" fontId="1" fillId="0" borderId="1" xfId="1" applyFont="1" applyFill="1" applyBorder="1" applyAlignment="1">
      <alignment horizontal="center" vertical="center"/>
    </xf>
    <xf numFmtId="38" fontId="6" fillId="0" borderId="1" xfId="1" applyFont="1" applyFill="1" applyBorder="1" applyAlignment="1">
      <alignment horizontal="center" vertical="center"/>
    </xf>
    <xf numFmtId="38" fontId="1" fillId="0" borderId="2" xfId="1" applyFont="1" applyBorder="1" applyAlignment="1">
      <alignment horizontal="center" vertical="center"/>
    </xf>
    <xf numFmtId="38" fontId="0" fillId="0" borderId="0" xfId="1" applyFont="1" applyAlignment="1">
      <alignment vertical="center"/>
    </xf>
    <xf numFmtId="38" fontId="1" fillId="2" borderId="5" xfId="1" applyFont="1" applyFill="1" applyBorder="1" applyAlignment="1">
      <alignment horizontal="center" vertical="center"/>
    </xf>
    <xf numFmtId="38" fontId="1" fillId="0" borderId="5" xfId="1" applyFont="1" applyBorder="1" applyAlignment="1">
      <alignment horizontal="center" vertical="center"/>
    </xf>
    <xf numFmtId="38" fontId="1" fillId="0" borderId="5" xfId="1" applyFont="1" applyFill="1" applyBorder="1" applyAlignment="1">
      <alignment horizontal="center" vertical="center"/>
    </xf>
    <xf numFmtId="38" fontId="6" fillId="0" borderId="5" xfId="1" applyFont="1" applyFill="1" applyBorder="1" applyAlignment="1">
      <alignment horizontal="center" vertical="center"/>
    </xf>
    <xf numFmtId="38" fontId="1" fillId="0" borderId="4" xfId="1" applyFont="1" applyBorder="1" applyAlignment="1">
      <alignment horizontal="center" vertical="center"/>
    </xf>
    <xf numFmtId="38" fontId="1" fillId="0" borderId="3" xfId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14" fontId="0" fillId="0" borderId="7" xfId="0" applyNumberFormat="1" applyBorder="1" applyAlignment="1">
      <alignment horizontal="left" vertical="center"/>
    </xf>
    <xf numFmtId="38" fontId="1" fillId="3" borderId="7" xfId="1" applyFont="1" applyFill="1" applyBorder="1" applyAlignment="1">
      <alignment horizontal="center" vertical="center"/>
    </xf>
    <xf numFmtId="38" fontId="0" fillId="0" borderId="7" xfId="1" applyFont="1" applyBorder="1" applyAlignment="1">
      <alignment vertical="center"/>
    </xf>
    <xf numFmtId="38" fontId="0" fillId="0" borderId="7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2" fillId="0" borderId="7" xfId="1" applyFont="1" applyBorder="1" applyAlignment="1">
      <alignment vertical="center"/>
    </xf>
    <xf numFmtId="14" fontId="1" fillId="3" borderId="7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38" fontId="9" fillId="3" borderId="7" xfId="1" applyFont="1" applyFill="1" applyBorder="1" applyAlignment="1">
      <alignment horizontal="center" vertical="center"/>
    </xf>
    <xf numFmtId="38" fontId="9" fillId="0" borderId="7" xfId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8" fontId="2" fillId="0" borderId="0" xfId="1" applyFont="1" applyAlignment="1">
      <alignment horizontal="center" vertical="center"/>
    </xf>
    <xf numFmtId="38" fontId="2" fillId="0" borderId="0" xfId="1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38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38" fontId="2" fillId="2" borderId="1" xfId="1" applyFont="1" applyFill="1" applyBorder="1" applyAlignment="1">
      <alignment horizontal="center" vertical="center"/>
    </xf>
    <xf numFmtId="38" fontId="2" fillId="2" borderId="5" xfId="1" applyFont="1" applyFill="1" applyBorder="1" applyAlignment="1">
      <alignment horizontal="center" vertical="center"/>
    </xf>
    <xf numFmtId="38" fontId="2" fillId="3" borderId="7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/>
    </xf>
    <xf numFmtId="38" fontId="10" fillId="3" borderId="7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38" fontId="2" fillId="0" borderId="1" xfId="1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7" xfId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38" fontId="10" fillId="0" borderId="7" xfId="1" applyFont="1" applyBorder="1" applyAlignment="1">
      <alignment horizontal="center" vertical="center"/>
    </xf>
    <xf numFmtId="38" fontId="2" fillId="0" borderId="1" xfId="1" applyFont="1" applyFill="1" applyBorder="1" applyAlignment="1">
      <alignment horizontal="center" vertical="center"/>
    </xf>
    <xf numFmtId="38" fontId="2" fillId="0" borderId="5" xfId="1" applyFont="1" applyFill="1" applyBorder="1" applyAlignment="1">
      <alignment horizontal="center" vertical="center"/>
    </xf>
    <xf numFmtId="38" fontId="2" fillId="0" borderId="7" xfId="1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8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38" fontId="12" fillId="0" borderId="1" xfId="1" applyFont="1" applyFill="1" applyBorder="1" applyAlignment="1">
      <alignment horizontal="center" vertical="center"/>
    </xf>
    <xf numFmtId="38" fontId="12" fillId="0" borderId="5" xfId="1" applyFont="1" applyFill="1" applyBorder="1" applyAlignment="1">
      <alignment horizontal="center" vertical="center"/>
    </xf>
    <xf numFmtId="38" fontId="12" fillId="0" borderId="7" xfId="1" applyFont="1" applyFill="1" applyBorder="1" applyAlignment="1">
      <alignment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4" xfId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8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38" fontId="2" fillId="0" borderId="2" xfId="1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38" fontId="14" fillId="0" borderId="0" xfId="1" applyFont="1" applyAlignment="1">
      <alignment horizontal="center" vertical="center"/>
    </xf>
    <xf numFmtId="38" fontId="15" fillId="0" borderId="0" xfId="0" applyNumberFormat="1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77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38" fontId="1" fillId="0" borderId="6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77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8" fontId="2" fillId="0" borderId="6" xfId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38" fontId="17" fillId="0" borderId="0" xfId="1" applyFont="1" applyAlignment="1">
      <alignment vertical="center"/>
    </xf>
    <xf numFmtId="38" fontId="18" fillId="0" borderId="0" xfId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8" fontId="2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38" fontId="9" fillId="0" borderId="1" xfId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8" fontId="2" fillId="0" borderId="0" xfId="1" applyFont="1" applyBorder="1" applyAlignment="1">
      <alignment horizontal="center" vertical="center"/>
    </xf>
    <xf numFmtId="38" fontId="2" fillId="0" borderId="0" xfId="1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38" fontId="1" fillId="0" borderId="0" xfId="1" applyFont="1" applyBorder="1" applyAlignment="1">
      <alignment horizontal="center" vertical="center"/>
    </xf>
    <xf numFmtId="38" fontId="0" fillId="0" borderId="0" xfId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38" fontId="0" fillId="0" borderId="7" xfId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6" fontId="0" fillId="0" borderId="0" xfId="0" applyNumberFormat="1" applyAlignment="1">
      <alignment vertical="center"/>
    </xf>
    <xf numFmtId="6" fontId="0" fillId="0" borderId="0" xfId="0" applyNumberFormat="1" applyAlignment="1">
      <alignment horizontal="left" vertical="center"/>
    </xf>
    <xf numFmtId="38" fontId="16" fillId="0" borderId="7" xfId="0" applyNumberFormat="1" applyFont="1" applyBorder="1" applyAlignment="1">
      <alignment horizontal="center" vertical="center"/>
    </xf>
    <xf numFmtId="38" fontId="8" fillId="0" borderId="0" xfId="1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38" fontId="1" fillId="2" borderId="6" xfId="0" applyNumberFormat="1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>
      <alignment horizontal="center" vertical="center"/>
    </xf>
    <xf numFmtId="38" fontId="1" fillId="2" borderId="6" xfId="1" applyFont="1" applyFill="1" applyBorder="1" applyAlignment="1">
      <alignment horizontal="center" vertical="center"/>
    </xf>
    <xf numFmtId="22" fontId="0" fillId="0" borderId="7" xfId="0" applyNumberFormat="1" applyBorder="1" applyAlignment="1">
      <alignment vertical="center"/>
    </xf>
    <xf numFmtId="38" fontId="1" fillId="2" borderId="4" xfId="1" applyFont="1" applyFill="1" applyBorder="1" applyAlignment="1">
      <alignment horizontal="center" vertical="center"/>
    </xf>
    <xf numFmtId="38" fontId="1" fillId="3" borderId="10" xfId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38" fontId="9" fillId="3" borderId="10" xfId="1" applyFont="1" applyFill="1" applyBorder="1" applyAlignment="1">
      <alignment horizontal="center" vertical="center"/>
    </xf>
    <xf numFmtId="38" fontId="0" fillId="0" borderId="11" xfId="1" applyFont="1" applyBorder="1" applyAlignment="1">
      <alignment vertical="center"/>
    </xf>
    <xf numFmtId="0" fontId="0" fillId="0" borderId="11" xfId="0" applyBorder="1" applyAlignment="1">
      <alignment vertical="center"/>
    </xf>
    <xf numFmtId="14" fontId="0" fillId="0" borderId="11" xfId="0" applyNumberFormat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55" fontId="0" fillId="0" borderId="7" xfId="0" applyNumberFormat="1" applyBorder="1" applyAlignment="1">
      <alignment vertical="center"/>
    </xf>
    <xf numFmtId="0" fontId="19" fillId="0" borderId="7" xfId="0" applyFont="1" applyBorder="1" applyAlignment="1">
      <alignment horizontal="left" vertical="center"/>
    </xf>
    <xf numFmtId="38" fontId="0" fillId="0" borderId="10" xfId="1" applyFont="1" applyBorder="1" applyAlignment="1">
      <alignment vertical="center"/>
    </xf>
    <xf numFmtId="0" fontId="0" fillId="0" borderId="10" xfId="0" applyBorder="1" applyAlignment="1">
      <alignment vertical="center"/>
    </xf>
    <xf numFmtId="14" fontId="0" fillId="0" borderId="10" xfId="0" applyNumberForma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38" fontId="1" fillId="0" borderId="7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38" fontId="1" fillId="0" borderId="7" xfId="1" applyFont="1" applyBorder="1" applyAlignment="1">
      <alignment horizontal="center" vertical="center"/>
    </xf>
    <xf numFmtId="38" fontId="15" fillId="0" borderId="7" xfId="0" applyNumberFormat="1" applyFont="1" applyBorder="1" applyAlignment="1">
      <alignment vertical="center"/>
    </xf>
    <xf numFmtId="176" fontId="1" fillId="0" borderId="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38" fontId="2" fillId="0" borderId="11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38" fontId="2" fillId="0" borderId="11" xfId="1" applyFont="1" applyBorder="1" applyAlignment="1">
      <alignment horizontal="center" vertical="center"/>
    </xf>
    <xf numFmtId="38" fontId="2" fillId="0" borderId="11" xfId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4" fontId="2" fillId="0" borderId="11" xfId="0" applyNumberFormat="1" applyFont="1" applyBorder="1" applyAlignment="1">
      <alignment horizontal="left" vertical="center"/>
    </xf>
    <xf numFmtId="38" fontId="9" fillId="0" borderId="11" xfId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7F96-B051-4E43-A8A3-0312B0AB227A}">
  <dimension ref="A1:Q981"/>
  <sheetViews>
    <sheetView topLeftCell="E1" zoomScale="80" zoomScaleNormal="80" workbookViewId="0">
      <pane ySplit="2" topLeftCell="E75" activePane="bottomLeft" state="frozen"/>
      <selection pane="bottomLeft" activeCell="G81" sqref="G81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4.14062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0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/>
      <c r="B3" s="28"/>
      <c r="C3" s="5"/>
      <c r="D3" s="22"/>
      <c r="E3" s="17"/>
      <c r="F3" s="5"/>
      <c r="G3" s="17"/>
      <c r="H3" s="6"/>
      <c r="I3" s="6"/>
      <c r="J3" s="62"/>
      <c r="K3" s="6"/>
      <c r="L3" s="36"/>
      <c r="M3" s="42"/>
      <c r="N3" s="53"/>
      <c r="O3" s="48"/>
      <c r="P3" s="51"/>
      <c r="Q3" s="67" t="e">
        <f t="shared" ref="Q3:Q25" si="0">(M3+N3*1.1)/(I3*J3)</f>
        <v>#DIV/0!</v>
      </c>
    </row>
    <row r="4" spans="1:17" ht="18.75" customHeight="1">
      <c r="A4" s="5"/>
      <c r="B4" s="28"/>
      <c r="C4" s="5"/>
      <c r="D4" s="22"/>
      <c r="E4" s="17"/>
      <c r="F4" s="5"/>
      <c r="G4" s="17"/>
      <c r="H4" s="6"/>
      <c r="I4" s="6"/>
      <c r="J4" s="62"/>
      <c r="K4" s="6"/>
      <c r="L4" s="36"/>
      <c r="M4" s="42"/>
      <c r="N4" s="53"/>
      <c r="O4" s="48"/>
      <c r="P4" s="51"/>
      <c r="Q4" s="67" t="e">
        <f t="shared" si="0"/>
        <v>#DIV/0!</v>
      </c>
    </row>
    <row r="5" spans="1:17" ht="18.75" customHeight="1">
      <c r="A5" s="5"/>
      <c r="B5" s="28"/>
      <c r="C5" s="5"/>
      <c r="D5" s="22"/>
      <c r="E5" s="17"/>
      <c r="F5" s="5"/>
      <c r="G5" s="17"/>
      <c r="H5" s="6"/>
      <c r="I5" s="6"/>
      <c r="J5" s="62"/>
      <c r="K5" s="6"/>
      <c r="L5" s="36"/>
      <c r="M5" s="42"/>
      <c r="N5" s="53"/>
      <c r="O5" s="48"/>
      <c r="P5" s="51"/>
      <c r="Q5" s="67" t="e">
        <f t="shared" si="0"/>
        <v>#DIV/0!</v>
      </c>
    </row>
    <row r="6" spans="1:17" ht="18.75" customHeight="1">
      <c r="A6" s="5"/>
      <c r="B6" s="28"/>
      <c r="C6" s="5"/>
      <c r="D6" s="22"/>
      <c r="E6" s="17"/>
      <c r="F6" s="5"/>
      <c r="G6" s="17"/>
      <c r="H6" s="6"/>
      <c r="I6" s="6"/>
      <c r="J6" s="62"/>
      <c r="K6" s="6"/>
      <c r="L6" s="36"/>
      <c r="M6" s="42"/>
      <c r="N6" s="53"/>
      <c r="O6" s="48"/>
      <c r="P6" s="51"/>
      <c r="Q6" s="67" t="e">
        <f t="shared" si="0"/>
        <v>#DIV/0!</v>
      </c>
    </row>
    <row r="7" spans="1:17" ht="18.75" customHeight="1">
      <c r="A7" s="5"/>
      <c r="B7" s="28"/>
      <c r="C7" s="5"/>
      <c r="D7" s="22"/>
      <c r="E7" s="17"/>
      <c r="F7" s="5"/>
      <c r="G7" s="17"/>
      <c r="H7" s="6"/>
      <c r="I7" s="6"/>
      <c r="J7" s="62"/>
      <c r="K7" s="6"/>
      <c r="L7" s="36"/>
      <c r="M7" s="42"/>
      <c r="N7" s="53"/>
      <c r="O7" s="48"/>
      <c r="P7" s="51"/>
      <c r="Q7" s="67" t="e">
        <f t="shared" si="0"/>
        <v>#DIV/0!</v>
      </c>
    </row>
    <row r="8" spans="1:17" ht="18.75" customHeight="1">
      <c r="A8" s="5"/>
      <c r="B8" s="28"/>
      <c r="C8" s="5"/>
      <c r="D8" s="22"/>
      <c r="E8" s="17"/>
      <c r="F8" s="5"/>
      <c r="G8" s="17"/>
      <c r="H8" s="6"/>
      <c r="I8" s="6"/>
      <c r="J8" s="62"/>
      <c r="K8" s="6"/>
      <c r="L8" s="36"/>
      <c r="M8" s="42"/>
      <c r="N8" s="53"/>
      <c r="O8" s="48"/>
      <c r="P8" s="51"/>
      <c r="Q8" s="67" t="e">
        <f t="shared" si="0"/>
        <v>#DIV/0!</v>
      </c>
    </row>
    <row r="9" spans="1:17" ht="18.75" customHeight="1">
      <c r="A9" s="5"/>
      <c r="B9" s="28"/>
      <c r="C9" s="5"/>
      <c r="D9" s="22"/>
      <c r="E9" s="17"/>
      <c r="F9" s="5"/>
      <c r="G9" s="17"/>
      <c r="H9" s="6"/>
      <c r="I9" s="6"/>
      <c r="J9" s="62"/>
      <c r="K9" s="6"/>
      <c r="L9" s="36"/>
      <c r="M9" s="42"/>
      <c r="N9" s="53"/>
      <c r="O9" s="48"/>
      <c r="P9" s="51"/>
      <c r="Q9" s="67" t="e">
        <f t="shared" si="0"/>
        <v>#DIV/0!</v>
      </c>
    </row>
    <row r="10" spans="1:17" ht="18.75" customHeight="1">
      <c r="A10" s="5"/>
      <c r="B10" s="28"/>
      <c r="C10" s="5"/>
      <c r="D10" s="22"/>
      <c r="E10" s="17"/>
      <c r="F10" s="5"/>
      <c r="G10" s="17"/>
      <c r="H10" s="6"/>
      <c r="I10" s="6"/>
      <c r="J10" s="62"/>
      <c r="K10" s="6"/>
      <c r="L10" s="36"/>
      <c r="M10" s="42"/>
      <c r="N10" s="53"/>
      <c r="O10" s="48"/>
      <c r="P10" s="51"/>
      <c r="Q10" s="67" t="e">
        <f t="shared" si="0"/>
        <v>#DIV/0!</v>
      </c>
    </row>
    <row r="11" spans="1:17" ht="18.75" customHeight="1">
      <c r="A11" s="5"/>
      <c r="B11" s="28"/>
      <c r="C11" s="5"/>
      <c r="D11" s="22"/>
      <c r="E11" s="17"/>
      <c r="F11" s="5"/>
      <c r="G11" s="17"/>
      <c r="H11" s="6"/>
      <c r="I11" s="6"/>
      <c r="J11" s="62"/>
      <c r="K11" s="6"/>
      <c r="L11" s="36"/>
      <c r="M11" s="42"/>
      <c r="N11" s="53"/>
      <c r="O11" s="48"/>
      <c r="P11" s="51"/>
      <c r="Q11" s="67" t="e">
        <f t="shared" si="0"/>
        <v>#DIV/0!</v>
      </c>
    </row>
    <row r="12" spans="1:17" ht="18.75" customHeight="1">
      <c r="A12" s="5"/>
      <c r="B12" s="28"/>
      <c r="C12" s="5"/>
      <c r="D12" s="22"/>
      <c r="E12" s="17"/>
      <c r="F12" s="5"/>
      <c r="G12" s="17"/>
      <c r="H12" s="6"/>
      <c r="I12" s="6"/>
      <c r="J12" s="62"/>
      <c r="K12" s="6"/>
      <c r="L12" s="36"/>
      <c r="M12" s="42"/>
      <c r="N12" s="53"/>
      <c r="O12" s="48"/>
      <c r="P12" s="51"/>
      <c r="Q12" s="67" t="e">
        <f t="shared" si="0"/>
        <v>#DIV/0!</v>
      </c>
    </row>
    <row r="13" spans="1:17" ht="18.75" customHeight="1">
      <c r="A13" s="5"/>
      <c r="B13" s="28"/>
      <c r="C13" s="5"/>
      <c r="D13" s="22"/>
      <c r="E13" s="17"/>
      <c r="F13" s="5"/>
      <c r="G13" s="17"/>
      <c r="H13" s="6"/>
      <c r="I13" s="6"/>
      <c r="J13" s="62"/>
      <c r="K13" s="6"/>
      <c r="L13" s="36"/>
      <c r="M13" s="42"/>
      <c r="N13" s="53"/>
      <c r="O13" s="48"/>
      <c r="P13" s="51"/>
      <c r="Q13" s="67" t="e">
        <f t="shared" si="0"/>
        <v>#DIV/0!</v>
      </c>
    </row>
    <row r="14" spans="1:17" ht="18.75" customHeight="1">
      <c r="A14" s="5"/>
      <c r="B14" s="28"/>
      <c r="C14" s="5"/>
      <c r="D14" s="22"/>
      <c r="E14" s="17"/>
      <c r="F14" s="5"/>
      <c r="G14" s="17"/>
      <c r="H14" s="6"/>
      <c r="I14" s="6"/>
      <c r="J14" s="62"/>
      <c r="K14" s="6"/>
      <c r="L14" s="36"/>
      <c r="M14" s="42"/>
      <c r="N14" s="56"/>
      <c r="O14" s="48"/>
      <c r="P14" s="51"/>
      <c r="Q14" s="67" t="e">
        <f t="shared" si="0"/>
        <v>#DIV/0!</v>
      </c>
    </row>
    <row r="15" spans="1:17" ht="18.75" customHeight="1">
      <c r="A15" s="5"/>
      <c r="B15" s="28"/>
      <c r="C15" s="5"/>
      <c r="D15" s="22"/>
      <c r="E15" s="17"/>
      <c r="F15" s="5"/>
      <c r="G15" s="17"/>
      <c r="H15" s="6"/>
      <c r="I15" s="6"/>
      <c r="J15" s="62"/>
      <c r="K15" s="6"/>
      <c r="L15" s="36"/>
      <c r="M15" s="42"/>
      <c r="N15" s="53"/>
      <c r="O15" s="48"/>
      <c r="P15" s="51"/>
      <c r="Q15" s="67" t="e">
        <f t="shared" si="0"/>
        <v>#DIV/0!</v>
      </c>
    </row>
    <row r="16" spans="1:17" ht="18.75" customHeight="1">
      <c r="A16" s="5"/>
      <c r="B16" s="28"/>
      <c r="C16" s="5"/>
      <c r="D16" s="22"/>
      <c r="E16" s="17"/>
      <c r="F16" s="5"/>
      <c r="G16" s="17"/>
      <c r="H16" s="6"/>
      <c r="I16" s="6"/>
      <c r="J16" s="62"/>
      <c r="K16" s="6"/>
      <c r="L16" s="36"/>
      <c r="M16" s="42"/>
      <c r="N16" s="53"/>
      <c r="O16" s="48"/>
      <c r="P16" s="51"/>
      <c r="Q16" s="67" t="e">
        <f t="shared" si="0"/>
        <v>#DIV/0!</v>
      </c>
    </row>
    <row r="17" spans="1:17" ht="18.75" customHeight="1">
      <c r="A17" s="5"/>
      <c r="B17" s="28"/>
      <c r="C17" s="5"/>
      <c r="D17" s="22"/>
      <c r="E17" s="17"/>
      <c r="F17" s="5"/>
      <c r="G17" s="17"/>
      <c r="H17" s="6"/>
      <c r="I17" s="6"/>
      <c r="J17" s="62"/>
      <c r="K17" s="6"/>
      <c r="L17" s="36"/>
      <c r="M17" s="42"/>
      <c r="N17" s="53"/>
      <c r="O17" s="48"/>
      <c r="P17" s="51"/>
      <c r="Q17" s="67" t="e">
        <f t="shared" si="0"/>
        <v>#DIV/0!</v>
      </c>
    </row>
    <row r="18" spans="1:17" ht="18.75" customHeight="1">
      <c r="A18" s="5"/>
      <c r="B18" s="28"/>
      <c r="C18" s="5"/>
      <c r="D18" s="22"/>
      <c r="E18" s="17"/>
      <c r="F18" s="5"/>
      <c r="G18" s="17"/>
      <c r="H18" s="6"/>
      <c r="I18" s="6"/>
      <c r="J18" s="62"/>
      <c r="K18" s="6"/>
      <c r="L18" s="36"/>
      <c r="M18" s="42"/>
      <c r="N18" s="53"/>
      <c r="O18" s="48"/>
      <c r="P18" s="51"/>
      <c r="Q18" s="67" t="e">
        <f t="shared" si="0"/>
        <v>#DIV/0!</v>
      </c>
    </row>
    <row r="19" spans="1:17" ht="18.75" customHeight="1">
      <c r="A19" s="5"/>
      <c r="B19" s="28"/>
      <c r="C19" s="5"/>
      <c r="D19" s="22"/>
      <c r="E19" s="17"/>
      <c r="F19" s="5"/>
      <c r="G19" s="17"/>
      <c r="H19" s="6"/>
      <c r="I19" s="6"/>
      <c r="J19" s="62"/>
      <c r="K19" s="6"/>
      <c r="L19" s="36"/>
      <c r="M19" s="42"/>
      <c r="N19" s="53"/>
      <c r="O19" s="48"/>
      <c r="P19" s="51"/>
      <c r="Q19" s="67" t="e">
        <f t="shared" si="0"/>
        <v>#DIV/0!</v>
      </c>
    </row>
    <row r="20" spans="1:17" ht="18.75" customHeight="1">
      <c r="A20" s="5"/>
      <c r="B20" s="28"/>
      <c r="C20" s="5"/>
      <c r="D20" s="22"/>
      <c r="E20" s="17"/>
      <c r="F20" s="5"/>
      <c r="G20" s="17"/>
      <c r="H20" s="6"/>
      <c r="I20" s="6"/>
      <c r="J20" s="62"/>
      <c r="K20" s="6"/>
      <c r="L20" s="36"/>
      <c r="M20" s="42"/>
      <c r="N20" s="53"/>
      <c r="O20" s="48"/>
      <c r="P20" s="51"/>
      <c r="Q20" s="67" t="e">
        <f>(M20+N20*1.1)/(I20*J20)</f>
        <v>#DIV/0!</v>
      </c>
    </row>
    <row r="21" spans="1:17" ht="18.75" customHeight="1">
      <c r="A21" s="5"/>
      <c r="B21" s="28"/>
      <c r="C21" s="5"/>
      <c r="D21" s="22"/>
      <c r="E21" s="17"/>
      <c r="F21" s="5"/>
      <c r="G21" s="17"/>
      <c r="H21" s="6"/>
      <c r="I21" s="6"/>
      <c r="J21" s="62"/>
      <c r="K21" s="6"/>
      <c r="L21" s="36"/>
      <c r="M21" s="42"/>
      <c r="N21" s="53"/>
      <c r="O21" s="48"/>
      <c r="P21" s="51"/>
      <c r="Q21" s="67" t="e">
        <f t="shared" ref="Q21:Q25" si="1">(M21+N21*1.1)/(I21*J21)</f>
        <v>#DIV/0!</v>
      </c>
    </row>
    <row r="22" spans="1:17" ht="18.75" customHeight="1">
      <c r="A22" s="5"/>
      <c r="B22" s="28"/>
      <c r="C22" s="5"/>
      <c r="D22" s="22"/>
      <c r="E22" s="17"/>
      <c r="F22" s="5"/>
      <c r="G22" s="17"/>
      <c r="H22" s="6"/>
      <c r="I22" s="6"/>
      <c r="J22" s="62"/>
      <c r="K22" s="6"/>
      <c r="L22" s="36"/>
      <c r="M22" s="42"/>
      <c r="N22" s="53"/>
      <c r="O22" s="48"/>
      <c r="P22" s="51"/>
      <c r="Q22" s="67" t="e">
        <f t="shared" si="1"/>
        <v>#DIV/0!</v>
      </c>
    </row>
    <row r="23" spans="1:17" ht="18.75" customHeight="1">
      <c r="A23" s="5"/>
      <c r="B23" s="28"/>
      <c r="C23" s="5"/>
      <c r="D23" s="22"/>
      <c r="E23" s="17"/>
      <c r="F23" s="5"/>
      <c r="G23" s="17"/>
      <c r="H23" s="6"/>
      <c r="I23" s="6"/>
      <c r="J23" s="62"/>
      <c r="K23" s="6"/>
      <c r="L23" s="36"/>
      <c r="M23" s="42"/>
      <c r="N23" s="53"/>
      <c r="O23" s="48"/>
      <c r="P23" s="51"/>
      <c r="Q23" s="67" t="e">
        <f t="shared" si="1"/>
        <v>#DIV/0!</v>
      </c>
    </row>
    <row r="24" spans="1:17" ht="18.75" customHeight="1">
      <c r="A24" s="5"/>
      <c r="B24" s="28"/>
      <c r="C24" s="5"/>
      <c r="D24" s="22"/>
      <c r="E24" s="17"/>
      <c r="F24" s="5"/>
      <c r="G24" s="17"/>
      <c r="H24" s="6"/>
      <c r="I24" s="6"/>
      <c r="J24" s="62"/>
      <c r="K24" s="6"/>
      <c r="L24" s="36"/>
      <c r="M24" s="42"/>
      <c r="N24" s="53"/>
      <c r="O24" s="48"/>
      <c r="P24" s="51"/>
      <c r="Q24" s="67" t="e">
        <f t="shared" si="1"/>
        <v>#DIV/0!</v>
      </c>
    </row>
    <row r="25" spans="1:17" ht="18.75" customHeight="1">
      <c r="A25" s="5"/>
      <c r="B25" s="28"/>
      <c r="C25" s="5"/>
      <c r="D25" s="22"/>
      <c r="E25" s="17"/>
      <c r="F25" s="5"/>
      <c r="G25" s="17"/>
      <c r="H25" s="6"/>
      <c r="I25" s="6"/>
      <c r="J25" s="62"/>
      <c r="K25" s="6"/>
      <c r="L25" s="36"/>
      <c r="M25" s="42"/>
      <c r="N25" s="53"/>
      <c r="O25" s="50"/>
      <c r="P25" s="51"/>
      <c r="Q25" s="67" t="e">
        <f t="shared" si="1"/>
        <v>#DIV/0!</v>
      </c>
    </row>
    <row r="26" spans="1:17" ht="18.75" customHeight="1">
      <c r="A26" s="5"/>
      <c r="B26" s="28"/>
      <c r="C26" s="5"/>
      <c r="D26" s="22"/>
      <c r="E26" s="17"/>
      <c r="F26" s="5"/>
      <c r="G26" s="17"/>
      <c r="H26" s="6"/>
      <c r="I26" s="6"/>
      <c r="J26" s="62"/>
      <c r="K26" s="6"/>
      <c r="L26" s="36"/>
      <c r="M26" s="42"/>
      <c r="N26" s="53"/>
      <c r="O26" s="48"/>
      <c r="P26" s="51"/>
      <c r="Q26" s="67" t="e">
        <f t="shared" ref="Q26:Q48" si="2">(M26+N26*1.1)/(I26*J26)</f>
        <v>#DIV/0!</v>
      </c>
    </row>
    <row r="27" spans="1:17" ht="18.75" customHeight="1">
      <c r="A27" s="5"/>
      <c r="B27" s="28"/>
      <c r="C27" s="5"/>
      <c r="D27" s="22"/>
      <c r="E27" s="17"/>
      <c r="F27" s="5"/>
      <c r="G27" s="17"/>
      <c r="H27" s="6"/>
      <c r="I27" s="6"/>
      <c r="J27" s="62"/>
      <c r="K27" s="6"/>
      <c r="L27" s="36"/>
      <c r="M27" s="42"/>
      <c r="N27" s="53"/>
      <c r="O27" s="48"/>
      <c r="P27" s="51"/>
      <c r="Q27" s="67" t="e">
        <f t="shared" si="2"/>
        <v>#DIV/0!</v>
      </c>
    </row>
    <row r="28" spans="1:17" ht="18.75" customHeight="1">
      <c r="A28" s="5"/>
      <c r="B28" s="28"/>
      <c r="C28" s="5"/>
      <c r="D28" s="22"/>
      <c r="E28" s="17"/>
      <c r="F28" s="5"/>
      <c r="G28" s="17"/>
      <c r="H28" s="6"/>
      <c r="I28" s="6"/>
      <c r="J28" s="62"/>
      <c r="K28" s="6"/>
      <c r="L28" s="36"/>
      <c r="M28" s="42"/>
      <c r="N28" s="53"/>
      <c r="O28" s="48"/>
      <c r="P28" s="51"/>
      <c r="Q28" s="67" t="e">
        <f t="shared" si="2"/>
        <v>#DIV/0!</v>
      </c>
    </row>
    <row r="29" spans="1:17" ht="18.75" customHeight="1">
      <c r="A29" s="5"/>
      <c r="B29" s="28"/>
      <c r="C29" s="5"/>
      <c r="D29" s="22"/>
      <c r="E29" s="17"/>
      <c r="F29" s="5"/>
      <c r="G29" s="17"/>
      <c r="H29" s="6"/>
      <c r="I29" s="6"/>
      <c r="J29" s="62"/>
      <c r="K29" s="6"/>
      <c r="L29" s="36"/>
      <c r="M29" s="42"/>
      <c r="N29" s="53"/>
      <c r="O29" s="48"/>
      <c r="P29" s="51"/>
      <c r="Q29" s="67" t="e">
        <f t="shared" si="2"/>
        <v>#DIV/0!</v>
      </c>
    </row>
    <row r="30" spans="1:17" ht="18.75" customHeight="1">
      <c r="A30" s="5"/>
      <c r="B30" s="28"/>
      <c r="C30" s="5"/>
      <c r="D30" s="22"/>
      <c r="E30" s="17"/>
      <c r="F30" s="5"/>
      <c r="G30" s="17"/>
      <c r="H30" s="6"/>
      <c r="I30" s="6"/>
      <c r="J30" s="62"/>
      <c r="K30" s="6"/>
      <c r="L30" s="36"/>
      <c r="M30" s="42"/>
      <c r="N30" s="53"/>
      <c r="O30" s="48"/>
      <c r="P30" s="51"/>
      <c r="Q30" s="67" t="e">
        <f t="shared" si="2"/>
        <v>#DIV/0!</v>
      </c>
    </row>
    <row r="31" spans="1:17" ht="18.75" customHeight="1">
      <c r="A31" s="5"/>
      <c r="B31" s="28"/>
      <c r="C31" s="5"/>
      <c r="D31" s="22"/>
      <c r="E31" s="17"/>
      <c r="F31" s="5"/>
      <c r="G31" s="17"/>
      <c r="H31" s="6"/>
      <c r="I31" s="6"/>
      <c r="J31" s="62"/>
      <c r="K31" s="6"/>
      <c r="L31" s="36"/>
      <c r="M31" s="42"/>
      <c r="N31" s="53"/>
      <c r="O31" s="48"/>
      <c r="P31" s="51"/>
      <c r="Q31" s="67" t="e">
        <f t="shared" si="2"/>
        <v>#DIV/0!</v>
      </c>
    </row>
    <row r="32" spans="1:17" ht="18.75" customHeight="1">
      <c r="A32" s="5"/>
      <c r="B32" s="28"/>
      <c r="C32" s="5"/>
      <c r="D32" s="22"/>
      <c r="E32" s="17"/>
      <c r="F32" s="5"/>
      <c r="G32" s="17"/>
      <c r="H32" s="6"/>
      <c r="I32" s="6"/>
      <c r="J32" s="62"/>
      <c r="K32" s="6"/>
      <c r="L32" s="36"/>
      <c r="M32" s="42"/>
      <c r="N32" s="53"/>
      <c r="O32" s="48"/>
      <c r="P32" s="51"/>
      <c r="Q32" s="67" t="e">
        <f t="shared" si="2"/>
        <v>#DIV/0!</v>
      </c>
    </row>
    <row r="33" spans="1:17" ht="18.75" customHeight="1">
      <c r="A33" s="5"/>
      <c r="B33" s="28"/>
      <c r="C33" s="5"/>
      <c r="D33" s="22"/>
      <c r="E33" s="17"/>
      <c r="F33" s="5"/>
      <c r="G33" s="17"/>
      <c r="H33" s="6"/>
      <c r="I33" s="6"/>
      <c r="J33" s="62"/>
      <c r="K33" s="6"/>
      <c r="L33" s="36"/>
      <c r="M33" s="42"/>
      <c r="N33" s="53"/>
      <c r="O33" s="48"/>
      <c r="P33" s="51"/>
      <c r="Q33" s="67" t="e">
        <f t="shared" si="2"/>
        <v>#DIV/0!</v>
      </c>
    </row>
    <row r="34" spans="1:17" ht="18.75" customHeight="1">
      <c r="A34" s="5"/>
      <c r="B34" s="28"/>
      <c r="C34" s="5"/>
      <c r="D34" s="22"/>
      <c r="E34" s="17"/>
      <c r="F34" s="5"/>
      <c r="G34" s="17"/>
      <c r="H34" s="6"/>
      <c r="I34" s="6"/>
      <c r="J34" s="62"/>
      <c r="K34" s="6"/>
      <c r="L34" s="36"/>
      <c r="M34" s="42"/>
      <c r="N34" s="53"/>
      <c r="O34" s="48"/>
      <c r="P34" s="51"/>
      <c r="Q34" s="67" t="e">
        <f t="shared" si="2"/>
        <v>#DIV/0!</v>
      </c>
    </row>
    <row r="35" spans="1:17" ht="18.75" customHeight="1">
      <c r="A35" s="5"/>
      <c r="B35" s="28"/>
      <c r="C35" s="5"/>
      <c r="D35" s="22"/>
      <c r="E35" s="17"/>
      <c r="F35" s="5"/>
      <c r="G35" s="17"/>
      <c r="H35" s="6"/>
      <c r="I35" s="6"/>
      <c r="J35" s="62"/>
      <c r="K35" s="6"/>
      <c r="L35" s="36"/>
      <c r="M35" s="42"/>
      <c r="N35" s="53"/>
      <c r="O35" s="48"/>
      <c r="P35" s="51"/>
      <c r="Q35" s="67" t="e">
        <f t="shared" si="2"/>
        <v>#DIV/0!</v>
      </c>
    </row>
    <row r="36" spans="1:17" ht="18.75" customHeight="1">
      <c r="A36" s="5"/>
      <c r="B36" s="28"/>
      <c r="C36" s="5"/>
      <c r="D36" s="22"/>
      <c r="E36" s="17"/>
      <c r="F36" s="5"/>
      <c r="G36" s="17"/>
      <c r="H36" s="6"/>
      <c r="I36" s="6"/>
      <c r="J36" s="62"/>
      <c r="K36" s="6"/>
      <c r="L36" s="36"/>
      <c r="M36" s="42"/>
      <c r="N36" s="53"/>
      <c r="O36" s="48"/>
      <c r="P36" s="51"/>
      <c r="Q36" s="67" t="e">
        <f t="shared" si="2"/>
        <v>#DIV/0!</v>
      </c>
    </row>
    <row r="37" spans="1:17" ht="18.75" customHeight="1">
      <c r="A37" s="5"/>
      <c r="B37" s="28"/>
      <c r="C37" s="5"/>
      <c r="D37" s="22"/>
      <c r="E37" s="17"/>
      <c r="F37" s="5"/>
      <c r="G37" s="17"/>
      <c r="H37" s="6"/>
      <c r="I37" s="6"/>
      <c r="J37" s="62"/>
      <c r="K37" s="6"/>
      <c r="L37" s="36"/>
      <c r="M37" s="42"/>
      <c r="N37" s="56"/>
      <c r="O37" s="48"/>
      <c r="P37" s="51"/>
      <c r="Q37" s="67" t="e">
        <f t="shared" si="2"/>
        <v>#DIV/0!</v>
      </c>
    </row>
    <row r="38" spans="1:17" ht="18.75" customHeight="1">
      <c r="A38" s="5"/>
      <c r="B38" s="28"/>
      <c r="C38" s="5"/>
      <c r="D38" s="22"/>
      <c r="E38" s="17"/>
      <c r="F38" s="5"/>
      <c r="G38" s="17"/>
      <c r="H38" s="6"/>
      <c r="I38" s="6"/>
      <c r="J38" s="62"/>
      <c r="K38" s="6"/>
      <c r="L38" s="36"/>
      <c r="M38" s="42"/>
      <c r="N38" s="53"/>
      <c r="O38" s="48"/>
      <c r="P38" s="51"/>
      <c r="Q38" s="67" t="e">
        <f t="shared" si="2"/>
        <v>#DIV/0!</v>
      </c>
    </row>
    <row r="39" spans="1:17" ht="18.75" customHeight="1">
      <c r="A39" s="5"/>
      <c r="B39" s="28"/>
      <c r="C39" s="5"/>
      <c r="D39" s="22"/>
      <c r="E39" s="17"/>
      <c r="F39" s="5"/>
      <c r="G39" s="17"/>
      <c r="H39" s="6"/>
      <c r="I39" s="6"/>
      <c r="J39" s="62"/>
      <c r="K39" s="6"/>
      <c r="L39" s="36"/>
      <c r="M39" s="42"/>
      <c r="N39" s="53"/>
      <c r="O39" s="48"/>
      <c r="P39" s="51"/>
      <c r="Q39" s="67" t="e">
        <f t="shared" si="2"/>
        <v>#DIV/0!</v>
      </c>
    </row>
    <row r="40" spans="1:17" ht="18.75" customHeight="1">
      <c r="A40" s="5"/>
      <c r="B40" s="28"/>
      <c r="C40" s="5"/>
      <c r="D40" s="22"/>
      <c r="E40" s="17"/>
      <c r="F40" s="5"/>
      <c r="G40" s="17"/>
      <c r="H40" s="6"/>
      <c r="I40" s="6"/>
      <c r="J40" s="62"/>
      <c r="K40" s="6"/>
      <c r="L40" s="36"/>
      <c r="M40" s="42"/>
      <c r="N40" s="53"/>
      <c r="O40" s="48"/>
      <c r="P40" s="51"/>
      <c r="Q40" s="67" t="e">
        <f t="shared" si="2"/>
        <v>#DIV/0!</v>
      </c>
    </row>
    <row r="41" spans="1:17" ht="18.75" customHeight="1">
      <c r="A41" s="5"/>
      <c r="B41" s="28"/>
      <c r="C41" s="5"/>
      <c r="D41" s="22"/>
      <c r="E41" s="17"/>
      <c r="F41" s="5"/>
      <c r="G41" s="17"/>
      <c r="H41" s="6"/>
      <c r="I41" s="6"/>
      <c r="J41" s="62"/>
      <c r="K41" s="6"/>
      <c r="L41" s="36"/>
      <c r="M41" s="42"/>
      <c r="N41" s="53"/>
      <c r="O41" s="48"/>
      <c r="P41" s="51"/>
      <c r="Q41" s="67" t="e">
        <f t="shared" si="2"/>
        <v>#DIV/0!</v>
      </c>
    </row>
    <row r="42" spans="1:17" ht="18.75" customHeight="1">
      <c r="A42" s="5"/>
      <c r="B42" s="28"/>
      <c r="C42" s="5"/>
      <c r="D42" s="22"/>
      <c r="E42" s="17"/>
      <c r="F42" s="5"/>
      <c r="G42" s="17"/>
      <c r="H42" s="6"/>
      <c r="I42" s="6"/>
      <c r="J42" s="62"/>
      <c r="K42" s="6"/>
      <c r="L42" s="36"/>
      <c r="M42" s="42"/>
      <c r="N42" s="53"/>
      <c r="O42" s="48"/>
      <c r="P42" s="51"/>
      <c r="Q42" s="67" t="e">
        <f t="shared" si="2"/>
        <v>#DIV/0!</v>
      </c>
    </row>
    <row r="43" spans="1:17" ht="18.75" customHeight="1">
      <c r="A43" s="5"/>
      <c r="B43" s="28"/>
      <c r="C43" s="5"/>
      <c r="D43" s="22"/>
      <c r="E43" s="17"/>
      <c r="F43" s="5"/>
      <c r="G43" s="17"/>
      <c r="H43" s="6"/>
      <c r="I43" s="6"/>
      <c r="J43" s="62"/>
      <c r="K43" s="6"/>
      <c r="L43" s="36"/>
      <c r="M43" s="42"/>
      <c r="N43" s="53"/>
      <c r="O43" s="48"/>
      <c r="P43" s="51"/>
      <c r="Q43" s="67" t="e">
        <f>(M43+N43*1.1)/(I43*J43)</f>
        <v>#DIV/0!</v>
      </c>
    </row>
    <row r="44" spans="1:17" ht="18.75" customHeight="1">
      <c r="A44" s="5"/>
      <c r="B44" s="28"/>
      <c r="C44" s="5"/>
      <c r="D44" s="22"/>
      <c r="E44" s="17"/>
      <c r="F44" s="5"/>
      <c r="G44" s="17"/>
      <c r="H44" s="6"/>
      <c r="I44" s="6"/>
      <c r="J44" s="62"/>
      <c r="K44" s="6"/>
      <c r="L44" s="36"/>
      <c r="M44" s="42"/>
      <c r="N44" s="53"/>
      <c r="O44" s="48"/>
      <c r="P44" s="51"/>
      <c r="Q44" s="67" t="e">
        <f t="shared" si="2"/>
        <v>#DIV/0!</v>
      </c>
    </row>
    <row r="45" spans="1:17" ht="18.75" customHeight="1">
      <c r="A45" s="5"/>
      <c r="B45" s="28"/>
      <c r="C45" s="5"/>
      <c r="D45" s="22"/>
      <c r="E45" s="17"/>
      <c r="F45" s="5"/>
      <c r="G45" s="17"/>
      <c r="H45" s="6"/>
      <c r="I45" s="6"/>
      <c r="J45" s="62"/>
      <c r="K45" s="6"/>
      <c r="L45" s="36"/>
      <c r="M45" s="42"/>
      <c r="N45" s="53"/>
      <c r="O45" s="48"/>
      <c r="P45" s="51"/>
      <c r="Q45" s="67" t="e">
        <f t="shared" si="2"/>
        <v>#DIV/0!</v>
      </c>
    </row>
    <row r="46" spans="1:17" ht="18.75" customHeight="1">
      <c r="A46" s="5"/>
      <c r="B46" s="28"/>
      <c r="C46" s="5"/>
      <c r="D46" s="22"/>
      <c r="E46" s="17"/>
      <c r="F46" s="5"/>
      <c r="G46" s="17"/>
      <c r="H46" s="6"/>
      <c r="I46" s="6"/>
      <c r="J46" s="62"/>
      <c r="K46" s="6"/>
      <c r="L46" s="36"/>
      <c r="M46" s="42"/>
      <c r="N46" s="53"/>
      <c r="O46" s="48"/>
      <c r="P46" s="51"/>
      <c r="Q46" s="67" t="e">
        <f t="shared" si="2"/>
        <v>#DIV/0!</v>
      </c>
    </row>
    <row r="47" spans="1:17" ht="18.75" customHeight="1">
      <c r="A47" s="5"/>
      <c r="B47" s="28"/>
      <c r="C47" s="5"/>
      <c r="D47" s="22"/>
      <c r="E47" s="17"/>
      <c r="F47" s="5"/>
      <c r="G47" s="17"/>
      <c r="H47" s="6"/>
      <c r="I47" s="6"/>
      <c r="J47" s="62"/>
      <c r="K47" s="6"/>
      <c r="L47" s="36"/>
      <c r="M47" s="42"/>
      <c r="N47" s="53"/>
      <c r="O47" s="48"/>
      <c r="P47" s="51"/>
      <c r="Q47" s="67" t="e">
        <f t="shared" si="2"/>
        <v>#DIV/0!</v>
      </c>
    </row>
    <row r="48" spans="1:17" ht="18.75" customHeight="1">
      <c r="A48" s="5"/>
      <c r="B48" s="28"/>
      <c r="C48" s="5"/>
      <c r="D48" s="22"/>
      <c r="E48" s="17"/>
      <c r="F48" s="5"/>
      <c r="G48" s="17"/>
      <c r="H48" s="6"/>
      <c r="I48" s="6"/>
      <c r="J48" s="62"/>
      <c r="K48" s="6"/>
      <c r="L48" s="36"/>
      <c r="M48" s="42"/>
      <c r="N48" s="53"/>
      <c r="O48" s="50"/>
      <c r="P48" s="51"/>
      <c r="Q48" s="67" t="e">
        <f t="shared" si="2"/>
        <v>#DIV/0!</v>
      </c>
    </row>
    <row r="49" spans="1:17" ht="18.75" customHeight="1">
      <c r="A49" s="5"/>
      <c r="B49" s="28"/>
      <c r="C49" s="5"/>
      <c r="D49" s="22"/>
      <c r="E49" s="17"/>
      <c r="F49" s="5"/>
      <c r="G49" s="17"/>
      <c r="H49" s="6"/>
      <c r="I49" s="6"/>
      <c r="J49" s="62"/>
      <c r="K49" s="6"/>
      <c r="L49" s="36"/>
      <c r="M49" s="42"/>
      <c r="N49" s="53"/>
      <c r="O49" s="50"/>
      <c r="P49" s="51"/>
      <c r="Q49" s="67"/>
    </row>
    <row r="50" spans="1:17" ht="18.75" customHeight="1">
      <c r="A50" s="5"/>
      <c r="B50" s="28"/>
      <c r="C50" s="5"/>
      <c r="D50" s="22"/>
      <c r="E50" s="17"/>
      <c r="F50" s="5"/>
      <c r="G50" s="17"/>
      <c r="H50" s="6"/>
      <c r="I50" s="6"/>
      <c r="J50" s="62"/>
      <c r="K50" s="6"/>
      <c r="L50" s="36"/>
      <c r="M50" s="42"/>
      <c r="N50" s="53"/>
      <c r="O50" s="50"/>
      <c r="P50" s="51"/>
      <c r="Q50" s="67"/>
    </row>
    <row r="51" spans="1:17" ht="18.75" customHeight="1">
      <c r="A51" s="5"/>
      <c r="B51" s="28"/>
      <c r="C51" s="5"/>
      <c r="D51" s="22"/>
      <c r="E51" s="17"/>
      <c r="F51" s="5"/>
      <c r="G51" s="17"/>
      <c r="H51" s="6"/>
      <c r="I51" s="6"/>
      <c r="J51" s="62"/>
      <c r="K51" s="6"/>
      <c r="L51" s="36"/>
      <c r="M51" s="42"/>
      <c r="N51" s="53"/>
      <c r="O51" s="48"/>
      <c r="P51" s="51"/>
      <c r="Q51" s="67"/>
    </row>
    <row r="52" spans="1:17" ht="18.75" customHeight="1">
      <c r="A52" s="5"/>
      <c r="B52" s="28"/>
      <c r="C52" s="5"/>
      <c r="D52" s="22"/>
      <c r="E52" s="17"/>
      <c r="F52" s="5"/>
      <c r="G52" s="17"/>
      <c r="H52" s="6"/>
      <c r="I52" s="6"/>
      <c r="J52" s="62"/>
      <c r="K52" s="6"/>
      <c r="L52" s="36"/>
      <c r="M52" s="42"/>
      <c r="N52" s="53"/>
      <c r="O52" s="48"/>
      <c r="P52" s="51"/>
      <c r="Q52" s="67"/>
    </row>
    <row r="53" spans="1:17" ht="18.75" customHeight="1">
      <c r="A53" s="5"/>
      <c r="B53" s="28"/>
      <c r="C53" s="5"/>
      <c r="D53" s="22"/>
      <c r="E53" s="17"/>
      <c r="F53" s="5"/>
      <c r="G53" s="17"/>
      <c r="H53" s="6"/>
      <c r="I53" s="6"/>
      <c r="J53" s="62"/>
      <c r="K53" s="6"/>
      <c r="L53" s="36"/>
      <c r="M53" s="42"/>
      <c r="N53" s="53"/>
      <c r="O53" s="48"/>
      <c r="P53" s="51"/>
      <c r="Q53" s="67"/>
    </row>
    <row r="54" spans="1:17" ht="18.75" customHeight="1">
      <c r="A54" s="5"/>
      <c r="B54" s="28"/>
      <c r="C54" s="5"/>
      <c r="D54" s="22"/>
      <c r="E54" s="17"/>
      <c r="F54" s="5"/>
      <c r="G54" s="17"/>
      <c r="H54" s="6"/>
      <c r="I54" s="6"/>
      <c r="J54" s="62"/>
      <c r="K54" s="6"/>
      <c r="L54" s="36"/>
      <c r="M54" s="42"/>
      <c r="N54" s="53"/>
      <c r="O54" s="48"/>
      <c r="P54" s="51"/>
      <c r="Q54" s="67"/>
    </row>
    <row r="55" spans="1:17" ht="18.75" customHeight="1">
      <c r="A55" s="14"/>
      <c r="B55" s="29"/>
      <c r="C55" s="14"/>
      <c r="D55" s="23"/>
      <c r="E55" s="18"/>
      <c r="F55" s="14"/>
      <c r="G55" s="18"/>
      <c r="H55" s="15"/>
      <c r="I55" s="15"/>
      <c r="J55" s="63"/>
      <c r="K55" s="15"/>
      <c r="L55" s="38"/>
      <c r="M55" s="44"/>
      <c r="N55" s="55"/>
      <c r="O55" s="48"/>
      <c r="P55" s="51"/>
      <c r="Q55" s="67"/>
    </row>
    <row r="56" spans="1:17" ht="18.75" customHeight="1">
      <c r="A56" s="5"/>
      <c r="B56" s="28"/>
      <c r="C56" s="5"/>
      <c r="D56" s="22"/>
      <c r="E56" s="17"/>
      <c r="F56" s="5"/>
      <c r="G56" s="17"/>
      <c r="H56" s="6"/>
      <c r="I56" s="6"/>
      <c r="J56" s="62"/>
      <c r="K56" s="6"/>
      <c r="L56" s="36"/>
      <c r="M56" s="42"/>
      <c r="N56" s="56"/>
      <c r="O56" s="48"/>
      <c r="P56" s="51"/>
      <c r="Q56" s="67"/>
    </row>
    <row r="57" spans="1:17" ht="18.75" customHeight="1">
      <c r="A57" s="134"/>
      <c r="B57" s="28"/>
      <c r="C57" s="5"/>
      <c r="D57" s="22"/>
      <c r="E57" s="135"/>
      <c r="F57" s="134"/>
      <c r="G57" s="17"/>
      <c r="H57" s="16"/>
      <c r="I57" s="16"/>
      <c r="J57" s="136"/>
      <c r="K57" s="16"/>
      <c r="L57" s="36"/>
      <c r="M57" s="45"/>
      <c r="N57" s="53"/>
      <c r="O57" s="50"/>
      <c r="P57" s="51"/>
      <c r="Q57" s="67"/>
    </row>
    <row r="58" spans="1:17" ht="18.75" customHeight="1">
      <c r="A58" s="5"/>
      <c r="B58" s="28"/>
      <c r="C58" s="5"/>
      <c r="D58" s="22"/>
      <c r="E58" s="17"/>
      <c r="F58" s="5"/>
      <c r="G58" s="17"/>
      <c r="H58" s="6"/>
      <c r="I58" s="6"/>
      <c r="J58" s="62"/>
      <c r="K58" s="6"/>
      <c r="L58" s="36"/>
      <c r="M58" s="42"/>
      <c r="N58" s="53"/>
      <c r="O58" s="48"/>
      <c r="P58" s="51"/>
      <c r="Q58" s="67"/>
    </row>
    <row r="59" spans="1:17" ht="18.75" customHeight="1">
      <c r="A59" s="5"/>
      <c r="B59" s="28"/>
      <c r="C59" s="5"/>
      <c r="D59" s="22"/>
      <c r="E59" s="17"/>
      <c r="F59" s="5"/>
      <c r="G59" s="17"/>
      <c r="H59" s="6"/>
      <c r="I59" s="6"/>
      <c r="J59" s="62"/>
      <c r="K59" s="6"/>
      <c r="L59" s="36"/>
      <c r="M59" s="42"/>
      <c r="N59" s="53"/>
      <c r="O59" s="48"/>
      <c r="P59" s="51"/>
      <c r="Q59" s="67"/>
    </row>
    <row r="60" spans="1:17" ht="18.75" customHeight="1">
      <c r="A60" s="5"/>
      <c r="B60" s="30"/>
      <c r="C60" s="5"/>
      <c r="D60" s="22"/>
      <c r="E60" s="17"/>
      <c r="F60" s="5"/>
      <c r="G60" s="17"/>
      <c r="H60" s="6"/>
      <c r="I60" s="6"/>
      <c r="J60" s="62"/>
      <c r="K60" s="6"/>
      <c r="L60" s="36"/>
      <c r="M60" s="42"/>
      <c r="N60" s="53"/>
      <c r="O60" s="48"/>
      <c r="P60" s="51"/>
      <c r="Q60" s="67"/>
    </row>
    <row r="61" spans="1:17" ht="18.75" customHeight="1">
      <c r="A61" s="7"/>
      <c r="B61" s="30"/>
      <c r="C61" s="8"/>
      <c r="D61" s="24"/>
      <c r="E61" s="19"/>
      <c r="F61" s="8"/>
      <c r="G61" s="19"/>
      <c r="H61" s="9"/>
      <c r="I61" s="9"/>
      <c r="J61" s="64"/>
      <c r="K61" s="9"/>
      <c r="L61" s="39"/>
      <c r="M61" s="46"/>
      <c r="N61" s="53"/>
      <c r="O61" s="48"/>
      <c r="P61" s="51"/>
      <c r="Q61" s="67"/>
    </row>
    <row r="62" spans="1:17" ht="18.75" customHeight="1">
      <c r="A62" s="137"/>
      <c r="B62" s="28"/>
      <c r="C62" s="5"/>
      <c r="D62" s="22"/>
      <c r="E62" s="17"/>
      <c r="F62" s="5"/>
      <c r="G62" s="17"/>
      <c r="H62" s="6"/>
      <c r="I62" s="6"/>
      <c r="J62" s="62"/>
      <c r="K62" s="6"/>
      <c r="L62" s="36"/>
      <c r="M62" s="46"/>
      <c r="N62" s="53"/>
      <c r="O62" s="48"/>
      <c r="P62" s="51"/>
      <c r="Q62" s="67"/>
    </row>
    <row r="63" spans="1:17" ht="18.75" customHeight="1">
      <c r="A63" s="137"/>
      <c r="B63" s="28"/>
      <c r="C63" s="5"/>
      <c r="D63" s="22"/>
      <c r="E63" s="17"/>
      <c r="F63" s="5"/>
      <c r="G63" s="17"/>
      <c r="H63" s="6"/>
      <c r="I63" s="6"/>
      <c r="J63" s="62"/>
      <c r="K63" s="6"/>
      <c r="L63" s="36"/>
      <c r="M63" s="46"/>
      <c r="N63" s="53"/>
      <c r="O63" s="48"/>
      <c r="P63" s="51"/>
      <c r="Q63" s="67"/>
    </row>
    <row r="64" spans="1:17" ht="18.75" customHeight="1">
      <c r="A64" s="137"/>
      <c r="B64" s="28"/>
      <c r="C64" s="5"/>
      <c r="D64" s="22"/>
      <c r="E64" s="17"/>
      <c r="F64" s="5"/>
      <c r="G64" s="17"/>
      <c r="H64" s="6"/>
      <c r="I64" s="6"/>
      <c r="J64" s="62"/>
      <c r="K64" s="6"/>
      <c r="L64" s="36"/>
      <c r="M64" s="46"/>
      <c r="N64" s="53"/>
      <c r="O64" s="48"/>
      <c r="P64" s="51"/>
      <c r="Q64" s="67"/>
    </row>
    <row r="65" spans="1:17" ht="18.75" customHeight="1">
      <c r="A65" s="10"/>
      <c r="B65" s="138"/>
      <c r="C65" s="134"/>
      <c r="D65" s="139"/>
      <c r="E65" s="135"/>
      <c r="F65" s="134"/>
      <c r="G65" s="135"/>
      <c r="H65" s="16"/>
      <c r="I65" s="16"/>
      <c r="J65" s="136"/>
      <c r="K65" s="16"/>
      <c r="L65" s="140"/>
      <c r="M65" s="45"/>
      <c r="N65" s="53"/>
      <c r="O65" s="48"/>
      <c r="P65" s="51"/>
      <c r="Q65" s="67"/>
    </row>
    <row r="66" spans="1:17" ht="18.75" customHeight="1">
      <c r="A66" s="5"/>
      <c r="B66" s="28"/>
      <c r="C66" s="5"/>
      <c r="D66" s="22"/>
      <c r="E66" s="17"/>
      <c r="F66" s="5"/>
      <c r="G66" s="17"/>
      <c r="H66" s="6"/>
      <c r="I66" s="6"/>
      <c r="J66" s="62"/>
      <c r="K66" s="6"/>
      <c r="L66" s="36"/>
      <c r="M66" s="42"/>
      <c r="N66" s="53"/>
      <c r="O66" s="48"/>
      <c r="P66" s="51"/>
      <c r="Q66" s="67"/>
    </row>
    <row r="67" spans="1:17" ht="18.75" customHeight="1">
      <c r="A67" s="1"/>
      <c r="B67" s="26"/>
      <c r="C67" s="1"/>
      <c r="D67" s="20"/>
      <c r="E67" s="1"/>
      <c r="F67" s="1"/>
      <c r="G67" s="32"/>
      <c r="H67" s="2"/>
      <c r="I67" s="2"/>
      <c r="J67" s="60"/>
      <c r="K67" s="2"/>
      <c r="L67" s="34"/>
      <c r="M67" s="34">
        <f>SUM(M26:N66)</f>
        <v>0</v>
      </c>
      <c r="N67" s="34"/>
      <c r="O67" s="131"/>
    </row>
    <row r="68" spans="1:17" ht="18.75" customHeight="1">
      <c r="A68" s="1"/>
      <c r="B68" s="26"/>
      <c r="C68" s="1"/>
      <c r="D68" s="20"/>
      <c r="E68" s="1"/>
      <c r="F68" s="1"/>
      <c r="G68" s="32"/>
      <c r="H68" s="2"/>
      <c r="I68" s="2"/>
      <c r="J68" s="60"/>
      <c r="K68" s="2"/>
      <c r="L68" s="34"/>
      <c r="M68" s="34"/>
    </row>
    <row r="69" spans="1:17" ht="18.75" customHeight="1">
      <c r="A69" s="122" t="s">
        <v>18</v>
      </c>
      <c r="B69" s="123"/>
      <c r="C69" s="122"/>
      <c r="D69" s="124">
        <v>45921</v>
      </c>
      <c r="E69" s="17" t="s">
        <v>19</v>
      </c>
      <c r="F69" s="122"/>
      <c r="G69" s="132" t="s">
        <v>20</v>
      </c>
      <c r="H69" s="125">
        <v>900</v>
      </c>
      <c r="I69" s="125">
        <v>60</v>
      </c>
      <c r="J69" s="126">
        <v>3</v>
      </c>
      <c r="K69" s="125" t="s">
        <v>21</v>
      </c>
      <c r="L69" s="95">
        <f>H69*I69*J69</f>
        <v>162000</v>
      </c>
      <c r="M69" s="95">
        <f>L69*1.1</f>
        <v>178200</v>
      </c>
      <c r="N69" s="56"/>
      <c r="O69" s="49"/>
      <c r="P69" s="59"/>
      <c r="Q69" s="67">
        <f t="shared" ref="Q69:Q88" si="3">(M69+N69*1.1)/(I69*J69)</f>
        <v>990</v>
      </c>
    </row>
    <row r="70" spans="1:17" ht="18.75" customHeight="1">
      <c r="A70" s="122"/>
      <c r="B70" s="123"/>
      <c r="C70" s="122"/>
      <c r="D70" s="124">
        <v>45921</v>
      </c>
      <c r="E70" s="17" t="s">
        <v>22</v>
      </c>
      <c r="F70" s="122"/>
      <c r="G70" s="132" t="s">
        <v>20</v>
      </c>
      <c r="H70" s="125">
        <v>900</v>
      </c>
      <c r="I70" s="125">
        <v>60</v>
      </c>
      <c r="J70" s="126">
        <v>3</v>
      </c>
      <c r="K70" s="125" t="s">
        <v>21</v>
      </c>
      <c r="L70" s="95">
        <f t="shared" ref="L70:L87" si="4">H70*I70*J70</f>
        <v>162000</v>
      </c>
      <c r="M70" s="95">
        <f>L70*1.1</f>
        <v>178200</v>
      </c>
      <c r="N70" s="56"/>
      <c r="O70" s="49"/>
      <c r="P70" s="59"/>
      <c r="Q70" s="67">
        <f t="shared" si="3"/>
        <v>990</v>
      </c>
    </row>
    <row r="71" spans="1:17" ht="18.75" customHeight="1">
      <c r="A71" s="122"/>
      <c r="B71" s="123"/>
      <c r="C71" s="122"/>
      <c r="D71" s="124">
        <v>45921</v>
      </c>
      <c r="E71" s="17" t="s">
        <v>23</v>
      </c>
      <c r="F71" s="122"/>
      <c r="G71" s="132" t="s">
        <v>20</v>
      </c>
      <c r="H71" s="125">
        <v>900</v>
      </c>
      <c r="I71" s="125">
        <v>60</v>
      </c>
      <c r="J71" s="126">
        <v>1</v>
      </c>
      <c r="K71" s="125" t="s">
        <v>21</v>
      </c>
      <c r="L71" s="95">
        <f t="shared" si="4"/>
        <v>54000</v>
      </c>
      <c r="M71" s="95">
        <f>L71*1.1</f>
        <v>59400.000000000007</v>
      </c>
      <c r="N71" s="56"/>
      <c r="O71" s="49"/>
      <c r="P71" s="59"/>
      <c r="Q71" s="67">
        <f t="shared" si="3"/>
        <v>990.00000000000011</v>
      </c>
    </row>
    <row r="72" spans="1:17" ht="18.75" customHeight="1">
      <c r="A72" s="122"/>
      <c r="B72" s="123"/>
      <c r="C72" s="122"/>
      <c r="D72" s="124">
        <v>45921</v>
      </c>
      <c r="E72" s="132" t="s">
        <v>24</v>
      </c>
      <c r="F72" s="122"/>
      <c r="G72" s="132" t="s">
        <v>20</v>
      </c>
      <c r="H72" s="125">
        <v>900</v>
      </c>
      <c r="I72" s="125">
        <v>60</v>
      </c>
      <c r="J72" s="126">
        <v>2</v>
      </c>
      <c r="K72" s="125" t="s">
        <v>21</v>
      </c>
      <c r="L72" s="95">
        <f t="shared" si="4"/>
        <v>108000</v>
      </c>
      <c r="M72" s="95">
        <f t="shared" ref="M72:M87" si="5">L72*1.1</f>
        <v>118800.00000000001</v>
      </c>
      <c r="N72" s="56"/>
      <c r="O72" s="49"/>
      <c r="P72" s="59"/>
      <c r="Q72" s="67">
        <f t="shared" si="3"/>
        <v>990.00000000000011</v>
      </c>
    </row>
    <row r="73" spans="1:17" ht="18.75" customHeight="1">
      <c r="A73" s="122"/>
      <c r="B73" s="123"/>
      <c r="C73" s="122"/>
      <c r="D73" s="124">
        <v>45921</v>
      </c>
      <c r="E73" s="17" t="s">
        <v>22</v>
      </c>
      <c r="F73" s="122"/>
      <c r="G73" s="132" t="s">
        <v>25</v>
      </c>
      <c r="H73" s="125">
        <v>850</v>
      </c>
      <c r="I73" s="125">
        <v>100</v>
      </c>
      <c r="J73" s="126">
        <v>2</v>
      </c>
      <c r="K73" s="125" t="s">
        <v>21</v>
      </c>
      <c r="L73" s="95">
        <f t="shared" si="4"/>
        <v>170000</v>
      </c>
      <c r="M73" s="95">
        <f t="shared" si="5"/>
        <v>187000.00000000003</v>
      </c>
      <c r="N73" s="56"/>
      <c r="O73" s="49"/>
      <c r="P73" s="59"/>
      <c r="Q73" s="67">
        <f t="shared" si="3"/>
        <v>935.00000000000011</v>
      </c>
    </row>
    <row r="74" spans="1:17" ht="18.75" customHeight="1">
      <c r="A74" s="122"/>
      <c r="B74" s="123"/>
      <c r="C74" s="122"/>
      <c r="D74" s="124">
        <v>45921</v>
      </c>
      <c r="E74" s="132" t="s">
        <v>19</v>
      </c>
      <c r="F74" s="122"/>
      <c r="G74" s="132" t="s">
        <v>25</v>
      </c>
      <c r="H74" s="125">
        <v>850</v>
      </c>
      <c r="I74" s="125">
        <v>100</v>
      </c>
      <c r="J74" s="126">
        <v>2</v>
      </c>
      <c r="K74" s="125" t="s">
        <v>21</v>
      </c>
      <c r="L74" s="95">
        <f t="shared" si="4"/>
        <v>170000</v>
      </c>
      <c r="M74" s="95">
        <f t="shared" si="5"/>
        <v>187000.00000000003</v>
      </c>
      <c r="N74" s="56"/>
      <c r="O74" s="49"/>
      <c r="P74" s="59"/>
      <c r="Q74" s="67">
        <f t="shared" si="3"/>
        <v>935.00000000000011</v>
      </c>
    </row>
    <row r="75" spans="1:17" ht="18.75" customHeight="1">
      <c r="A75" s="122"/>
      <c r="B75" s="123"/>
      <c r="C75" s="122"/>
      <c r="D75" s="124">
        <v>45921</v>
      </c>
      <c r="E75" s="17" t="s">
        <v>23</v>
      </c>
      <c r="F75" s="122"/>
      <c r="G75" s="132" t="s">
        <v>25</v>
      </c>
      <c r="H75" s="125">
        <v>850</v>
      </c>
      <c r="I75" s="125">
        <v>100</v>
      </c>
      <c r="J75" s="126">
        <v>1</v>
      </c>
      <c r="K75" s="125" t="s">
        <v>21</v>
      </c>
      <c r="L75" s="95">
        <f t="shared" si="4"/>
        <v>85000</v>
      </c>
      <c r="M75" s="95">
        <f t="shared" si="5"/>
        <v>93500.000000000015</v>
      </c>
      <c r="N75" s="56"/>
      <c r="O75" s="49"/>
      <c r="P75" s="59"/>
      <c r="Q75" s="67">
        <f t="shared" si="3"/>
        <v>935.00000000000011</v>
      </c>
    </row>
    <row r="76" spans="1:17" ht="18.75" customHeight="1">
      <c r="A76" s="122"/>
      <c r="B76" s="123"/>
      <c r="C76" s="122"/>
      <c r="D76" s="124">
        <v>45921</v>
      </c>
      <c r="E76" s="132" t="s">
        <v>24</v>
      </c>
      <c r="F76" s="122"/>
      <c r="G76" s="132" t="s">
        <v>25</v>
      </c>
      <c r="H76" s="125">
        <v>850</v>
      </c>
      <c r="I76" s="125">
        <v>100</v>
      </c>
      <c r="J76" s="126">
        <v>2</v>
      </c>
      <c r="K76" s="125" t="s">
        <v>21</v>
      </c>
      <c r="L76" s="95">
        <f t="shared" si="4"/>
        <v>170000</v>
      </c>
      <c r="M76" s="95">
        <f t="shared" si="5"/>
        <v>187000.00000000003</v>
      </c>
      <c r="N76" s="56"/>
      <c r="O76" s="49"/>
      <c r="P76" s="59"/>
      <c r="Q76" s="67">
        <f t="shared" si="3"/>
        <v>935.00000000000011</v>
      </c>
    </row>
    <row r="77" spans="1:17" ht="18.75" customHeight="1">
      <c r="A77" s="122"/>
      <c r="B77" s="123"/>
      <c r="C77" s="122"/>
      <c r="D77" s="124">
        <v>45921</v>
      </c>
      <c r="E77" s="17" t="s">
        <v>22</v>
      </c>
      <c r="F77" s="122"/>
      <c r="G77" s="132" t="s">
        <v>26</v>
      </c>
      <c r="H77" s="125">
        <v>720</v>
      </c>
      <c r="I77" s="125">
        <v>100</v>
      </c>
      <c r="J77" s="126">
        <v>1</v>
      </c>
      <c r="K77" s="125" t="s">
        <v>21</v>
      </c>
      <c r="L77" s="95">
        <f t="shared" si="4"/>
        <v>72000</v>
      </c>
      <c r="M77" s="95">
        <f t="shared" si="5"/>
        <v>79200</v>
      </c>
      <c r="N77" s="56"/>
      <c r="O77" s="49"/>
      <c r="P77" s="59"/>
      <c r="Q77" s="67">
        <f t="shared" si="3"/>
        <v>792</v>
      </c>
    </row>
    <row r="78" spans="1:17" ht="18.75" customHeight="1">
      <c r="A78" s="122"/>
      <c r="B78" s="123"/>
      <c r="C78" s="122"/>
      <c r="D78" s="124">
        <v>45921</v>
      </c>
      <c r="E78" s="132" t="s">
        <v>19</v>
      </c>
      <c r="F78" s="122"/>
      <c r="G78" s="132" t="s">
        <v>26</v>
      </c>
      <c r="H78" s="125">
        <v>720</v>
      </c>
      <c r="I78" s="125">
        <v>100</v>
      </c>
      <c r="J78" s="126">
        <v>1</v>
      </c>
      <c r="K78" s="125" t="s">
        <v>21</v>
      </c>
      <c r="L78" s="95">
        <f t="shared" si="4"/>
        <v>72000</v>
      </c>
      <c r="M78" s="95">
        <f t="shared" si="5"/>
        <v>79200</v>
      </c>
      <c r="N78" s="56"/>
      <c r="O78" s="49"/>
      <c r="P78" s="59"/>
      <c r="Q78" s="67">
        <f t="shared" si="3"/>
        <v>792</v>
      </c>
    </row>
    <row r="79" spans="1:17" ht="18.75" customHeight="1">
      <c r="A79" s="122"/>
      <c r="B79" s="123"/>
      <c r="C79" s="122"/>
      <c r="D79" s="124">
        <v>45921</v>
      </c>
      <c r="E79" s="17" t="s">
        <v>23</v>
      </c>
      <c r="F79" s="122"/>
      <c r="G79" s="132" t="s">
        <v>26</v>
      </c>
      <c r="H79" s="125">
        <v>720</v>
      </c>
      <c r="I79" s="125">
        <v>100</v>
      </c>
      <c r="J79" s="126">
        <v>1</v>
      </c>
      <c r="K79" s="125" t="s">
        <v>21</v>
      </c>
      <c r="L79" s="95">
        <f t="shared" si="4"/>
        <v>72000</v>
      </c>
      <c r="M79" s="95">
        <f t="shared" si="5"/>
        <v>79200</v>
      </c>
      <c r="N79" s="56"/>
      <c r="O79" s="49"/>
      <c r="P79" s="59"/>
      <c r="Q79" s="67">
        <f t="shared" si="3"/>
        <v>792</v>
      </c>
    </row>
    <row r="80" spans="1:17" ht="18.75" customHeight="1">
      <c r="A80" s="122"/>
      <c r="B80" s="123"/>
      <c r="C80" s="122"/>
      <c r="D80" s="124">
        <v>45921</v>
      </c>
      <c r="E80" s="132" t="s">
        <v>24</v>
      </c>
      <c r="F80" s="122"/>
      <c r="G80" s="132" t="s">
        <v>26</v>
      </c>
      <c r="H80" s="125">
        <v>720</v>
      </c>
      <c r="I80" s="125">
        <v>100</v>
      </c>
      <c r="J80" s="126">
        <v>1</v>
      </c>
      <c r="K80" s="125" t="s">
        <v>21</v>
      </c>
      <c r="L80" s="95">
        <f t="shared" si="4"/>
        <v>72000</v>
      </c>
      <c r="M80" s="95">
        <f t="shared" si="5"/>
        <v>79200</v>
      </c>
      <c r="N80" s="56"/>
      <c r="O80" s="49"/>
      <c r="P80" s="59"/>
      <c r="Q80" s="67">
        <f t="shared" si="3"/>
        <v>792</v>
      </c>
    </row>
    <row r="81" spans="1:17" ht="18.75" customHeight="1">
      <c r="A81" s="122"/>
      <c r="B81" s="123"/>
      <c r="C81" s="122"/>
      <c r="D81" s="124">
        <v>45921</v>
      </c>
      <c r="E81" s="17" t="s">
        <v>23</v>
      </c>
      <c r="F81" s="122"/>
      <c r="G81" s="132" t="s">
        <v>27</v>
      </c>
      <c r="H81" s="125">
        <v>1000</v>
      </c>
      <c r="I81" s="125">
        <v>50</v>
      </c>
      <c r="J81" s="126">
        <v>1</v>
      </c>
      <c r="K81" s="125" t="s">
        <v>21</v>
      </c>
      <c r="L81" s="95">
        <f t="shared" si="4"/>
        <v>50000</v>
      </c>
      <c r="M81" s="95">
        <f t="shared" si="5"/>
        <v>55000.000000000007</v>
      </c>
      <c r="N81" s="56"/>
      <c r="O81" s="49"/>
      <c r="P81" s="59"/>
      <c r="Q81" s="67">
        <f t="shared" si="3"/>
        <v>1100.0000000000002</v>
      </c>
    </row>
    <row r="82" spans="1:17" ht="18.75" customHeight="1">
      <c r="A82" s="122"/>
      <c r="B82" s="123"/>
      <c r="C82" s="122"/>
      <c r="D82" s="124"/>
      <c r="E82" s="132"/>
      <c r="F82" s="122"/>
      <c r="G82" s="132"/>
      <c r="H82" s="125"/>
      <c r="I82" s="125"/>
      <c r="J82" s="126"/>
      <c r="K82" s="125"/>
      <c r="L82" s="95">
        <f t="shared" si="4"/>
        <v>0</v>
      </c>
      <c r="M82" s="95">
        <f t="shared" si="5"/>
        <v>0</v>
      </c>
      <c r="N82" s="56"/>
      <c r="O82" s="49"/>
      <c r="P82" s="59"/>
      <c r="Q82" s="67" t="e">
        <f t="shared" si="3"/>
        <v>#DIV/0!</v>
      </c>
    </row>
    <row r="83" spans="1:17" ht="18.75" customHeight="1">
      <c r="A83" s="122"/>
      <c r="B83" s="123"/>
      <c r="C83" s="122"/>
      <c r="D83" s="124"/>
      <c r="E83" s="132"/>
      <c r="F83" s="122"/>
      <c r="G83" s="132"/>
      <c r="H83" s="125"/>
      <c r="I83" s="125"/>
      <c r="J83" s="126"/>
      <c r="K83" s="125"/>
      <c r="L83" s="95">
        <f t="shared" si="4"/>
        <v>0</v>
      </c>
      <c r="M83" s="95">
        <f t="shared" si="5"/>
        <v>0</v>
      </c>
      <c r="N83" s="56"/>
      <c r="O83" s="49"/>
      <c r="P83" s="59"/>
      <c r="Q83" s="67" t="e">
        <f t="shared" si="3"/>
        <v>#DIV/0!</v>
      </c>
    </row>
    <row r="84" spans="1:17" ht="18.75" customHeight="1">
      <c r="A84" s="122"/>
      <c r="B84" s="123"/>
      <c r="C84" s="122"/>
      <c r="D84" s="124"/>
      <c r="E84" s="132"/>
      <c r="F84" s="122"/>
      <c r="G84" s="132"/>
      <c r="H84" s="125"/>
      <c r="I84" s="125"/>
      <c r="J84" s="126"/>
      <c r="K84" s="125"/>
      <c r="L84" s="95">
        <f t="shared" si="4"/>
        <v>0</v>
      </c>
      <c r="M84" s="95">
        <f t="shared" si="5"/>
        <v>0</v>
      </c>
      <c r="N84" s="56"/>
      <c r="O84" s="49"/>
      <c r="P84" s="59"/>
      <c r="Q84" s="67" t="e">
        <f t="shared" si="3"/>
        <v>#DIV/0!</v>
      </c>
    </row>
    <row r="85" spans="1:17" ht="18.75" customHeight="1">
      <c r="A85" s="122"/>
      <c r="B85" s="123"/>
      <c r="C85" s="122"/>
      <c r="D85" s="124"/>
      <c r="E85" s="132"/>
      <c r="F85" s="122"/>
      <c r="G85" s="132"/>
      <c r="H85" s="125"/>
      <c r="I85" s="125"/>
      <c r="J85" s="126"/>
      <c r="K85" s="125"/>
      <c r="L85" s="95">
        <f t="shared" si="4"/>
        <v>0</v>
      </c>
      <c r="M85" s="95">
        <f t="shared" si="5"/>
        <v>0</v>
      </c>
      <c r="N85" s="56"/>
      <c r="O85" s="49"/>
      <c r="P85" s="59"/>
      <c r="Q85" s="67" t="e">
        <f t="shared" si="3"/>
        <v>#DIV/0!</v>
      </c>
    </row>
    <row r="86" spans="1:17" ht="18.75" customHeight="1">
      <c r="A86" s="122"/>
      <c r="B86" s="123"/>
      <c r="C86" s="122"/>
      <c r="D86" s="124"/>
      <c r="E86" s="96"/>
      <c r="F86" s="122"/>
      <c r="G86" s="96"/>
      <c r="H86" s="125"/>
      <c r="I86" s="125"/>
      <c r="J86" s="126"/>
      <c r="K86" s="125"/>
      <c r="L86" s="95">
        <f t="shared" si="4"/>
        <v>0</v>
      </c>
      <c r="M86" s="95">
        <f t="shared" si="5"/>
        <v>0</v>
      </c>
      <c r="N86" s="56"/>
      <c r="O86" s="49"/>
      <c r="P86" s="59"/>
      <c r="Q86" s="67" t="e">
        <f t="shared" si="3"/>
        <v>#DIV/0!</v>
      </c>
    </row>
    <row r="87" spans="1:17" ht="18.75" customHeight="1">
      <c r="A87" s="122"/>
      <c r="B87" s="123"/>
      <c r="C87" s="122"/>
      <c r="D87" s="124"/>
      <c r="E87" s="96"/>
      <c r="F87" s="122"/>
      <c r="G87" s="96"/>
      <c r="H87" s="125"/>
      <c r="I87" s="125"/>
      <c r="J87" s="126"/>
      <c r="K87" s="125"/>
      <c r="L87" s="95">
        <f t="shared" si="4"/>
        <v>0</v>
      </c>
      <c r="M87" s="95">
        <f t="shared" si="5"/>
        <v>0</v>
      </c>
      <c r="N87" s="56"/>
      <c r="O87" s="49"/>
      <c r="P87" s="59"/>
      <c r="Q87" s="67" t="e">
        <f t="shared" si="3"/>
        <v>#DIV/0!</v>
      </c>
    </row>
    <row r="88" spans="1:17" ht="18.75" customHeight="1">
      <c r="A88" s="12"/>
      <c r="B88" s="68"/>
      <c r="C88" s="12"/>
      <c r="D88" s="69"/>
      <c r="E88" s="12"/>
      <c r="F88" s="12"/>
      <c r="G88" s="70"/>
      <c r="H88" s="71"/>
      <c r="I88" s="71"/>
      <c r="J88" s="72"/>
      <c r="K88" s="71"/>
      <c r="L88" s="73"/>
      <c r="M88" s="73">
        <f>SUM(M69:N87)</f>
        <v>1560900</v>
      </c>
      <c r="N88" s="74"/>
      <c r="O88" s="11"/>
      <c r="P88" s="75"/>
      <c r="Q88" s="74" t="e">
        <f t="shared" si="3"/>
        <v>#DIV/0!</v>
      </c>
    </row>
    <row r="89" spans="1:17" ht="18.75" customHeight="1">
      <c r="A89" s="12"/>
      <c r="B89" s="68"/>
      <c r="C89" s="12"/>
      <c r="D89" s="69"/>
      <c r="E89" s="12"/>
      <c r="F89" s="12"/>
      <c r="G89" s="70"/>
      <c r="H89" s="71"/>
      <c r="I89" s="71"/>
      <c r="J89" s="72"/>
      <c r="K89" s="71"/>
      <c r="L89" s="73"/>
      <c r="M89" s="73"/>
      <c r="N89" s="74"/>
      <c r="O89" s="11"/>
      <c r="P89" s="75"/>
      <c r="Q89" s="74"/>
    </row>
    <row r="90" spans="1:17" ht="18.75" customHeight="1">
      <c r="A90" s="122" t="s">
        <v>28</v>
      </c>
      <c r="B90" s="123"/>
      <c r="C90" s="122"/>
      <c r="D90" s="124"/>
      <c r="E90" s="132"/>
      <c r="F90" s="122"/>
      <c r="G90" s="96"/>
      <c r="H90" s="125"/>
      <c r="I90" s="125"/>
      <c r="J90" s="126"/>
      <c r="K90" s="125"/>
      <c r="L90" s="95"/>
      <c r="M90" s="95">
        <f>L90*1.1</f>
        <v>0</v>
      </c>
      <c r="N90" s="56"/>
      <c r="O90" s="49"/>
      <c r="P90" s="59"/>
      <c r="Q90" s="67" t="e">
        <f t="shared" ref="Q90:Q95" si="6">(M90+N90*1.1)/(I90*J90)</f>
        <v>#DIV/0!</v>
      </c>
    </row>
    <row r="91" spans="1:17" ht="18.75" customHeight="1">
      <c r="A91" s="122"/>
      <c r="B91" s="123"/>
      <c r="C91" s="122"/>
      <c r="D91" s="124"/>
      <c r="E91" s="132"/>
      <c r="F91" s="122"/>
      <c r="G91" s="96"/>
      <c r="H91" s="125"/>
      <c r="I91" s="125"/>
      <c r="J91" s="126"/>
      <c r="K91" s="125"/>
      <c r="L91" s="95"/>
      <c r="M91" s="95">
        <f>L91*1.1</f>
        <v>0</v>
      </c>
      <c r="N91" s="56"/>
      <c r="O91" s="49"/>
      <c r="P91" s="59"/>
      <c r="Q91" s="67" t="e">
        <f t="shared" si="6"/>
        <v>#DIV/0!</v>
      </c>
    </row>
    <row r="92" spans="1:17" ht="18.75" customHeight="1">
      <c r="A92" s="122"/>
      <c r="B92" s="123"/>
      <c r="C92" s="122"/>
      <c r="D92" s="124"/>
      <c r="E92" s="132"/>
      <c r="F92" s="122"/>
      <c r="G92" s="132"/>
      <c r="H92" s="125"/>
      <c r="I92" s="125"/>
      <c r="J92" s="126"/>
      <c r="K92" s="125"/>
      <c r="L92" s="95"/>
      <c r="M92" s="95">
        <f>L92*1.1</f>
        <v>0</v>
      </c>
      <c r="N92" s="56"/>
      <c r="O92" s="49"/>
      <c r="P92" s="59"/>
      <c r="Q92" s="67" t="e">
        <f t="shared" si="6"/>
        <v>#DIV/0!</v>
      </c>
    </row>
    <row r="93" spans="1:17" ht="18.75" customHeight="1">
      <c r="A93" s="122"/>
      <c r="B93" s="123"/>
      <c r="C93" s="122"/>
      <c r="D93" s="124"/>
      <c r="E93" s="96"/>
      <c r="F93" s="122"/>
      <c r="G93" s="96"/>
      <c r="H93" s="125"/>
      <c r="I93" s="125"/>
      <c r="J93" s="126"/>
      <c r="K93" s="125"/>
      <c r="L93" s="95"/>
      <c r="M93" s="95">
        <f t="shared" ref="M93:M94" si="7">L93*1.1</f>
        <v>0</v>
      </c>
      <c r="N93" s="56"/>
      <c r="O93" s="49"/>
      <c r="P93" s="59"/>
      <c r="Q93" s="67" t="e">
        <f t="shared" si="6"/>
        <v>#DIV/0!</v>
      </c>
    </row>
    <row r="94" spans="1:17" ht="18.75" customHeight="1">
      <c r="A94" s="122"/>
      <c r="B94" s="123"/>
      <c r="C94" s="122"/>
      <c r="D94" s="124"/>
      <c r="E94" s="96"/>
      <c r="F94" s="122"/>
      <c r="G94" s="96"/>
      <c r="H94" s="125"/>
      <c r="I94" s="125"/>
      <c r="J94" s="126"/>
      <c r="K94" s="125"/>
      <c r="L94" s="95"/>
      <c r="M94" s="95">
        <f t="shared" si="7"/>
        <v>0</v>
      </c>
      <c r="N94" s="56"/>
      <c r="O94" s="49"/>
      <c r="P94" s="59"/>
      <c r="Q94" s="67" t="e">
        <f t="shared" si="6"/>
        <v>#DIV/0!</v>
      </c>
    </row>
    <row r="95" spans="1:17" ht="18.75" customHeight="1">
      <c r="A95" s="11"/>
      <c r="B95" s="68"/>
      <c r="C95" s="12"/>
      <c r="D95" s="69"/>
      <c r="E95" s="12"/>
      <c r="F95" s="12"/>
      <c r="G95" s="70"/>
      <c r="H95" s="71"/>
      <c r="I95" s="71"/>
      <c r="J95" s="72"/>
      <c r="K95" s="71"/>
      <c r="L95" s="73"/>
      <c r="M95" s="73">
        <f>SUM(M90:N94)</f>
        <v>0</v>
      </c>
      <c r="N95" s="74"/>
      <c r="O95" s="11"/>
      <c r="P95" s="75"/>
      <c r="Q95" s="74" t="e">
        <f t="shared" si="6"/>
        <v>#DIV/0!</v>
      </c>
    </row>
    <row r="96" spans="1:17" ht="18.75" customHeight="1">
      <c r="A96" s="11"/>
      <c r="B96" s="68"/>
      <c r="C96" s="12"/>
      <c r="D96" s="69"/>
      <c r="E96" s="12"/>
      <c r="F96" s="12"/>
      <c r="G96" s="70"/>
      <c r="H96" s="71"/>
      <c r="I96" s="71"/>
      <c r="J96" s="72"/>
      <c r="K96" s="71"/>
      <c r="L96" s="73"/>
      <c r="M96" s="73"/>
      <c r="N96" s="74"/>
      <c r="O96" s="11"/>
      <c r="P96" s="75"/>
      <c r="Q96" s="74"/>
    </row>
    <row r="97" spans="1:17" ht="18.75" customHeight="1">
      <c r="A97" s="122" t="s">
        <v>29</v>
      </c>
      <c r="B97" s="123"/>
      <c r="C97" s="122"/>
      <c r="D97" s="124"/>
      <c r="E97" s="96"/>
      <c r="F97" s="122"/>
      <c r="G97" s="96"/>
      <c r="H97" s="125"/>
      <c r="I97" s="125"/>
      <c r="J97" s="126"/>
      <c r="K97" s="125"/>
      <c r="L97" s="95"/>
      <c r="M97" s="95">
        <f>L97*1.1</f>
        <v>0</v>
      </c>
      <c r="N97" s="56"/>
      <c r="O97" s="49"/>
      <c r="P97" s="59"/>
      <c r="Q97" s="97"/>
    </row>
    <row r="98" spans="1:17" ht="18.75" customHeight="1">
      <c r="A98" s="122"/>
      <c r="B98" s="123"/>
      <c r="C98" s="122"/>
      <c r="D98" s="124"/>
      <c r="E98" s="96"/>
      <c r="F98" s="122"/>
      <c r="G98" s="96"/>
      <c r="H98" s="125"/>
      <c r="I98" s="125"/>
      <c r="J98" s="126"/>
      <c r="K98" s="125"/>
      <c r="L98" s="95"/>
      <c r="M98" s="95">
        <f>L98*1.1</f>
        <v>0</v>
      </c>
      <c r="N98" s="56"/>
      <c r="O98" s="49"/>
      <c r="P98" s="59"/>
      <c r="Q98" s="97"/>
    </row>
    <row r="99" spans="1:17" ht="18.75" customHeight="1">
      <c r="A99" s="122"/>
      <c r="B99" s="123"/>
      <c r="C99" s="122"/>
      <c r="D99" s="124"/>
      <c r="E99" s="96"/>
      <c r="F99" s="122"/>
      <c r="G99" s="96"/>
      <c r="H99" s="125"/>
      <c r="I99" s="125"/>
      <c r="J99" s="126"/>
      <c r="K99" s="125"/>
      <c r="L99" s="95"/>
      <c r="M99" s="95">
        <f>L99*1.1</f>
        <v>0</v>
      </c>
      <c r="N99" s="56"/>
      <c r="O99" s="49"/>
      <c r="P99" s="59"/>
      <c r="Q99" s="97"/>
    </row>
    <row r="100" spans="1:17" ht="18.75" customHeight="1">
      <c r="A100" s="122"/>
      <c r="B100" s="123"/>
      <c r="C100" s="122"/>
      <c r="D100" s="124"/>
      <c r="E100" s="96"/>
      <c r="F100" s="122"/>
      <c r="G100" s="96"/>
      <c r="H100" s="125"/>
      <c r="I100" s="125"/>
      <c r="J100" s="126"/>
      <c r="K100" s="125"/>
      <c r="L100" s="95"/>
      <c r="M100" s="95">
        <f t="shared" ref="M100:M101" si="8">L100*1.1</f>
        <v>0</v>
      </c>
      <c r="N100" s="56"/>
      <c r="O100" s="49"/>
      <c r="P100" s="59"/>
      <c r="Q100" s="97"/>
    </row>
    <row r="101" spans="1:17" ht="18.75" customHeight="1">
      <c r="A101" s="122"/>
      <c r="B101" s="123"/>
      <c r="C101" s="122"/>
      <c r="D101" s="124"/>
      <c r="E101" s="96"/>
      <c r="F101" s="122"/>
      <c r="G101" s="96"/>
      <c r="H101" s="125"/>
      <c r="I101" s="125"/>
      <c r="J101" s="126"/>
      <c r="K101" s="125"/>
      <c r="L101" s="95"/>
      <c r="M101" s="95">
        <f t="shared" si="8"/>
        <v>0</v>
      </c>
      <c r="N101" s="56"/>
      <c r="O101" s="49"/>
      <c r="P101" s="59"/>
      <c r="Q101" s="97"/>
    </row>
    <row r="102" spans="1:17" ht="18.75" customHeight="1">
      <c r="A102" s="12"/>
      <c r="B102" s="68"/>
      <c r="C102" s="12"/>
      <c r="D102" s="69"/>
      <c r="E102" s="12"/>
      <c r="F102" s="12"/>
      <c r="G102" s="70"/>
      <c r="H102" s="71"/>
      <c r="I102" s="71"/>
      <c r="J102" s="72"/>
      <c r="K102" s="71"/>
      <c r="L102" s="73"/>
      <c r="M102" s="73">
        <f>SUM(M97:N101)</f>
        <v>0</v>
      </c>
      <c r="N102" s="74"/>
      <c r="O102" s="11"/>
      <c r="P102" s="75"/>
      <c r="Q102" s="74"/>
    </row>
    <row r="103" spans="1:17" ht="18.75" customHeight="1">
      <c r="A103" s="12"/>
      <c r="B103" s="68"/>
      <c r="C103" s="12"/>
      <c r="D103" s="69"/>
      <c r="E103" s="12"/>
      <c r="F103" s="12"/>
      <c r="G103" s="70"/>
      <c r="H103" s="71"/>
      <c r="I103" s="71"/>
      <c r="J103" s="72"/>
      <c r="K103" s="71"/>
      <c r="L103" s="73"/>
      <c r="M103" s="73"/>
      <c r="N103" s="74"/>
      <c r="O103" s="11"/>
      <c r="P103" s="75"/>
      <c r="Q103" s="74"/>
    </row>
    <row r="104" spans="1:17" ht="18.75" customHeight="1">
      <c r="A104" s="151" t="s">
        <v>30</v>
      </c>
      <c r="B104" s="123"/>
      <c r="C104" s="122"/>
      <c r="D104" s="124"/>
      <c r="E104" s="96"/>
      <c r="F104" s="122"/>
      <c r="G104" s="96"/>
      <c r="H104" s="125"/>
      <c r="I104" s="125"/>
      <c r="J104" s="126"/>
      <c r="K104" s="125"/>
      <c r="L104" s="95"/>
      <c r="M104" s="95">
        <f>L104*1.1</f>
        <v>0</v>
      </c>
      <c r="N104" s="56"/>
      <c r="O104" s="49"/>
      <c r="P104" s="59"/>
      <c r="Q104" s="97"/>
    </row>
    <row r="105" spans="1:17" ht="18.75" customHeight="1">
      <c r="A105" s="122"/>
      <c r="B105" s="123"/>
      <c r="C105" s="122"/>
      <c r="D105" s="124"/>
      <c r="E105" s="96"/>
      <c r="F105" s="122"/>
      <c r="G105" s="96"/>
      <c r="H105" s="125"/>
      <c r="I105" s="125"/>
      <c r="J105" s="126"/>
      <c r="K105" s="125"/>
      <c r="L105" s="95"/>
      <c r="M105" s="95">
        <f>L105*1.1</f>
        <v>0</v>
      </c>
      <c r="N105" s="56"/>
      <c r="O105" s="49"/>
      <c r="P105" s="59"/>
      <c r="Q105" s="97"/>
    </row>
    <row r="106" spans="1:17" ht="18.75" customHeight="1">
      <c r="A106" s="122"/>
      <c r="B106" s="123"/>
      <c r="C106" s="122"/>
      <c r="D106" s="124"/>
      <c r="E106" s="96"/>
      <c r="F106" s="122"/>
      <c r="G106" s="96"/>
      <c r="H106" s="125"/>
      <c r="I106" s="125"/>
      <c r="J106" s="126"/>
      <c r="K106" s="125"/>
      <c r="L106" s="95"/>
      <c r="M106" s="95">
        <f>L106*1.1</f>
        <v>0</v>
      </c>
      <c r="N106" s="56"/>
      <c r="O106" s="49"/>
      <c r="P106" s="59"/>
      <c r="Q106" s="97"/>
    </row>
    <row r="107" spans="1:17" ht="18.75" customHeight="1">
      <c r="A107" s="122"/>
      <c r="B107" s="123"/>
      <c r="C107" s="122"/>
      <c r="D107" s="124"/>
      <c r="E107" s="96"/>
      <c r="F107" s="122"/>
      <c r="G107" s="96"/>
      <c r="H107" s="125"/>
      <c r="I107" s="125"/>
      <c r="J107" s="126"/>
      <c r="K107" s="125"/>
      <c r="L107" s="95"/>
      <c r="M107" s="95">
        <f t="shared" ref="M107:M108" si="9">L107*1.1</f>
        <v>0</v>
      </c>
      <c r="N107" s="56"/>
      <c r="O107" s="49"/>
      <c r="P107" s="59"/>
      <c r="Q107" s="97"/>
    </row>
    <row r="108" spans="1:17" ht="18.75" customHeight="1">
      <c r="A108" s="122"/>
      <c r="B108" s="123"/>
      <c r="C108" s="122"/>
      <c r="D108" s="124"/>
      <c r="E108" s="96"/>
      <c r="F108" s="122"/>
      <c r="G108" s="96"/>
      <c r="H108" s="125"/>
      <c r="I108" s="125"/>
      <c r="J108" s="126"/>
      <c r="K108" s="125"/>
      <c r="L108" s="95"/>
      <c r="M108" s="95">
        <f t="shared" si="9"/>
        <v>0</v>
      </c>
      <c r="N108" s="56"/>
      <c r="O108" s="49"/>
      <c r="P108" s="59"/>
      <c r="Q108" s="97"/>
    </row>
    <row r="109" spans="1:17" ht="18.75" customHeight="1">
      <c r="A109" s="11"/>
      <c r="B109" s="127"/>
      <c r="C109" s="11"/>
      <c r="D109" s="128"/>
      <c r="E109" s="11"/>
      <c r="F109" s="11"/>
      <c r="G109" s="70"/>
      <c r="H109" s="11"/>
      <c r="I109" s="11"/>
      <c r="J109" s="129"/>
      <c r="K109" s="11"/>
      <c r="L109" s="74"/>
      <c r="M109" s="73">
        <f>SUM(M104:N108)</f>
        <v>0</v>
      </c>
      <c r="N109" s="74"/>
      <c r="O109" s="11"/>
      <c r="P109" s="75"/>
      <c r="Q109" s="74"/>
    </row>
    <row r="110" spans="1:17" s="40" customFormat="1" ht="18.75" customHeight="1">
      <c r="A110"/>
      <c r="B110" s="31"/>
      <c r="C110"/>
      <c r="D110" s="25"/>
      <c r="E110"/>
      <c r="F110"/>
      <c r="G110" s="33"/>
      <c r="H110"/>
      <c r="I110"/>
      <c r="J110" s="65"/>
      <c r="K110"/>
      <c r="O110"/>
      <c r="P110" s="58"/>
    </row>
    <row r="111" spans="1:17" ht="18.75" customHeight="1">
      <c r="A111" s="151" t="s">
        <v>31</v>
      </c>
      <c r="B111" s="123"/>
      <c r="C111" s="122"/>
      <c r="D111" s="124"/>
      <c r="E111" s="96" t="s">
        <v>32</v>
      </c>
      <c r="F111" s="122"/>
      <c r="G111" s="96" t="s">
        <v>33</v>
      </c>
      <c r="H111" s="125">
        <v>350</v>
      </c>
      <c r="I111" s="125">
        <v>120</v>
      </c>
      <c r="J111" s="126">
        <v>1</v>
      </c>
      <c r="K111" s="175" t="s">
        <v>21</v>
      </c>
      <c r="L111" s="95">
        <v>42000</v>
      </c>
      <c r="M111" s="95">
        <f>L111*1.1</f>
        <v>46200.000000000007</v>
      </c>
      <c r="N111" s="56"/>
      <c r="O111" s="49"/>
      <c r="P111" s="59"/>
      <c r="Q111" s="67">
        <f t="shared" ref="Q111:Q116" si="10">(M111+N111*1.1)/(I111*J111)</f>
        <v>385.00000000000006</v>
      </c>
    </row>
    <row r="112" spans="1:17" ht="18.75" customHeight="1">
      <c r="A112" s="122"/>
      <c r="B112" s="123"/>
      <c r="C112" s="122"/>
      <c r="D112" s="124"/>
      <c r="E112" s="132" t="s">
        <v>34</v>
      </c>
      <c r="F112" s="122"/>
      <c r="G112" s="96" t="s">
        <v>35</v>
      </c>
      <c r="H112" s="125">
        <v>950</v>
      </c>
      <c r="I112" s="125">
        <v>36</v>
      </c>
      <c r="J112" s="126">
        <v>1</v>
      </c>
      <c r="K112" s="175" t="s">
        <v>21</v>
      </c>
      <c r="L112" s="95">
        <v>34200</v>
      </c>
      <c r="M112" s="95">
        <f>L112*1.1</f>
        <v>37620</v>
      </c>
      <c r="N112" s="56">
        <v>1600</v>
      </c>
      <c r="O112" s="49"/>
      <c r="P112" s="59"/>
      <c r="Q112" s="67">
        <f t="shared" si="10"/>
        <v>1093.8888888888889</v>
      </c>
    </row>
    <row r="113" spans="1:17" ht="18.75" customHeight="1">
      <c r="A113" s="122"/>
      <c r="B113" s="123"/>
      <c r="C113" s="122"/>
      <c r="D113" s="124"/>
      <c r="E113" s="132" t="s">
        <v>34</v>
      </c>
      <c r="F113" s="122"/>
      <c r="G113" s="96" t="s">
        <v>36</v>
      </c>
      <c r="H113" s="125">
        <v>950</v>
      </c>
      <c r="I113" s="125">
        <v>36</v>
      </c>
      <c r="J113" s="126">
        <v>1</v>
      </c>
      <c r="K113" s="175" t="s">
        <v>21</v>
      </c>
      <c r="L113" s="95">
        <v>34200</v>
      </c>
      <c r="M113" s="95">
        <f>L113*1.1</f>
        <v>37620</v>
      </c>
      <c r="N113" s="56">
        <v>2400</v>
      </c>
      <c r="O113" s="49"/>
      <c r="P113" s="59"/>
      <c r="Q113" s="67">
        <f t="shared" si="10"/>
        <v>1118.3333333333333</v>
      </c>
    </row>
    <row r="114" spans="1:17" ht="18.75" customHeight="1">
      <c r="A114" s="122"/>
      <c r="B114" s="123"/>
      <c r="C114" s="122"/>
      <c r="D114" s="124"/>
      <c r="E114" s="132" t="s">
        <v>34</v>
      </c>
      <c r="F114" s="122"/>
      <c r="G114" s="96" t="s">
        <v>33</v>
      </c>
      <c r="H114" s="125">
        <v>350</v>
      </c>
      <c r="I114" s="125">
        <v>120</v>
      </c>
      <c r="J114" s="126">
        <v>1</v>
      </c>
      <c r="K114" s="175" t="s">
        <v>21</v>
      </c>
      <c r="L114" s="95">
        <v>42000</v>
      </c>
      <c r="M114" s="95">
        <f t="shared" ref="M114:M115" si="11">L114*1.1</f>
        <v>46200.000000000007</v>
      </c>
      <c r="N114" s="56"/>
      <c r="O114" s="49"/>
      <c r="P114" s="59"/>
      <c r="Q114" s="67">
        <f t="shared" si="10"/>
        <v>385.00000000000006</v>
      </c>
    </row>
    <row r="115" spans="1:17" ht="18.75" customHeight="1">
      <c r="A115" s="122"/>
      <c r="B115" s="123"/>
      <c r="C115" s="122"/>
      <c r="D115" s="124"/>
      <c r="E115" s="96"/>
      <c r="F115" s="122"/>
      <c r="G115" s="96"/>
      <c r="H115" s="125"/>
      <c r="I115" s="125"/>
      <c r="J115" s="126"/>
      <c r="K115" s="125"/>
      <c r="L115" s="95"/>
      <c r="M115" s="95">
        <f t="shared" si="11"/>
        <v>0</v>
      </c>
      <c r="N115" s="56"/>
      <c r="O115" s="49"/>
      <c r="P115" s="59"/>
      <c r="Q115" s="67" t="e">
        <f t="shared" si="10"/>
        <v>#DIV/0!</v>
      </c>
    </row>
    <row r="116" spans="1:17" s="40" customFormat="1" ht="18.75" customHeight="1">
      <c r="A116"/>
      <c r="B116" s="31"/>
      <c r="C116"/>
      <c r="D116" s="25"/>
      <c r="E116"/>
      <c r="F116"/>
      <c r="G116" s="33"/>
      <c r="H116"/>
      <c r="I116"/>
      <c r="J116" s="65"/>
      <c r="K116"/>
      <c r="M116" s="73">
        <f>SUM(M111:N115)</f>
        <v>171640</v>
      </c>
      <c r="O116"/>
      <c r="P116" s="58"/>
      <c r="Q116" s="40" t="e">
        <f t="shared" si="10"/>
        <v>#DIV/0!</v>
      </c>
    </row>
    <row r="117" spans="1:17" s="40" customFormat="1" ht="18.75" customHeight="1">
      <c r="A117"/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  <c r="O117"/>
      <c r="P117" s="58"/>
    </row>
    <row r="118" spans="1:17" s="40" customFormat="1" ht="18.75" customHeight="1">
      <c r="A118"/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O118"/>
      <c r="P118" s="58"/>
    </row>
    <row r="119" spans="1:17" s="40" customFormat="1" ht="18.75" customHeight="1">
      <c r="A119"/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  <c r="O119"/>
      <c r="P119" s="58"/>
    </row>
    <row r="120" spans="1:17" s="40" customFormat="1" ht="18.75" customHeight="1">
      <c r="A120"/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149">
        <f>M67+M88+M95+M102+M109+M116</f>
        <v>1732540</v>
      </c>
      <c r="O120"/>
      <c r="P120" s="58"/>
    </row>
    <row r="121" spans="1:17" s="40" customFormat="1" ht="18.75" customHeight="1">
      <c r="A121"/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  <c r="O121"/>
      <c r="P121" s="58"/>
    </row>
    <row r="122" spans="1:17" s="40" customFormat="1" ht="18.75" customHeight="1">
      <c r="A122"/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  <c r="N122" s="176"/>
      <c r="O122"/>
      <c r="P122" s="58"/>
    </row>
    <row r="123" spans="1:17" s="40" customFormat="1" ht="18.75" customHeight="1">
      <c r="A123"/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  <c r="O123"/>
      <c r="P123" s="58"/>
    </row>
    <row r="124" spans="1:17" s="40" customFormat="1" ht="18.75" customHeight="1">
      <c r="A124"/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  <c r="N124" s="176"/>
      <c r="O124"/>
      <c r="P124" s="58"/>
    </row>
    <row r="125" spans="1:17" s="40" customFormat="1" ht="18.75" customHeight="1">
      <c r="A125"/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  <c r="O125"/>
      <c r="P125" s="58"/>
    </row>
    <row r="126" spans="1:17" s="40" customFormat="1" ht="18.75" customHeight="1">
      <c r="A126"/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  <c r="N126" s="176"/>
      <c r="O126"/>
      <c r="P126" s="58"/>
    </row>
    <row r="127" spans="1:17" s="40" customFormat="1" ht="18.75" customHeight="1">
      <c r="A127"/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  <c r="O127"/>
      <c r="P127" s="58"/>
    </row>
    <row r="128" spans="1:17" s="40" customFormat="1" ht="18.75" customHeight="1">
      <c r="A128"/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  <c r="O128"/>
      <c r="P128" s="58"/>
    </row>
    <row r="129" spans="1:16" s="40" customFormat="1" ht="18.75" customHeight="1">
      <c r="A129"/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  <c r="O129"/>
      <c r="P129" s="58"/>
    </row>
    <row r="130" spans="1:16" s="40" customFormat="1" ht="18.75" customHeight="1">
      <c r="A130"/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  <c r="O130"/>
      <c r="P130" s="58"/>
    </row>
    <row r="131" spans="1:16" s="40" customFormat="1" ht="18.75" customHeight="1">
      <c r="A131"/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  <c r="O131"/>
      <c r="P131" s="58"/>
    </row>
    <row r="132" spans="1:16" s="40" customFormat="1" ht="18.75" customHeight="1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6" s="40" customFormat="1" ht="18.75" customHeight="1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6" s="40" customFormat="1" ht="18.75" customHeight="1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6" s="40" customFormat="1" ht="18.75" customHeight="1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  <c r="O135"/>
      <c r="P135" s="58"/>
    </row>
    <row r="136" spans="1:16" s="40" customFormat="1" ht="18.75" customHeight="1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6" s="40" customFormat="1" ht="18.75" customHeight="1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6" s="40" customFormat="1" ht="18.75" customHeight="1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6" s="40" customFormat="1" ht="18.75" customHeight="1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6" s="40" customFormat="1" ht="18.75" customHeight="1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6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6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6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6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8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8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8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8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8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8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8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8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8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8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8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8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8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8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8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8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5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5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5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5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5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5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5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5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5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5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5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5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5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5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5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5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5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5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5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5.75" customHeight="1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5.75" customHeight="1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5.75" customHeight="1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5.75" customHeight="1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5.75" customHeight="1">
      <c r="A291"/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  <c r="O291"/>
      <c r="P291" s="58"/>
    </row>
    <row r="292" spans="1:16" s="40" customFormat="1" ht="15.75" customHeight="1">
      <c r="A292"/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  <c r="O292"/>
      <c r="P292" s="58"/>
    </row>
    <row r="293" spans="1:16" s="40" customFormat="1" ht="15.75" customHeight="1">
      <c r="A293"/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  <c r="O293"/>
      <c r="P293" s="58"/>
    </row>
    <row r="294" spans="1:16" s="40" customFormat="1" ht="15.75" customHeight="1">
      <c r="A294"/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  <c r="O294"/>
      <c r="P294" s="58"/>
    </row>
    <row r="295" spans="1:16" s="40" customFormat="1" ht="15.75" customHeight="1">
      <c r="A295"/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  <c r="O295"/>
      <c r="P295" s="58"/>
    </row>
    <row r="296" spans="1:16" s="40" customFormat="1" ht="15.75" customHeight="1">
      <c r="A296"/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  <c r="O296"/>
      <c r="P296" s="58"/>
    </row>
    <row r="297" spans="1:16" s="40" customFormat="1" ht="15.75" customHeight="1">
      <c r="A297"/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  <c r="O297"/>
      <c r="P297" s="58"/>
    </row>
    <row r="298" spans="1:16" s="40" customFormat="1" ht="15.75" customHeight="1">
      <c r="A298"/>
      <c r="B298" s="26"/>
      <c r="C298" s="1"/>
      <c r="D298" s="20"/>
      <c r="E298" s="1"/>
      <c r="F298" s="1"/>
      <c r="G298" s="32"/>
      <c r="H298" s="2"/>
      <c r="I298" s="2"/>
      <c r="J298" s="60"/>
      <c r="K298" s="2"/>
      <c r="L298" s="34"/>
      <c r="M298" s="34"/>
      <c r="O298"/>
      <c r="P298" s="58"/>
    </row>
    <row r="299" spans="1:16" s="40" customFormat="1" ht="15.75" customHeight="1">
      <c r="A299"/>
      <c r="B299" s="26"/>
      <c r="C299" s="1"/>
      <c r="D299" s="20"/>
      <c r="E299" s="1"/>
      <c r="F299" s="1"/>
      <c r="G299" s="32"/>
      <c r="H299" s="2"/>
      <c r="I299" s="2"/>
      <c r="J299" s="60"/>
      <c r="K299" s="2"/>
      <c r="L299" s="34"/>
      <c r="M299" s="34"/>
      <c r="O299"/>
      <c r="P299" s="58"/>
    </row>
    <row r="300" spans="1:16" s="40" customFormat="1" ht="15.75" customHeight="1">
      <c r="A300"/>
      <c r="B300" s="26"/>
      <c r="C300" s="1"/>
      <c r="D300" s="20"/>
      <c r="E300" s="1"/>
      <c r="F300" s="1"/>
      <c r="G300" s="32"/>
      <c r="H300" s="2"/>
      <c r="I300" s="2"/>
      <c r="J300" s="60"/>
      <c r="K300" s="2"/>
      <c r="L300" s="34"/>
      <c r="M300" s="34"/>
      <c r="O300"/>
      <c r="P300" s="58"/>
    </row>
    <row r="301" spans="1:16" s="40" customFormat="1" ht="15.75" customHeight="1">
      <c r="A301"/>
      <c r="B301" s="26"/>
      <c r="C301" s="1"/>
      <c r="D301" s="20"/>
      <c r="E301" s="1"/>
      <c r="F301" s="1"/>
      <c r="G301" s="32"/>
      <c r="H301" s="2"/>
      <c r="I301" s="2"/>
      <c r="J301" s="60"/>
      <c r="K301" s="2"/>
      <c r="L301" s="34"/>
      <c r="M301" s="34"/>
      <c r="O301"/>
      <c r="P301" s="58"/>
    </row>
    <row r="302" spans="1:16" s="40" customFormat="1" ht="15.75" customHeight="1">
      <c r="A302"/>
      <c r="B302" s="26"/>
      <c r="C302" s="1"/>
      <c r="D302" s="20"/>
      <c r="E302" s="1"/>
      <c r="F302" s="1"/>
      <c r="G302" s="32"/>
      <c r="H302" s="2"/>
      <c r="I302" s="2"/>
      <c r="J302" s="60"/>
      <c r="K302" s="2"/>
      <c r="L302" s="34"/>
      <c r="M302" s="34"/>
      <c r="O302"/>
      <c r="P302" s="58"/>
    </row>
    <row r="303" spans="1:16" s="40" customFormat="1" ht="15.75" customHeight="1">
      <c r="A303"/>
      <c r="B303" s="26"/>
      <c r="C303" s="1"/>
      <c r="D303" s="20"/>
      <c r="E303" s="1"/>
      <c r="F303" s="1"/>
      <c r="G303" s="32"/>
      <c r="H303" s="2"/>
      <c r="I303" s="2"/>
      <c r="J303" s="60"/>
      <c r="K303" s="2"/>
      <c r="L303" s="34"/>
      <c r="M303" s="34"/>
      <c r="O303"/>
      <c r="P303" s="58"/>
    </row>
    <row r="304" spans="1:16" s="40" customFormat="1" ht="15.75" customHeight="1">
      <c r="A304"/>
      <c r="B304" s="26"/>
      <c r="C304" s="1"/>
      <c r="D304" s="20"/>
      <c r="E304" s="1"/>
      <c r="F304" s="1"/>
      <c r="G304" s="32"/>
      <c r="H304" s="2"/>
      <c r="I304" s="2"/>
      <c r="J304" s="60"/>
      <c r="K304" s="2"/>
      <c r="L304" s="34"/>
      <c r="M304" s="34"/>
      <c r="O304"/>
      <c r="P304" s="58"/>
    </row>
    <row r="305" spans="1:16" s="40" customFormat="1" ht="15.75" customHeight="1">
      <c r="A305"/>
      <c r="B305" s="26"/>
      <c r="C305" s="1"/>
      <c r="D305" s="20"/>
      <c r="E305" s="1"/>
      <c r="F305" s="1"/>
      <c r="G305" s="32"/>
      <c r="H305" s="2"/>
      <c r="I305" s="2"/>
      <c r="J305" s="60"/>
      <c r="K305" s="2"/>
      <c r="L305" s="34"/>
      <c r="M305" s="34"/>
      <c r="O305"/>
      <c r="P305" s="58"/>
    </row>
    <row r="306" spans="1:16" s="40" customFormat="1" ht="15.75" customHeight="1">
      <c r="A306"/>
      <c r="B306" s="26"/>
      <c r="C306" s="1"/>
      <c r="D306" s="20"/>
      <c r="E306" s="1"/>
      <c r="F306" s="1"/>
      <c r="G306" s="32"/>
      <c r="H306" s="2"/>
      <c r="I306" s="2"/>
      <c r="J306" s="60"/>
      <c r="K306" s="2"/>
      <c r="L306" s="34"/>
      <c r="M306" s="34"/>
      <c r="O306"/>
      <c r="P306" s="58"/>
    </row>
    <row r="307" spans="1:16" s="40" customFormat="1" ht="15.75" customHeight="1">
      <c r="A307"/>
      <c r="B307" s="31"/>
      <c r="C307"/>
      <c r="D307" s="25"/>
      <c r="E307"/>
      <c r="F307"/>
      <c r="G307" s="33"/>
      <c r="H307"/>
      <c r="I307"/>
      <c r="J307" s="65"/>
      <c r="K307"/>
      <c r="O307"/>
      <c r="P307" s="58"/>
    </row>
    <row r="308" spans="1:16" s="40" customFormat="1" ht="15.75" customHeight="1">
      <c r="A308"/>
      <c r="B308" s="31"/>
      <c r="C308"/>
      <c r="D308" s="25"/>
      <c r="E308"/>
      <c r="F308"/>
      <c r="G308" s="33"/>
      <c r="H308"/>
      <c r="I308"/>
      <c r="J308" s="65"/>
      <c r="K308"/>
      <c r="O308"/>
      <c r="P308" s="58"/>
    </row>
    <row r="309" spans="1:16" s="40" customFormat="1" ht="15.75" customHeight="1">
      <c r="A309"/>
      <c r="B309" s="31"/>
      <c r="C309"/>
      <c r="D309" s="25"/>
      <c r="E309"/>
      <c r="F309"/>
      <c r="G309" s="33"/>
      <c r="H309"/>
      <c r="I309"/>
      <c r="J309" s="65"/>
      <c r="K309"/>
      <c r="O309"/>
      <c r="P309" s="58"/>
    </row>
    <row r="310" spans="1:16" s="40" customFormat="1" ht="15.75" customHeight="1">
      <c r="A310"/>
      <c r="B310" s="31"/>
      <c r="C310"/>
      <c r="D310" s="25"/>
      <c r="E310"/>
      <c r="F310"/>
      <c r="G310" s="33"/>
      <c r="H310"/>
      <c r="I310"/>
      <c r="J310" s="65"/>
      <c r="K310"/>
      <c r="O310"/>
      <c r="P310" s="58"/>
    </row>
    <row r="311" spans="1:16" s="40" customFormat="1" ht="15.75" customHeight="1">
      <c r="A311"/>
      <c r="B311" s="31"/>
      <c r="C311"/>
      <c r="D311" s="25"/>
      <c r="E311"/>
      <c r="F311"/>
      <c r="G311" s="33"/>
      <c r="H311"/>
      <c r="I311"/>
      <c r="J311" s="65"/>
      <c r="K311"/>
      <c r="O311"/>
      <c r="P311" s="58"/>
    </row>
    <row r="312" spans="1:16" s="40" customFormat="1" ht="15.75" customHeight="1">
      <c r="A312"/>
      <c r="B312" s="31"/>
      <c r="C312"/>
      <c r="D312" s="25"/>
      <c r="E312"/>
      <c r="F312"/>
      <c r="G312" s="33"/>
      <c r="H312"/>
      <c r="I312"/>
      <c r="J312" s="65"/>
      <c r="K312"/>
      <c r="O312"/>
      <c r="P312" s="58"/>
    </row>
    <row r="313" spans="1:16" s="40" customFormat="1" ht="15.75" customHeight="1">
      <c r="A313"/>
      <c r="B313" s="31"/>
      <c r="C313"/>
      <c r="D313" s="25"/>
      <c r="E313"/>
      <c r="F313"/>
      <c r="G313" s="33"/>
      <c r="H313"/>
      <c r="I313"/>
      <c r="J313" s="65"/>
      <c r="K313"/>
      <c r="O313"/>
      <c r="P313" s="58"/>
    </row>
    <row r="314" spans="1:16" s="40" customFormat="1" ht="15.75" customHeight="1">
      <c r="A314"/>
      <c r="B314" s="31"/>
      <c r="C314"/>
      <c r="D314" s="25"/>
      <c r="E314"/>
      <c r="F314"/>
      <c r="G314" s="33"/>
      <c r="H314"/>
      <c r="I314"/>
      <c r="J314" s="65"/>
      <c r="K314"/>
      <c r="O314"/>
      <c r="P314" s="58"/>
    </row>
    <row r="315" spans="1:16" s="40" customFormat="1" ht="15.75" customHeight="1">
      <c r="A315"/>
      <c r="B315" s="31"/>
      <c r="C315"/>
      <c r="D315" s="25"/>
      <c r="E315"/>
      <c r="F315"/>
      <c r="G315" s="33"/>
      <c r="H315"/>
      <c r="I315"/>
      <c r="J315" s="65"/>
      <c r="K315"/>
      <c r="O315"/>
      <c r="P315" s="58"/>
    </row>
    <row r="316" spans="1:16" s="40" customFormat="1" ht="15.75" customHeight="1">
      <c r="A316"/>
      <c r="B316" s="31"/>
      <c r="C316"/>
      <c r="D316" s="25"/>
      <c r="E316"/>
      <c r="F316"/>
      <c r="G316" s="33"/>
      <c r="H316"/>
      <c r="I316"/>
      <c r="J316" s="65"/>
      <c r="K316"/>
      <c r="O316"/>
      <c r="P316" s="58"/>
    </row>
    <row r="317" spans="1:16" s="40" customFormat="1" ht="15.75" customHeight="1">
      <c r="A317"/>
      <c r="B317" s="31"/>
      <c r="C317"/>
      <c r="D317" s="25"/>
      <c r="E317"/>
      <c r="F317"/>
      <c r="G317" s="33"/>
      <c r="H317"/>
      <c r="I317"/>
      <c r="J317" s="65"/>
      <c r="K317"/>
      <c r="O317"/>
      <c r="P317" s="58"/>
    </row>
    <row r="318" spans="1:16" s="40" customFormat="1" ht="15.75" customHeight="1">
      <c r="A318"/>
      <c r="B318" s="31"/>
      <c r="C318"/>
      <c r="D318" s="25"/>
      <c r="E318"/>
      <c r="F318"/>
      <c r="G318" s="33"/>
      <c r="H318"/>
      <c r="I318"/>
      <c r="J318" s="65"/>
      <c r="K318"/>
      <c r="O318"/>
      <c r="P318" s="58"/>
    </row>
    <row r="319" spans="1:16" s="40" customFormat="1" ht="15.75" customHeight="1">
      <c r="A319"/>
      <c r="B319" s="31"/>
      <c r="C319"/>
      <c r="D319" s="25"/>
      <c r="E319"/>
      <c r="F319"/>
      <c r="G319" s="33"/>
      <c r="H319"/>
      <c r="I319"/>
      <c r="J319" s="65"/>
      <c r="K319"/>
      <c r="O319"/>
      <c r="P319" s="58"/>
    </row>
    <row r="320" spans="1:16" s="40" customFormat="1" ht="15.75" customHeight="1">
      <c r="A320"/>
      <c r="B320" s="31"/>
      <c r="C320"/>
      <c r="D320" s="25"/>
      <c r="E320"/>
      <c r="F320"/>
      <c r="G320" s="33"/>
      <c r="H320"/>
      <c r="I320"/>
      <c r="J320" s="65"/>
      <c r="K320"/>
      <c r="O320"/>
      <c r="P320" s="58"/>
    </row>
    <row r="321" spans="1:16" s="40" customFormat="1" ht="15.75" customHeight="1">
      <c r="A321"/>
      <c r="B321" s="31"/>
      <c r="C321"/>
      <c r="D321" s="25"/>
      <c r="E321"/>
      <c r="F321"/>
      <c r="G321" s="33"/>
      <c r="H321"/>
      <c r="I321"/>
      <c r="J321" s="65"/>
      <c r="K321"/>
      <c r="O321"/>
      <c r="P321" s="58"/>
    </row>
    <row r="322" spans="1:16" s="40" customFormat="1" ht="15.75" customHeight="1">
      <c r="A322"/>
      <c r="B322" s="31"/>
      <c r="C322"/>
      <c r="D322" s="25"/>
      <c r="E322"/>
      <c r="F322"/>
      <c r="G322" s="33"/>
      <c r="H322"/>
      <c r="I322"/>
      <c r="J322" s="65"/>
      <c r="K322"/>
      <c r="O322"/>
      <c r="P322" s="58"/>
    </row>
    <row r="323" spans="1:16" s="40" customFormat="1" ht="15.75" customHeight="1">
      <c r="A323"/>
      <c r="B323" s="31"/>
      <c r="C323"/>
      <c r="D323" s="25"/>
      <c r="E323"/>
      <c r="F323"/>
      <c r="G323" s="33"/>
      <c r="H323"/>
      <c r="I323"/>
      <c r="J323" s="65"/>
      <c r="K323"/>
      <c r="O323"/>
      <c r="P323" s="58"/>
    </row>
    <row r="324" spans="1:16" s="40" customFormat="1" ht="15.75" customHeight="1">
      <c r="A324"/>
      <c r="B324" s="31"/>
      <c r="C324"/>
      <c r="D324" s="25"/>
      <c r="E324"/>
      <c r="F324"/>
      <c r="G324" s="33"/>
      <c r="H324"/>
      <c r="I324"/>
      <c r="J324" s="65"/>
      <c r="K324"/>
      <c r="O324"/>
      <c r="P324" s="58"/>
    </row>
    <row r="325" spans="1:16" ht="15.75" customHeight="1"/>
    <row r="326" spans="1:16" ht="15.75" customHeight="1"/>
    <row r="327" spans="1:16" ht="15.75" customHeight="1"/>
    <row r="328" spans="1:16" ht="15.75" customHeight="1"/>
    <row r="329" spans="1:16" ht="15.75" customHeight="1"/>
    <row r="330" spans="1:16" ht="15.75" customHeight="1"/>
    <row r="331" spans="1:16" ht="15.75" customHeight="1"/>
    <row r="332" spans="1:16" ht="15.75" customHeight="1"/>
    <row r="333" spans="1:16" ht="15.75" customHeight="1"/>
    <row r="334" spans="1:16" ht="15.75" customHeight="1"/>
    <row r="335" spans="1:16" ht="15.75" customHeight="1"/>
    <row r="336" spans="1:1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honeticPr fontId="5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CF37-EB58-4A2B-9160-D7FE214A1DA1}">
  <dimension ref="A1:Q1016"/>
  <sheetViews>
    <sheetView topLeftCell="E1" zoomScale="80" zoomScaleNormal="80" workbookViewId="0">
      <pane ySplit="2" topLeftCell="A101" activePane="bottomLeft" state="frozen"/>
      <selection pane="bottomLeft" activeCell="G493" sqref="G493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4.14062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37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/>
      <c r="B3" s="28"/>
      <c r="C3" s="5"/>
      <c r="D3" s="22"/>
      <c r="E3" s="17"/>
      <c r="F3" s="5"/>
      <c r="G3" s="17"/>
      <c r="H3" s="6"/>
      <c r="I3" s="6"/>
      <c r="J3" s="62"/>
      <c r="K3" s="6"/>
      <c r="L3" s="36"/>
      <c r="M3" s="42"/>
      <c r="N3" s="53"/>
      <c r="O3" s="48"/>
      <c r="P3" s="51"/>
      <c r="Q3" s="67" t="e">
        <f t="shared" ref="Q3:Q19" si="0">(M3+N3*1.1)/(I3*J3)</f>
        <v>#DIV/0!</v>
      </c>
    </row>
    <row r="4" spans="1:17" ht="18.75" customHeight="1">
      <c r="A4" s="5"/>
      <c r="B4" s="28"/>
      <c r="C4" s="5"/>
      <c r="D4" s="22"/>
      <c r="E4" s="17"/>
      <c r="F4" s="5"/>
      <c r="G4" s="17"/>
      <c r="H4" s="6"/>
      <c r="I4" s="6"/>
      <c r="J4" s="62"/>
      <c r="K4" s="6"/>
      <c r="L4" s="36"/>
      <c r="M4" s="42"/>
      <c r="N4" s="53"/>
      <c r="O4" s="48"/>
      <c r="P4" s="51"/>
      <c r="Q4" s="67" t="e">
        <f t="shared" si="0"/>
        <v>#DIV/0!</v>
      </c>
    </row>
    <row r="5" spans="1:17" ht="18.75" customHeight="1">
      <c r="A5" s="5"/>
      <c r="B5" s="28"/>
      <c r="C5" s="5"/>
      <c r="D5" s="22"/>
      <c r="E5" s="17"/>
      <c r="F5" s="5"/>
      <c r="G5" s="17"/>
      <c r="H5" s="6"/>
      <c r="I5" s="6"/>
      <c r="J5" s="62"/>
      <c r="K5" s="6"/>
      <c r="L5" s="36"/>
      <c r="M5" s="42"/>
      <c r="N5" s="53"/>
      <c r="O5" s="48"/>
      <c r="P5" s="51"/>
      <c r="Q5" s="67" t="e">
        <f t="shared" si="0"/>
        <v>#DIV/0!</v>
      </c>
    </row>
    <row r="6" spans="1:17" ht="18.75" customHeight="1">
      <c r="A6" s="5"/>
      <c r="B6" s="28"/>
      <c r="C6" s="5"/>
      <c r="D6" s="22"/>
      <c r="E6" s="17"/>
      <c r="F6" s="5"/>
      <c r="G6" s="17"/>
      <c r="H6" s="6"/>
      <c r="I6" s="6"/>
      <c r="J6" s="62"/>
      <c r="K6" s="6"/>
      <c r="L6" s="36"/>
      <c r="M6" s="42"/>
      <c r="N6" s="53"/>
      <c r="O6" s="48"/>
      <c r="P6" s="51"/>
      <c r="Q6" s="67" t="e">
        <f t="shared" si="0"/>
        <v>#DIV/0!</v>
      </c>
    </row>
    <row r="7" spans="1:17" ht="18.75" customHeight="1">
      <c r="A7" s="5"/>
      <c r="B7" s="28"/>
      <c r="C7" s="5"/>
      <c r="D7" s="22"/>
      <c r="E7" s="17"/>
      <c r="F7" s="5"/>
      <c r="G7" s="17"/>
      <c r="H7" s="6"/>
      <c r="I7" s="6"/>
      <c r="J7" s="62"/>
      <c r="K7" s="6"/>
      <c r="L7" s="36"/>
      <c r="M7" s="42"/>
      <c r="N7" s="53"/>
      <c r="O7" s="48"/>
      <c r="P7" s="51"/>
      <c r="Q7" s="67" t="e">
        <f t="shared" si="0"/>
        <v>#DIV/0!</v>
      </c>
    </row>
    <row r="8" spans="1:17" ht="18.75" customHeight="1">
      <c r="A8" s="5"/>
      <c r="B8" s="28"/>
      <c r="C8" s="5"/>
      <c r="D8" s="22"/>
      <c r="E8" s="17"/>
      <c r="F8" s="5"/>
      <c r="G8" s="17"/>
      <c r="H8" s="6"/>
      <c r="I8" s="6"/>
      <c r="J8" s="62"/>
      <c r="K8" s="6"/>
      <c r="L8" s="36"/>
      <c r="M8" s="42"/>
      <c r="N8" s="53"/>
      <c r="O8" s="48"/>
      <c r="P8" s="51"/>
      <c r="Q8" s="67" t="e">
        <f t="shared" si="0"/>
        <v>#DIV/0!</v>
      </c>
    </row>
    <row r="9" spans="1:17" ht="18.75" customHeight="1">
      <c r="A9" s="5"/>
      <c r="B9" s="28"/>
      <c r="C9" s="5"/>
      <c r="D9" s="22"/>
      <c r="E9" s="17"/>
      <c r="F9" s="5"/>
      <c r="G9" s="17"/>
      <c r="H9" s="6"/>
      <c r="I9" s="6"/>
      <c r="J9" s="62"/>
      <c r="K9" s="6"/>
      <c r="L9" s="36"/>
      <c r="M9" s="42"/>
      <c r="N9" s="53"/>
      <c r="O9" s="48"/>
      <c r="P9" s="51"/>
      <c r="Q9" s="67" t="e">
        <f t="shared" si="0"/>
        <v>#DIV/0!</v>
      </c>
    </row>
    <row r="10" spans="1:17" ht="18.75" customHeight="1">
      <c r="A10" s="5"/>
      <c r="B10" s="28"/>
      <c r="C10" s="5"/>
      <c r="D10" s="22"/>
      <c r="E10" s="17"/>
      <c r="F10" s="5"/>
      <c r="G10" s="17"/>
      <c r="H10" s="6"/>
      <c r="I10" s="6"/>
      <c r="J10" s="62"/>
      <c r="K10" s="6"/>
      <c r="L10" s="36"/>
      <c r="M10" s="42"/>
      <c r="N10" s="53"/>
      <c r="O10" s="48"/>
      <c r="P10" s="51"/>
      <c r="Q10" s="67" t="e">
        <f t="shared" si="0"/>
        <v>#DIV/0!</v>
      </c>
    </row>
    <row r="11" spans="1:17" ht="18.75" customHeight="1">
      <c r="A11" s="5"/>
      <c r="B11" s="28"/>
      <c r="C11" s="5"/>
      <c r="D11" s="22"/>
      <c r="E11" s="17"/>
      <c r="F11" s="5"/>
      <c r="G11" s="17"/>
      <c r="H11" s="6"/>
      <c r="I11" s="6"/>
      <c r="J11" s="62"/>
      <c r="K11" s="6"/>
      <c r="L11" s="36"/>
      <c r="M11" s="42"/>
      <c r="N11" s="53"/>
      <c r="O11" s="48"/>
      <c r="P11" s="51"/>
      <c r="Q11" s="67" t="e">
        <f t="shared" si="0"/>
        <v>#DIV/0!</v>
      </c>
    </row>
    <row r="12" spans="1:17" ht="18.75" customHeight="1">
      <c r="A12" s="5"/>
      <c r="B12" s="28"/>
      <c r="C12" s="5"/>
      <c r="D12" s="22"/>
      <c r="E12" s="17"/>
      <c r="F12" s="5"/>
      <c r="G12" s="17"/>
      <c r="H12" s="6"/>
      <c r="I12" s="6"/>
      <c r="J12" s="62"/>
      <c r="K12" s="6"/>
      <c r="L12" s="36"/>
      <c r="M12" s="42"/>
      <c r="N12" s="53"/>
      <c r="O12" s="48"/>
      <c r="P12" s="51"/>
      <c r="Q12" s="67" t="e">
        <f t="shared" si="0"/>
        <v>#DIV/0!</v>
      </c>
    </row>
    <row r="13" spans="1:17" ht="18.75" customHeight="1">
      <c r="A13" s="5"/>
      <c r="B13" s="28"/>
      <c r="C13" s="5"/>
      <c r="D13" s="22"/>
      <c r="E13" s="17"/>
      <c r="F13" s="5"/>
      <c r="G13" s="17"/>
      <c r="H13" s="6"/>
      <c r="I13" s="6"/>
      <c r="J13" s="62"/>
      <c r="K13" s="6"/>
      <c r="L13" s="36"/>
      <c r="M13" s="42"/>
      <c r="N13" s="53"/>
      <c r="O13" s="48"/>
      <c r="P13" s="51"/>
      <c r="Q13" s="67" t="e">
        <f t="shared" si="0"/>
        <v>#DIV/0!</v>
      </c>
    </row>
    <row r="14" spans="1:17" ht="18.75" customHeight="1">
      <c r="A14" s="5"/>
      <c r="B14" s="28"/>
      <c r="C14" s="5"/>
      <c r="D14" s="22"/>
      <c r="E14" s="17"/>
      <c r="F14" s="5"/>
      <c r="G14" s="17"/>
      <c r="H14" s="6"/>
      <c r="I14" s="6"/>
      <c r="J14" s="62"/>
      <c r="K14" s="6"/>
      <c r="L14" s="36"/>
      <c r="M14" s="42"/>
      <c r="N14" s="56"/>
      <c r="O14" s="48"/>
      <c r="P14" s="51"/>
      <c r="Q14" s="67" t="e">
        <f t="shared" si="0"/>
        <v>#DIV/0!</v>
      </c>
    </row>
    <row r="15" spans="1:17" ht="18.75" customHeight="1">
      <c r="A15" s="5"/>
      <c r="B15" s="28"/>
      <c r="C15" s="5"/>
      <c r="D15" s="22"/>
      <c r="E15" s="17"/>
      <c r="F15" s="5"/>
      <c r="G15" s="17"/>
      <c r="H15" s="6"/>
      <c r="I15" s="6"/>
      <c r="J15" s="62"/>
      <c r="K15" s="6"/>
      <c r="L15" s="36"/>
      <c r="M15" s="42"/>
      <c r="N15" s="53"/>
      <c r="O15" s="48"/>
      <c r="P15" s="51"/>
      <c r="Q15" s="67" t="e">
        <f t="shared" si="0"/>
        <v>#DIV/0!</v>
      </c>
    </row>
    <row r="16" spans="1:17" ht="18.75" customHeight="1">
      <c r="A16" s="5"/>
      <c r="B16" s="28"/>
      <c r="C16" s="5"/>
      <c r="D16" s="22"/>
      <c r="E16" s="17"/>
      <c r="F16" s="5"/>
      <c r="G16" s="17"/>
      <c r="H16" s="6"/>
      <c r="I16" s="6"/>
      <c r="J16" s="62"/>
      <c r="K16" s="6"/>
      <c r="L16" s="36"/>
      <c r="M16" s="42"/>
      <c r="N16" s="53"/>
      <c r="O16" s="48"/>
      <c r="P16" s="51"/>
      <c r="Q16" s="67" t="e">
        <f t="shared" si="0"/>
        <v>#DIV/0!</v>
      </c>
    </row>
    <row r="17" spans="1:17" ht="18.75" customHeight="1">
      <c r="A17" s="5"/>
      <c r="B17" s="28"/>
      <c r="C17" s="5"/>
      <c r="D17" s="22"/>
      <c r="E17" s="17"/>
      <c r="F17" s="5"/>
      <c r="G17" s="17"/>
      <c r="H17" s="6"/>
      <c r="I17" s="6"/>
      <c r="J17" s="62"/>
      <c r="K17" s="6"/>
      <c r="L17" s="36"/>
      <c r="M17" s="42"/>
      <c r="N17" s="53"/>
      <c r="O17" s="48"/>
      <c r="P17" s="51"/>
      <c r="Q17" s="67" t="e">
        <f t="shared" si="0"/>
        <v>#DIV/0!</v>
      </c>
    </row>
    <row r="18" spans="1:17" ht="18.75" customHeight="1">
      <c r="A18" s="5"/>
      <c r="B18" s="28"/>
      <c r="C18" s="5"/>
      <c r="D18" s="22"/>
      <c r="E18" s="17"/>
      <c r="F18" s="5"/>
      <c r="G18" s="17"/>
      <c r="H18" s="6"/>
      <c r="I18" s="6"/>
      <c r="J18" s="62"/>
      <c r="K18" s="6"/>
      <c r="L18" s="36"/>
      <c r="M18" s="42"/>
      <c r="N18" s="53"/>
      <c r="O18" s="48"/>
      <c r="P18" s="51"/>
      <c r="Q18" s="67" t="e">
        <f t="shared" si="0"/>
        <v>#DIV/0!</v>
      </c>
    </row>
    <row r="19" spans="1:17" ht="18.75" customHeight="1">
      <c r="A19" s="5"/>
      <c r="B19" s="28"/>
      <c r="C19" s="5"/>
      <c r="D19" s="22"/>
      <c r="E19" s="17"/>
      <c r="F19" s="5"/>
      <c r="G19" s="17"/>
      <c r="H19" s="6"/>
      <c r="I19" s="6"/>
      <c r="J19" s="62"/>
      <c r="K19" s="6"/>
      <c r="L19" s="36"/>
      <c r="M19" s="42"/>
      <c r="N19" s="53"/>
      <c r="O19" s="48"/>
      <c r="P19" s="51"/>
      <c r="Q19" s="67" t="e">
        <f t="shared" si="0"/>
        <v>#DIV/0!</v>
      </c>
    </row>
    <row r="20" spans="1:17" ht="18.75" customHeight="1">
      <c r="A20" s="5"/>
      <c r="B20" s="28"/>
      <c r="C20" s="5"/>
      <c r="D20" s="22"/>
      <c r="E20" s="17"/>
      <c r="F20" s="5"/>
      <c r="G20" s="17"/>
      <c r="H20" s="6"/>
      <c r="I20" s="6"/>
      <c r="J20" s="62"/>
      <c r="K20" s="6"/>
      <c r="L20" s="36"/>
      <c r="M20" s="42"/>
      <c r="N20" s="53"/>
      <c r="O20" s="48"/>
      <c r="P20" s="51"/>
      <c r="Q20" s="67" t="e">
        <f>(M20+N20*1.1)/(I20*J20)</f>
        <v>#DIV/0!</v>
      </c>
    </row>
    <row r="21" spans="1:17" ht="18.75" customHeight="1">
      <c r="A21" s="5"/>
      <c r="B21" s="28"/>
      <c r="C21" s="5"/>
      <c r="D21" s="22"/>
      <c r="E21" s="17"/>
      <c r="F21" s="5"/>
      <c r="G21" s="17"/>
      <c r="H21" s="6"/>
      <c r="I21" s="6"/>
      <c r="J21" s="62"/>
      <c r="K21" s="6"/>
      <c r="L21" s="36"/>
      <c r="M21" s="42"/>
      <c r="N21" s="53"/>
      <c r="O21" s="48"/>
      <c r="P21" s="51"/>
      <c r="Q21" s="67" t="e">
        <f t="shared" ref="Q21:Q25" si="1">(M21+N21*1.1)/(I21*J21)</f>
        <v>#DIV/0!</v>
      </c>
    </row>
    <row r="22" spans="1:17" ht="18.75" customHeight="1">
      <c r="A22" s="5"/>
      <c r="B22" s="28"/>
      <c r="C22" s="5"/>
      <c r="D22" s="22"/>
      <c r="E22" s="17"/>
      <c r="F22" s="5"/>
      <c r="G22" s="17"/>
      <c r="H22" s="6"/>
      <c r="I22" s="6"/>
      <c r="J22" s="62"/>
      <c r="K22" s="6"/>
      <c r="L22" s="36"/>
      <c r="M22" s="42"/>
      <c r="N22" s="53"/>
      <c r="O22" s="48"/>
      <c r="P22" s="51"/>
      <c r="Q22" s="67" t="e">
        <f t="shared" si="1"/>
        <v>#DIV/0!</v>
      </c>
    </row>
    <row r="23" spans="1:17" ht="18.75" customHeight="1">
      <c r="A23" s="5"/>
      <c r="B23" s="28"/>
      <c r="C23" s="5"/>
      <c r="D23" s="22"/>
      <c r="E23" s="17"/>
      <c r="F23" s="5"/>
      <c r="G23" s="17"/>
      <c r="H23" s="6"/>
      <c r="I23" s="6"/>
      <c r="J23" s="62"/>
      <c r="K23" s="6"/>
      <c r="L23" s="36"/>
      <c r="M23" s="42"/>
      <c r="N23" s="53"/>
      <c r="O23" s="48"/>
      <c r="P23" s="51"/>
      <c r="Q23" s="67" t="e">
        <f t="shared" si="1"/>
        <v>#DIV/0!</v>
      </c>
    </row>
    <row r="24" spans="1:17" ht="18.75" customHeight="1">
      <c r="A24" s="5"/>
      <c r="B24" s="28"/>
      <c r="C24" s="5"/>
      <c r="D24" s="22"/>
      <c r="E24" s="17"/>
      <c r="F24" s="5"/>
      <c r="G24" s="17"/>
      <c r="H24" s="6"/>
      <c r="I24" s="6"/>
      <c r="J24" s="62"/>
      <c r="K24" s="6"/>
      <c r="L24" s="36"/>
      <c r="M24" s="42"/>
      <c r="N24" s="53"/>
      <c r="O24" s="48"/>
      <c r="P24" s="51"/>
      <c r="Q24" s="67" t="e">
        <f t="shared" si="1"/>
        <v>#DIV/0!</v>
      </c>
    </row>
    <row r="25" spans="1:17" ht="18.75" customHeight="1">
      <c r="A25" s="5"/>
      <c r="B25" s="28"/>
      <c r="C25" s="5"/>
      <c r="D25" s="22"/>
      <c r="E25" s="17"/>
      <c r="F25" s="5"/>
      <c r="G25" s="17"/>
      <c r="H25" s="6"/>
      <c r="I25" s="6"/>
      <c r="J25" s="62"/>
      <c r="K25" s="6"/>
      <c r="L25" s="36"/>
      <c r="M25" s="42"/>
      <c r="N25" s="53"/>
      <c r="O25" s="50"/>
      <c r="P25" s="51"/>
      <c r="Q25" s="67" t="e">
        <f t="shared" si="1"/>
        <v>#DIV/0!</v>
      </c>
    </row>
    <row r="26" spans="1:17" ht="18.75" customHeight="1">
      <c r="A26" s="5"/>
      <c r="B26" s="28"/>
      <c r="C26" s="5"/>
      <c r="D26" s="22"/>
      <c r="E26" s="17"/>
      <c r="F26" s="5"/>
      <c r="G26" s="17"/>
      <c r="H26" s="6"/>
      <c r="I26" s="6"/>
      <c r="J26" s="62"/>
      <c r="K26" s="6"/>
      <c r="L26" s="36"/>
      <c r="M26" s="42"/>
      <c r="N26" s="53"/>
      <c r="O26" s="50"/>
      <c r="P26" s="51"/>
      <c r="Q26" s="67"/>
    </row>
    <row r="27" spans="1:17" ht="18.75" customHeight="1">
      <c r="A27" s="5"/>
      <c r="B27" s="28"/>
      <c r="C27" s="5"/>
      <c r="D27" s="22"/>
      <c r="E27" s="17"/>
      <c r="F27" s="5"/>
      <c r="G27" s="17"/>
      <c r="H27" s="6"/>
      <c r="I27" s="6"/>
      <c r="J27" s="62"/>
      <c r="K27" s="6"/>
      <c r="L27" s="36"/>
      <c r="M27" s="42"/>
      <c r="N27" s="53"/>
      <c r="O27" s="50"/>
      <c r="P27" s="51"/>
      <c r="Q27" s="67"/>
    </row>
    <row r="28" spans="1:17" ht="18.75" customHeight="1">
      <c r="A28" s="5"/>
      <c r="B28" s="28"/>
      <c r="C28" s="5"/>
      <c r="D28" s="22"/>
      <c r="E28" s="17"/>
      <c r="F28" s="5"/>
      <c r="G28" s="17"/>
      <c r="H28" s="6"/>
      <c r="I28" s="6"/>
      <c r="J28" s="62"/>
      <c r="K28" s="6"/>
      <c r="L28" s="36"/>
      <c r="M28" s="42"/>
      <c r="N28" s="53"/>
      <c r="O28" s="48"/>
      <c r="P28" s="51"/>
      <c r="Q28" s="67"/>
    </row>
    <row r="29" spans="1:17" ht="18.75" customHeight="1">
      <c r="A29" s="5"/>
      <c r="B29" s="28"/>
      <c r="C29" s="5"/>
      <c r="D29" s="22"/>
      <c r="E29" s="17"/>
      <c r="F29" s="5"/>
      <c r="G29" s="17"/>
      <c r="H29" s="6"/>
      <c r="I29" s="6"/>
      <c r="J29" s="62"/>
      <c r="K29" s="6"/>
      <c r="L29" s="36"/>
      <c r="M29" s="42"/>
      <c r="N29" s="53"/>
      <c r="O29" s="48"/>
      <c r="P29" s="51"/>
      <c r="Q29" s="67"/>
    </row>
    <row r="30" spans="1:17" ht="18.75" customHeight="1">
      <c r="A30" s="5"/>
      <c r="B30" s="28"/>
      <c r="C30" s="5"/>
      <c r="D30" s="22"/>
      <c r="E30" s="17"/>
      <c r="F30" s="5"/>
      <c r="G30" s="17"/>
      <c r="H30" s="6"/>
      <c r="I30" s="6"/>
      <c r="J30" s="62"/>
      <c r="K30" s="6"/>
      <c r="L30" s="36"/>
      <c r="M30" s="42"/>
      <c r="N30" s="53"/>
      <c r="O30" s="48"/>
      <c r="P30" s="51"/>
      <c r="Q30" s="67"/>
    </row>
    <row r="31" spans="1:17" ht="18.75" customHeight="1">
      <c r="A31" s="5"/>
      <c r="B31" s="28"/>
      <c r="C31" s="5"/>
      <c r="D31" s="22"/>
      <c r="E31" s="17"/>
      <c r="F31" s="5"/>
      <c r="G31" s="17"/>
      <c r="H31" s="6"/>
      <c r="I31" s="6"/>
      <c r="J31" s="62"/>
      <c r="K31" s="6"/>
      <c r="L31" s="36"/>
      <c r="M31" s="42"/>
      <c r="N31" s="53"/>
      <c r="O31" s="48"/>
      <c r="P31" s="51"/>
      <c r="Q31" s="67"/>
    </row>
    <row r="32" spans="1:17" ht="18.75" customHeight="1">
      <c r="A32" s="5"/>
      <c r="B32" s="28"/>
      <c r="C32" s="5"/>
      <c r="D32" s="22"/>
      <c r="E32" s="17"/>
      <c r="F32" s="5"/>
      <c r="G32" s="17"/>
      <c r="H32" s="6"/>
      <c r="I32" s="6"/>
      <c r="J32" s="62"/>
      <c r="K32" s="6"/>
      <c r="L32" s="36"/>
      <c r="M32" s="42"/>
      <c r="N32" s="53"/>
      <c r="O32" s="48"/>
      <c r="P32" s="51"/>
      <c r="Q32" s="67" t="e">
        <f t="shared" ref="Q32:Q54" si="2">(M32+N32*1.1)/(I32*J32)</f>
        <v>#DIV/0!</v>
      </c>
    </row>
    <row r="33" spans="1:17" ht="18.75" customHeight="1">
      <c r="A33" s="5"/>
      <c r="B33" s="28"/>
      <c r="C33" s="5"/>
      <c r="D33" s="22"/>
      <c r="E33" s="17"/>
      <c r="F33" s="5"/>
      <c r="G33" s="17"/>
      <c r="H33" s="6"/>
      <c r="I33" s="6"/>
      <c r="J33" s="62"/>
      <c r="K33" s="6"/>
      <c r="L33" s="36"/>
      <c r="M33" s="42"/>
      <c r="N33" s="53"/>
      <c r="O33" s="48"/>
      <c r="P33" s="51"/>
      <c r="Q33" s="67" t="e">
        <f t="shared" si="2"/>
        <v>#DIV/0!</v>
      </c>
    </row>
    <row r="34" spans="1:17" ht="18.75" customHeight="1">
      <c r="A34" s="5"/>
      <c r="B34" s="28"/>
      <c r="C34" s="5"/>
      <c r="D34" s="22"/>
      <c r="E34" s="17"/>
      <c r="F34" s="5"/>
      <c r="G34" s="17"/>
      <c r="H34" s="6"/>
      <c r="I34" s="6"/>
      <c r="J34" s="62"/>
      <c r="K34" s="6"/>
      <c r="L34" s="36"/>
      <c r="M34" s="42"/>
      <c r="N34" s="53"/>
      <c r="O34" s="48"/>
      <c r="P34" s="51"/>
      <c r="Q34" s="67" t="e">
        <f t="shared" si="2"/>
        <v>#DIV/0!</v>
      </c>
    </row>
    <row r="35" spans="1:17" ht="18.75" customHeight="1">
      <c r="A35" s="5"/>
      <c r="B35" s="28"/>
      <c r="C35" s="5"/>
      <c r="D35" s="22"/>
      <c r="E35" s="17"/>
      <c r="F35" s="5"/>
      <c r="G35" s="17"/>
      <c r="H35" s="6"/>
      <c r="I35" s="6"/>
      <c r="J35" s="62"/>
      <c r="K35" s="6"/>
      <c r="L35" s="36"/>
      <c r="M35" s="42"/>
      <c r="N35" s="53"/>
      <c r="O35" s="48"/>
      <c r="P35" s="51"/>
      <c r="Q35" s="67" t="e">
        <f t="shared" si="2"/>
        <v>#DIV/0!</v>
      </c>
    </row>
    <row r="36" spans="1:17" ht="18.75" customHeight="1">
      <c r="A36" s="5"/>
      <c r="B36" s="28"/>
      <c r="C36" s="5"/>
      <c r="D36" s="22"/>
      <c r="E36" s="17"/>
      <c r="F36" s="5"/>
      <c r="G36" s="17"/>
      <c r="H36" s="6"/>
      <c r="I36" s="6"/>
      <c r="J36" s="62"/>
      <c r="K36" s="6"/>
      <c r="L36" s="36"/>
      <c r="M36" s="42"/>
      <c r="N36" s="53"/>
      <c r="O36" s="48"/>
      <c r="P36" s="51"/>
      <c r="Q36" s="67" t="e">
        <f t="shared" si="2"/>
        <v>#DIV/0!</v>
      </c>
    </row>
    <row r="37" spans="1:17" ht="18.75" customHeight="1">
      <c r="A37" s="5"/>
      <c r="B37" s="28"/>
      <c r="C37" s="5"/>
      <c r="D37" s="22"/>
      <c r="E37" s="17"/>
      <c r="F37" s="5"/>
      <c r="G37" s="17"/>
      <c r="H37" s="6"/>
      <c r="I37" s="6"/>
      <c r="J37" s="62"/>
      <c r="K37" s="6"/>
      <c r="L37" s="36"/>
      <c r="M37" s="42"/>
      <c r="N37" s="53"/>
      <c r="O37" s="48"/>
      <c r="P37" s="51"/>
      <c r="Q37" s="67" t="e">
        <f t="shared" si="2"/>
        <v>#DIV/0!</v>
      </c>
    </row>
    <row r="38" spans="1:17" ht="18.75" customHeight="1">
      <c r="A38" s="5"/>
      <c r="B38" s="28"/>
      <c r="C38" s="5"/>
      <c r="D38" s="22"/>
      <c r="E38" s="17"/>
      <c r="F38" s="5"/>
      <c r="G38" s="17"/>
      <c r="H38" s="6"/>
      <c r="I38" s="6"/>
      <c r="J38" s="62"/>
      <c r="K38" s="6"/>
      <c r="L38" s="36"/>
      <c r="M38" s="42"/>
      <c r="N38" s="53"/>
      <c r="O38" s="48"/>
      <c r="P38" s="51"/>
      <c r="Q38" s="67" t="e">
        <f t="shared" si="2"/>
        <v>#DIV/0!</v>
      </c>
    </row>
    <row r="39" spans="1:17" ht="18.75" customHeight="1">
      <c r="A39" s="5"/>
      <c r="B39" s="28"/>
      <c r="C39" s="5"/>
      <c r="D39" s="22"/>
      <c r="E39" s="17"/>
      <c r="F39" s="5"/>
      <c r="G39" s="17"/>
      <c r="H39" s="6"/>
      <c r="I39" s="6"/>
      <c r="J39" s="62"/>
      <c r="K39" s="6"/>
      <c r="L39" s="36"/>
      <c r="M39" s="42"/>
      <c r="N39" s="53"/>
      <c r="O39" s="48"/>
      <c r="P39" s="51"/>
      <c r="Q39" s="67" t="e">
        <f t="shared" si="2"/>
        <v>#DIV/0!</v>
      </c>
    </row>
    <row r="40" spans="1:17" ht="18.75" customHeight="1">
      <c r="A40" s="5"/>
      <c r="B40" s="28"/>
      <c r="C40" s="5"/>
      <c r="D40" s="22"/>
      <c r="E40" s="17"/>
      <c r="F40" s="5"/>
      <c r="G40" s="17"/>
      <c r="H40" s="6"/>
      <c r="I40" s="6"/>
      <c r="J40" s="62"/>
      <c r="K40" s="6"/>
      <c r="L40" s="36"/>
      <c r="M40" s="42"/>
      <c r="N40" s="53"/>
      <c r="O40" s="48"/>
      <c r="P40" s="51"/>
      <c r="Q40" s="67" t="e">
        <f t="shared" si="2"/>
        <v>#DIV/0!</v>
      </c>
    </row>
    <row r="41" spans="1:17" ht="18.75" customHeight="1">
      <c r="A41" s="5"/>
      <c r="B41" s="28"/>
      <c r="C41" s="5"/>
      <c r="D41" s="22"/>
      <c r="E41" s="17"/>
      <c r="F41" s="5"/>
      <c r="G41" s="17"/>
      <c r="H41" s="6"/>
      <c r="I41" s="6"/>
      <c r="J41" s="62"/>
      <c r="K41" s="6"/>
      <c r="L41" s="36"/>
      <c r="M41" s="42"/>
      <c r="N41" s="53"/>
      <c r="O41" s="48"/>
      <c r="P41" s="51"/>
      <c r="Q41" s="67" t="e">
        <f t="shared" si="2"/>
        <v>#DIV/0!</v>
      </c>
    </row>
    <row r="42" spans="1:17" ht="18.75" customHeight="1">
      <c r="A42" s="5"/>
      <c r="B42" s="28"/>
      <c r="C42" s="5"/>
      <c r="D42" s="22"/>
      <c r="E42" s="17"/>
      <c r="F42" s="5"/>
      <c r="G42" s="17"/>
      <c r="H42" s="6"/>
      <c r="I42" s="6"/>
      <c r="J42" s="62"/>
      <c r="K42" s="6"/>
      <c r="L42" s="36"/>
      <c r="M42" s="42"/>
      <c r="N42" s="53"/>
      <c r="O42" s="48"/>
      <c r="P42" s="51"/>
      <c r="Q42" s="67" t="e">
        <f t="shared" si="2"/>
        <v>#DIV/0!</v>
      </c>
    </row>
    <row r="43" spans="1:17" ht="18.75" customHeight="1">
      <c r="A43" s="5"/>
      <c r="B43" s="28"/>
      <c r="C43" s="5"/>
      <c r="D43" s="22"/>
      <c r="E43" s="17"/>
      <c r="F43" s="5"/>
      <c r="G43" s="17"/>
      <c r="H43" s="6"/>
      <c r="I43" s="6"/>
      <c r="J43" s="62"/>
      <c r="K43" s="6"/>
      <c r="L43" s="36"/>
      <c r="M43" s="42"/>
      <c r="N43" s="56"/>
      <c r="O43" s="48"/>
      <c r="P43" s="51"/>
      <c r="Q43" s="67" t="e">
        <f t="shared" si="2"/>
        <v>#DIV/0!</v>
      </c>
    </row>
    <row r="44" spans="1:17" ht="18.75" customHeight="1">
      <c r="A44" s="5"/>
      <c r="B44" s="28"/>
      <c r="C44" s="5"/>
      <c r="D44" s="22"/>
      <c r="E44" s="17"/>
      <c r="F44" s="5"/>
      <c r="G44" s="17"/>
      <c r="H44" s="6"/>
      <c r="I44" s="6"/>
      <c r="J44" s="62"/>
      <c r="K44" s="6"/>
      <c r="L44" s="36"/>
      <c r="M44" s="42"/>
      <c r="N44" s="53"/>
      <c r="O44" s="48"/>
      <c r="P44" s="51"/>
      <c r="Q44" s="67" t="e">
        <f t="shared" si="2"/>
        <v>#DIV/0!</v>
      </c>
    </row>
    <row r="45" spans="1:17" ht="18.75" customHeight="1">
      <c r="A45" s="5"/>
      <c r="B45" s="28"/>
      <c r="C45" s="5"/>
      <c r="D45" s="22"/>
      <c r="E45" s="17"/>
      <c r="F45" s="5"/>
      <c r="G45" s="17"/>
      <c r="H45" s="6"/>
      <c r="I45" s="6"/>
      <c r="J45" s="62"/>
      <c r="K45" s="6"/>
      <c r="L45" s="36"/>
      <c r="M45" s="42"/>
      <c r="N45" s="53"/>
      <c r="O45" s="48"/>
      <c r="P45" s="51"/>
      <c r="Q45" s="67" t="e">
        <f t="shared" si="2"/>
        <v>#DIV/0!</v>
      </c>
    </row>
    <row r="46" spans="1:17" ht="18.75" customHeight="1">
      <c r="A46" s="5"/>
      <c r="B46" s="28"/>
      <c r="C46" s="5"/>
      <c r="D46" s="22"/>
      <c r="E46" s="17"/>
      <c r="F46" s="5"/>
      <c r="G46" s="17"/>
      <c r="H46" s="6"/>
      <c r="I46" s="6"/>
      <c r="J46" s="62"/>
      <c r="K46" s="6"/>
      <c r="L46" s="36"/>
      <c r="M46" s="42"/>
      <c r="N46" s="53"/>
      <c r="O46" s="48"/>
      <c r="P46" s="51"/>
      <c r="Q46" s="67" t="e">
        <f t="shared" si="2"/>
        <v>#DIV/0!</v>
      </c>
    </row>
    <row r="47" spans="1:17" ht="18.75" customHeight="1">
      <c r="A47" s="5"/>
      <c r="B47" s="28"/>
      <c r="C47" s="5"/>
      <c r="D47" s="22"/>
      <c r="E47" s="17"/>
      <c r="F47" s="5"/>
      <c r="G47" s="17"/>
      <c r="H47" s="6"/>
      <c r="I47" s="6"/>
      <c r="J47" s="62"/>
      <c r="K47" s="6"/>
      <c r="L47" s="36"/>
      <c r="M47" s="42"/>
      <c r="N47" s="53"/>
      <c r="O47" s="48"/>
      <c r="P47" s="51"/>
      <c r="Q47" s="67" t="e">
        <f t="shared" si="2"/>
        <v>#DIV/0!</v>
      </c>
    </row>
    <row r="48" spans="1:17" ht="18.75" customHeight="1">
      <c r="A48" s="5"/>
      <c r="B48" s="28"/>
      <c r="C48" s="5"/>
      <c r="D48" s="22"/>
      <c r="E48" s="17"/>
      <c r="F48" s="5"/>
      <c r="G48" s="17"/>
      <c r="H48" s="6"/>
      <c r="I48" s="6"/>
      <c r="J48" s="62"/>
      <c r="K48" s="6"/>
      <c r="L48" s="36"/>
      <c r="M48" s="42"/>
      <c r="N48" s="53"/>
      <c r="O48" s="48"/>
      <c r="P48" s="51"/>
      <c r="Q48" s="67" t="e">
        <f t="shared" si="2"/>
        <v>#DIV/0!</v>
      </c>
    </row>
    <row r="49" spans="1:17" ht="18.75" customHeight="1">
      <c r="A49" s="5"/>
      <c r="B49" s="28"/>
      <c r="C49" s="5"/>
      <c r="D49" s="22"/>
      <c r="E49" s="17"/>
      <c r="F49" s="5"/>
      <c r="G49" s="17"/>
      <c r="H49" s="6"/>
      <c r="I49" s="6"/>
      <c r="J49" s="62"/>
      <c r="K49" s="6"/>
      <c r="L49" s="36"/>
      <c r="M49" s="42"/>
      <c r="N49" s="53"/>
      <c r="O49" s="48"/>
      <c r="P49" s="51"/>
      <c r="Q49" s="67" t="e">
        <f>(M49+N49*1.1)/(I49*J49)</f>
        <v>#DIV/0!</v>
      </c>
    </row>
    <row r="50" spans="1:17" ht="18.75" customHeight="1">
      <c r="A50" s="5"/>
      <c r="B50" s="28"/>
      <c r="C50" s="5"/>
      <c r="D50" s="22"/>
      <c r="E50" s="17"/>
      <c r="F50" s="5"/>
      <c r="G50" s="17"/>
      <c r="H50" s="6"/>
      <c r="I50" s="6"/>
      <c r="J50" s="62"/>
      <c r="K50" s="6"/>
      <c r="L50" s="36"/>
      <c r="M50" s="42"/>
      <c r="N50" s="53"/>
      <c r="O50" s="48"/>
      <c r="P50" s="51"/>
      <c r="Q50" s="67" t="e">
        <f t="shared" si="2"/>
        <v>#DIV/0!</v>
      </c>
    </row>
    <row r="51" spans="1:17" ht="18.75" customHeight="1">
      <c r="A51" s="5"/>
      <c r="B51" s="28"/>
      <c r="C51" s="5"/>
      <c r="D51" s="22"/>
      <c r="E51" s="17"/>
      <c r="F51" s="5"/>
      <c r="G51" s="17"/>
      <c r="H51" s="6"/>
      <c r="I51" s="6"/>
      <c r="J51" s="62"/>
      <c r="K51" s="6"/>
      <c r="L51" s="36"/>
      <c r="M51" s="42"/>
      <c r="N51" s="53"/>
      <c r="O51" s="48"/>
      <c r="P51" s="51"/>
      <c r="Q51" s="67" t="e">
        <f t="shared" si="2"/>
        <v>#DIV/0!</v>
      </c>
    </row>
    <row r="52" spans="1:17" ht="18.75" customHeight="1">
      <c r="A52" s="5"/>
      <c r="B52" s="28"/>
      <c r="C52" s="5"/>
      <c r="D52" s="22"/>
      <c r="E52" s="17"/>
      <c r="F52" s="5"/>
      <c r="G52" s="17"/>
      <c r="H52" s="6"/>
      <c r="I52" s="6"/>
      <c r="J52" s="62"/>
      <c r="K52" s="6"/>
      <c r="L52" s="36"/>
      <c r="M52" s="42"/>
      <c r="N52" s="53"/>
      <c r="O52" s="48"/>
      <c r="P52" s="51"/>
      <c r="Q52" s="67" t="e">
        <f t="shared" si="2"/>
        <v>#DIV/0!</v>
      </c>
    </row>
    <row r="53" spans="1:17" ht="18.75" customHeight="1">
      <c r="A53" s="5"/>
      <c r="B53" s="28"/>
      <c r="C53" s="5"/>
      <c r="D53" s="22"/>
      <c r="E53" s="17"/>
      <c r="F53" s="5"/>
      <c r="G53" s="17"/>
      <c r="H53" s="6"/>
      <c r="I53" s="6"/>
      <c r="J53" s="62"/>
      <c r="K53" s="6"/>
      <c r="L53" s="36"/>
      <c r="M53" s="42"/>
      <c r="N53" s="53"/>
      <c r="O53" s="48"/>
      <c r="P53" s="51"/>
      <c r="Q53" s="67" t="e">
        <f t="shared" si="2"/>
        <v>#DIV/0!</v>
      </c>
    </row>
    <row r="54" spans="1:17" ht="18.75" customHeight="1">
      <c r="A54" s="5"/>
      <c r="B54" s="28"/>
      <c r="C54" s="5"/>
      <c r="D54" s="22"/>
      <c r="E54" s="17"/>
      <c r="F54" s="5"/>
      <c r="G54" s="17"/>
      <c r="H54" s="6"/>
      <c r="I54" s="6"/>
      <c r="J54" s="62"/>
      <c r="K54" s="6"/>
      <c r="L54" s="36"/>
      <c r="M54" s="42"/>
      <c r="N54" s="53"/>
      <c r="O54" s="50"/>
      <c r="P54" s="51"/>
      <c r="Q54" s="67" t="e">
        <f t="shared" si="2"/>
        <v>#DIV/0!</v>
      </c>
    </row>
    <row r="55" spans="1:17" ht="18.75" customHeight="1">
      <c r="A55" s="5"/>
      <c r="B55" s="28"/>
      <c r="C55" s="5"/>
      <c r="D55" s="22"/>
      <c r="E55" s="17"/>
      <c r="F55" s="5"/>
      <c r="G55" s="17"/>
      <c r="H55" s="6"/>
      <c r="I55" s="6"/>
      <c r="J55" s="62"/>
      <c r="K55" s="6"/>
      <c r="L55" s="36"/>
      <c r="M55" s="42"/>
      <c r="N55" s="53"/>
      <c r="O55" s="50"/>
      <c r="P55" s="51"/>
      <c r="Q55" s="67"/>
    </row>
    <row r="56" spans="1:17" ht="18.75" customHeight="1">
      <c r="A56" s="5"/>
      <c r="B56" s="28"/>
      <c r="C56" s="5"/>
      <c r="D56" s="22"/>
      <c r="E56" s="17"/>
      <c r="F56" s="5"/>
      <c r="G56" s="17"/>
      <c r="H56" s="6"/>
      <c r="I56" s="6"/>
      <c r="J56" s="62"/>
      <c r="K56" s="6"/>
      <c r="L56" s="36"/>
      <c r="M56" s="42"/>
      <c r="N56" s="53"/>
      <c r="O56" s="50"/>
      <c r="P56" s="51"/>
      <c r="Q56" s="67"/>
    </row>
    <row r="57" spans="1:17" ht="18.75" customHeight="1">
      <c r="A57" s="5"/>
      <c r="B57" s="28"/>
      <c r="C57" s="5"/>
      <c r="D57" s="22"/>
      <c r="E57" s="17"/>
      <c r="F57" s="5"/>
      <c r="G57" s="17"/>
      <c r="H57" s="6"/>
      <c r="I57" s="6"/>
      <c r="J57" s="62"/>
      <c r="K57" s="6"/>
      <c r="L57" s="36"/>
      <c r="M57" s="42"/>
      <c r="N57" s="53"/>
      <c r="O57" s="48"/>
      <c r="P57" s="51"/>
      <c r="Q57" s="67"/>
    </row>
    <row r="58" spans="1:17" ht="18.75" customHeight="1">
      <c r="A58" s="5"/>
      <c r="B58" s="28"/>
      <c r="C58" s="5"/>
      <c r="D58" s="22"/>
      <c r="E58" s="17"/>
      <c r="F58" s="5"/>
      <c r="G58" s="17"/>
      <c r="H58" s="6"/>
      <c r="I58" s="6"/>
      <c r="J58" s="62"/>
      <c r="K58" s="6"/>
      <c r="L58" s="36"/>
      <c r="M58" s="42"/>
      <c r="N58" s="53"/>
      <c r="O58" s="48"/>
      <c r="P58" s="51"/>
      <c r="Q58" s="67"/>
    </row>
    <row r="59" spans="1:17" ht="18.75" customHeight="1">
      <c r="A59" s="5"/>
      <c r="B59" s="28"/>
      <c r="C59" s="5"/>
      <c r="D59" s="22"/>
      <c r="E59" s="17"/>
      <c r="F59" s="5"/>
      <c r="G59" s="17"/>
      <c r="H59" s="6"/>
      <c r="I59" s="6"/>
      <c r="J59" s="62"/>
      <c r="K59" s="6"/>
      <c r="L59" s="36"/>
      <c r="M59" s="42"/>
      <c r="N59" s="53"/>
      <c r="O59" s="48"/>
      <c r="P59" s="51"/>
      <c r="Q59" s="67"/>
    </row>
    <row r="60" spans="1:17" ht="18.75" customHeight="1">
      <c r="A60" s="5"/>
      <c r="B60" s="28"/>
      <c r="C60" s="5"/>
      <c r="D60" s="22"/>
      <c r="E60" s="17"/>
      <c r="F60" s="5"/>
      <c r="G60" s="17"/>
      <c r="H60" s="6"/>
      <c r="I60" s="6"/>
      <c r="J60" s="62"/>
      <c r="K60" s="6"/>
      <c r="L60" s="36"/>
      <c r="M60" s="42"/>
      <c r="N60" s="53"/>
      <c r="O60" s="48"/>
      <c r="P60" s="51"/>
      <c r="Q60" s="67"/>
    </row>
    <row r="61" spans="1:17" ht="18.75" customHeight="1">
      <c r="A61" s="14"/>
      <c r="B61" s="29"/>
      <c r="C61" s="14"/>
      <c r="D61" s="23"/>
      <c r="E61" s="18"/>
      <c r="F61" s="14"/>
      <c r="G61" s="18"/>
      <c r="H61" s="15"/>
      <c r="I61" s="15"/>
      <c r="J61" s="63"/>
      <c r="K61" s="15"/>
      <c r="L61" s="38"/>
      <c r="M61" s="44"/>
      <c r="N61" s="55"/>
      <c r="O61" s="48"/>
      <c r="P61" s="51"/>
      <c r="Q61" s="67"/>
    </row>
    <row r="62" spans="1:17" ht="18.75" customHeight="1">
      <c r="A62" s="5"/>
      <c r="B62" s="28"/>
      <c r="C62" s="5"/>
      <c r="D62" s="22"/>
      <c r="E62" s="17"/>
      <c r="F62" s="5"/>
      <c r="G62" s="17"/>
      <c r="H62" s="6"/>
      <c r="I62" s="6"/>
      <c r="J62" s="62"/>
      <c r="K62" s="6"/>
      <c r="L62" s="36"/>
      <c r="M62" s="42"/>
      <c r="N62" s="56"/>
      <c r="O62" s="48"/>
      <c r="P62" s="51"/>
      <c r="Q62" s="67"/>
    </row>
    <row r="63" spans="1:17" ht="18.75" customHeight="1">
      <c r="A63" s="134"/>
      <c r="B63" s="28"/>
      <c r="C63" s="5"/>
      <c r="D63" s="22"/>
      <c r="E63" s="135"/>
      <c r="F63" s="134"/>
      <c r="G63" s="17"/>
      <c r="H63" s="16"/>
      <c r="I63" s="16"/>
      <c r="J63" s="136"/>
      <c r="K63" s="16"/>
      <c r="L63" s="36"/>
      <c r="M63" s="45"/>
      <c r="N63" s="53"/>
      <c r="O63" s="50"/>
      <c r="P63" s="51"/>
      <c r="Q63" s="67"/>
    </row>
    <row r="64" spans="1:17" ht="18.75" customHeight="1">
      <c r="A64" s="5"/>
      <c r="B64" s="28"/>
      <c r="C64" s="5"/>
      <c r="D64" s="22"/>
      <c r="E64" s="17"/>
      <c r="F64" s="5"/>
      <c r="G64" s="17"/>
      <c r="H64" s="6"/>
      <c r="I64" s="6"/>
      <c r="J64" s="62"/>
      <c r="K64" s="6"/>
      <c r="L64" s="36"/>
      <c r="M64" s="42"/>
      <c r="N64" s="53"/>
      <c r="O64" s="48"/>
      <c r="P64" s="51"/>
      <c r="Q64" s="67"/>
    </row>
    <row r="65" spans="1:17" ht="18.75" customHeight="1">
      <c r="A65" s="5"/>
      <c r="B65" s="28"/>
      <c r="C65" s="5"/>
      <c r="D65" s="22"/>
      <c r="E65" s="17"/>
      <c r="F65" s="5"/>
      <c r="G65" s="17"/>
      <c r="H65" s="6"/>
      <c r="I65" s="6"/>
      <c r="J65" s="62"/>
      <c r="K65" s="6"/>
      <c r="L65" s="36"/>
      <c r="M65" s="42"/>
      <c r="N65" s="53"/>
      <c r="O65" s="48"/>
      <c r="P65" s="51"/>
      <c r="Q65" s="67"/>
    </row>
    <row r="66" spans="1:17" ht="18.75" customHeight="1">
      <c r="A66" s="5"/>
      <c r="B66" s="30"/>
      <c r="C66" s="5"/>
      <c r="D66" s="22"/>
      <c r="E66" s="17"/>
      <c r="F66" s="5"/>
      <c r="G66" s="17"/>
      <c r="H66" s="6"/>
      <c r="I66" s="6"/>
      <c r="J66" s="62"/>
      <c r="K66" s="6"/>
      <c r="L66" s="36"/>
      <c r="M66" s="42"/>
      <c r="N66" s="53"/>
      <c r="O66" s="48"/>
      <c r="P66" s="51"/>
      <c r="Q66" s="67"/>
    </row>
    <row r="67" spans="1:17" ht="18.75" customHeight="1">
      <c r="A67" s="7"/>
      <c r="B67" s="30"/>
      <c r="C67" s="8"/>
      <c r="D67" s="24"/>
      <c r="E67" s="19"/>
      <c r="F67" s="8"/>
      <c r="G67" s="19"/>
      <c r="H67" s="9"/>
      <c r="I67" s="9"/>
      <c r="J67" s="64"/>
      <c r="K67" s="9"/>
      <c r="L67" s="39"/>
      <c r="M67" s="46"/>
      <c r="N67" s="53"/>
      <c r="O67" s="48"/>
      <c r="P67" s="51"/>
      <c r="Q67" s="67"/>
    </row>
    <row r="68" spans="1:17" ht="18.75" customHeight="1">
      <c r="A68" s="137"/>
      <c r="B68" s="28"/>
      <c r="C68" s="5"/>
      <c r="D68" s="22"/>
      <c r="E68" s="17"/>
      <c r="F68" s="5"/>
      <c r="G68" s="17"/>
      <c r="H68" s="6"/>
      <c r="I68" s="6"/>
      <c r="J68" s="62"/>
      <c r="K68" s="6"/>
      <c r="L68" s="36"/>
      <c r="M68" s="46"/>
      <c r="N68" s="53"/>
      <c r="O68" s="48"/>
      <c r="P68" s="51"/>
      <c r="Q68" s="67"/>
    </row>
    <row r="69" spans="1:17" ht="18.75" customHeight="1">
      <c r="A69" s="137"/>
      <c r="B69" s="28"/>
      <c r="C69" s="5"/>
      <c r="D69" s="22"/>
      <c r="E69" s="17"/>
      <c r="F69" s="5"/>
      <c r="G69" s="17"/>
      <c r="H69" s="6"/>
      <c r="I69" s="6"/>
      <c r="J69" s="62"/>
      <c r="K69" s="6"/>
      <c r="L69" s="36"/>
      <c r="M69" s="46"/>
      <c r="N69" s="53"/>
      <c r="O69" s="48"/>
      <c r="P69" s="51"/>
      <c r="Q69" s="67"/>
    </row>
    <row r="70" spans="1:17" ht="18.75" customHeight="1">
      <c r="A70" s="137"/>
      <c r="B70" s="28"/>
      <c r="C70" s="5"/>
      <c r="D70" s="22"/>
      <c r="E70" s="17"/>
      <c r="F70" s="5"/>
      <c r="G70" s="17"/>
      <c r="H70" s="6"/>
      <c r="I70" s="6"/>
      <c r="J70" s="62"/>
      <c r="K70" s="6"/>
      <c r="L70" s="36"/>
      <c r="M70" s="46"/>
      <c r="N70" s="53"/>
      <c r="O70" s="48"/>
      <c r="P70" s="51"/>
      <c r="Q70" s="67"/>
    </row>
    <row r="71" spans="1:17" ht="18.75" customHeight="1">
      <c r="A71" s="10"/>
      <c r="B71" s="138"/>
      <c r="C71" s="134"/>
      <c r="D71" s="139"/>
      <c r="E71" s="135"/>
      <c r="F71" s="134"/>
      <c r="G71" s="135"/>
      <c r="H71" s="16"/>
      <c r="I71" s="16"/>
      <c r="J71" s="136"/>
      <c r="K71" s="16"/>
      <c r="L71" s="140"/>
      <c r="M71" s="45"/>
      <c r="N71" s="53"/>
      <c r="O71" s="48"/>
      <c r="P71" s="51"/>
      <c r="Q71" s="67"/>
    </row>
    <row r="72" spans="1:17" ht="18.75" customHeight="1">
      <c r="A72" s="5"/>
      <c r="B72" s="28"/>
      <c r="C72" s="5"/>
      <c r="D72" s="22"/>
      <c r="E72" s="17"/>
      <c r="F72" s="5"/>
      <c r="G72" s="17"/>
      <c r="H72" s="6"/>
      <c r="I72" s="6"/>
      <c r="J72" s="62"/>
      <c r="K72" s="6"/>
      <c r="L72" s="36"/>
      <c r="M72" s="42"/>
      <c r="N72" s="53"/>
      <c r="O72" s="48"/>
      <c r="P72" s="51"/>
      <c r="Q72" s="67"/>
    </row>
    <row r="73" spans="1:17" ht="18.75" customHeight="1">
      <c r="A73" s="1"/>
      <c r="B73" s="26"/>
      <c r="C73" s="1"/>
      <c r="D73" s="20"/>
      <c r="E73" s="1"/>
      <c r="F73" s="1"/>
      <c r="G73" s="32"/>
      <c r="H73" s="2"/>
      <c r="I73" s="2"/>
      <c r="J73" s="60"/>
      <c r="K73" s="2"/>
      <c r="L73" s="34"/>
      <c r="M73" s="34">
        <f>SUM(M32:N72)</f>
        <v>0</v>
      </c>
      <c r="N73" s="34"/>
      <c r="O73" s="131"/>
    </row>
    <row r="74" spans="1:17" ht="18.75" customHeight="1">
      <c r="A74" s="1"/>
      <c r="B74" s="26"/>
      <c r="C74" s="1"/>
      <c r="D74" s="20"/>
      <c r="E74" s="1"/>
      <c r="F74" s="1"/>
      <c r="G74" s="32"/>
      <c r="H74" s="2"/>
      <c r="I74" s="2"/>
      <c r="J74" s="60"/>
      <c r="K74" s="2"/>
      <c r="L74" s="34"/>
      <c r="M74" s="34"/>
    </row>
    <row r="75" spans="1:17" ht="18.75" customHeight="1">
      <c r="A75" s="122" t="s">
        <v>18</v>
      </c>
      <c r="B75" s="123"/>
      <c r="C75" s="122"/>
      <c r="D75" s="124">
        <v>45921</v>
      </c>
      <c r="E75" s="17" t="s">
        <v>22</v>
      </c>
      <c r="F75" s="122"/>
      <c r="G75" s="132" t="s">
        <v>38</v>
      </c>
      <c r="H75" s="125">
        <v>900</v>
      </c>
      <c r="I75" s="125">
        <v>60</v>
      </c>
      <c r="J75" s="126">
        <v>3</v>
      </c>
      <c r="K75" s="125" t="s">
        <v>21</v>
      </c>
      <c r="L75" s="95">
        <f>H75*I75*J75</f>
        <v>162000</v>
      </c>
      <c r="M75" s="95">
        <f>L75*1.1</f>
        <v>178200</v>
      </c>
      <c r="N75" s="56"/>
      <c r="O75" s="49"/>
      <c r="P75" s="59"/>
      <c r="Q75" s="67">
        <f t="shared" ref="Q75:Q123" si="3">(M75+N75*1.1)/(I75*J75)</f>
        <v>990</v>
      </c>
    </row>
    <row r="76" spans="1:17" ht="18.75" customHeight="1">
      <c r="A76" s="122"/>
      <c r="B76" s="123"/>
      <c r="C76" s="122"/>
      <c r="D76" s="124">
        <v>45921</v>
      </c>
      <c r="E76" s="132" t="s">
        <v>19</v>
      </c>
      <c r="F76" s="122"/>
      <c r="G76" s="132" t="s">
        <v>38</v>
      </c>
      <c r="H76" s="125">
        <v>900</v>
      </c>
      <c r="I76" s="125">
        <v>60</v>
      </c>
      <c r="J76" s="126">
        <v>3</v>
      </c>
      <c r="K76" s="125" t="s">
        <v>21</v>
      </c>
      <c r="L76" s="95">
        <f t="shared" ref="L76:L122" si="4">H76*I76*J76</f>
        <v>162000</v>
      </c>
      <c r="M76" s="95">
        <f>L76*1.1</f>
        <v>178200</v>
      </c>
      <c r="N76" s="56"/>
      <c r="O76" s="49"/>
      <c r="P76" s="59"/>
      <c r="Q76" s="67">
        <f t="shared" si="3"/>
        <v>990</v>
      </c>
    </row>
    <row r="77" spans="1:17" ht="18.75" customHeight="1">
      <c r="A77" s="122"/>
      <c r="B77" s="123"/>
      <c r="C77" s="122"/>
      <c r="D77" s="124">
        <v>45921</v>
      </c>
      <c r="E77" s="17" t="s">
        <v>23</v>
      </c>
      <c r="F77" s="122"/>
      <c r="G77" s="132" t="s">
        <v>38</v>
      </c>
      <c r="H77" s="125">
        <v>900</v>
      </c>
      <c r="I77" s="125">
        <v>60</v>
      </c>
      <c r="J77" s="126">
        <v>1</v>
      </c>
      <c r="K77" s="125" t="s">
        <v>21</v>
      </c>
      <c r="L77" s="95">
        <f t="shared" si="4"/>
        <v>54000</v>
      </c>
      <c r="M77" s="95">
        <f>L77*1.1</f>
        <v>59400.000000000007</v>
      </c>
      <c r="N77" s="56"/>
      <c r="O77" s="49"/>
      <c r="P77" s="59"/>
      <c r="Q77" s="67">
        <f t="shared" si="3"/>
        <v>990.00000000000011</v>
      </c>
    </row>
    <row r="78" spans="1:17" ht="18.75" customHeight="1">
      <c r="A78" s="122"/>
      <c r="B78" s="123"/>
      <c r="C78" s="122"/>
      <c r="D78" s="124">
        <v>45921</v>
      </c>
      <c r="E78" s="132" t="s">
        <v>24</v>
      </c>
      <c r="F78" s="122"/>
      <c r="G78" s="132" t="s">
        <v>38</v>
      </c>
      <c r="H78" s="125">
        <v>900</v>
      </c>
      <c r="I78" s="125">
        <v>60</v>
      </c>
      <c r="J78" s="126">
        <v>2</v>
      </c>
      <c r="K78" s="125" t="s">
        <v>21</v>
      </c>
      <c r="L78" s="95">
        <f t="shared" si="4"/>
        <v>108000</v>
      </c>
      <c r="M78" s="95">
        <f t="shared" ref="M78:M122" si="5">L78*1.1</f>
        <v>118800.00000000001</v>
      </c>
      <c r="N78" s="56"/>
      <c r="O78" s="49"/>
      <c r="P78" s="59"/>
      <c r="Q78" s="67">
        <f t="shared" si="3"/>
        <v>990.00000000000011</v>
      </c>
    </row>
    <row r="79" spans="1:17" ht="18.75" customHeight="1">
      <c r="A79" s="122"/>
      <c r="B79" s="123"/>
      <c r="C79" s="122"/>
      <c r="D79" s="124">
        <v>45921</v>
      </c>
      <c r="E79" s="17" t="s">
        <v>22</v>
      </c>
      <c r="F79" s="122"/>
      <c r="G79" s="132" t="s">
        <v>39</v>
      </c>
      <c r="H79" s="125">
        <v>720</v>
      </c>
      <c r="I79" s="125">
        <v>100</v>
      </c>
      <c r="J79" s="126">
        <v>2</v>
      </c>
      <c r="K79" s="125" t="s">
        <v>21</v>
      </c>
      <c r="L79" s="95">
        <f t="shared" si="4"/>
        <v>144000</v>
      </c>
      <c r="M79" s="95">
        <f t="shared" si="5"/>
        <v>158400</v>
      </c>
      <c r="N79" s="56"/>
      <c r="O79" s="49"/>
      <c r="P79" s="59"/>
      <c r="Q79" s="67">
        <f t="shared" si="3"/>
        <v>792</v>
      </c>
    </row>
    <row r="80" spans="1:17" ht="18.75" customHeight="1">
      <c r="A80" s="122"/>
      <c r="B80" s="123"/>
      <c r="C80" s="122"/>
      <c r="D80" s="124">
        <v>45921</v>
      </c>
      <c r="E80" s="132" t="s">
        <v>19</v>
      </c>
      <c r="F80" s="122"/>
      <c r="G80" s="132" t="s">
        <v>39</v>
      </c>
      <c r="H80" s="125">
        <v>720</v>
      </c>
      <c r="I80" s="125">
        <v>100</v>
      </c>
      <c r="J80" s="126">
        <v>3</v>
      </c>
      <c r="K80" s="125" t="s">
        <v>21</v>
      </c>
      <c r="L80" s="95">
        <f t="shared" si="4"/>
        <v>216000</v>
      </c>
      <c r="M80" s="95">
        <f t="shared" si="5"/>
        <v>237600.00000000003</v>
      </c>
      <c r="N80" s="56"/>
      <c r="O80" s="49"/>
      <c r="P80" s="59"/>
      <c r="Q80" s="67">
        <f t="shared" si="3"/>
        <v>792.00000000000011</v>
      </c>
    </row>
    <row r="81" spans="1:17" ht="18.75" customHeight="1">
      <c r="A81" s="122"/>
      <c r="B81" s="123"/>
      <c r="C81" s="122"/>
      <c r="D81" s="124">
        <v>45921</v>
      </c>
      <c r="E81" s="17" t="s">
        <v>23</v>
      </c>
      <c r="F81" s="122"/>
      <c r="G81" s="132" t="s">
        <v>39</v>
      </c>
      <c r="H81" s="125">
        <v>720</v>
      </c>
      <c r="I81" s="125">
        <v>100</v>
      </c>
      <c r="J81" s="126">
        <v>1</v>
      </c>
      <c r="K81" s="125" t="s">
        <v>21</v>
      </c>
      <c r="L81" s="95">
        <f t="shared" si="4"/>
        <v>72000</v>
      </c>
      <c r="M81" s="95">
        <f t="shared" si="5"/>
        <v>79200</v>
      </c>
      <c r="N81" s="56"/>
      <c r="O81" s="49"/>
      <c r="P81" s="59"/>
      <c r="Q81" s="67">
        <f t="shared" si="3"/>
        <v>792</v>
      </c>
    </row>
    <row r="82" spans="1:17" ht="18.75" customHeight="1">
      <c r="A82" s="122"/>
      <c r="B82" s="123"/>
      <c r="C82" s="122"/>
      <c r="D82" s="124">
        <v>45921</v>
      </c>
      <c r="E82" s="132" t="s">
        <v>24</v>
      </c>
      <c r="F82" s="122"/>
      <c r="G82" s="132" t="s">
        <v>39</v>
      </c>
      <c r="H82" s="125">
        <v>720</v>
      </c>
      <c r="I82" s="125">
        <v>100</v>
      </c>
      <c r="J82" s="126">
        <v>2</v>
      </c>
      <c r="K82" s="125" t="s">
        <v>21</v>
      </c>
      <c r="L82" s="95">
        <f t="shared" si="4"/>
        <v>144000</v>
      </c>
      <c r="M82" s="95">
        <f t="shared" si="5"/>
        <v>158400</v>
      </c>
      <c r="N82" s="56"/>
      <c r="O82" s="49"/>
      <c r="P82" s="59"/>
      <c r="Q82" s="67">
        <f t="shared" si="3"/>
        <v>792</v>
      </c>
    </row>
    <row r="83" spans="1:17" ht="18.75" customHeight="1">
      <c r="A83" s="122"/>
      <c r="B83" s="123"/>
      <c r="C83" s="122"/>
      <c r="D83" s="124">
        <v>45921</v>
      </c>
      <c r="E83" s="17" t="s">
        <v>22</v>
      </c>
      <c r="F83" s="122"/>
      <c r="G83" s="132" t="s">
        <v>25</v>
      </c>
      <c r="H83" s="125">
        <v>850</v>
      </c>
      <c r="I83" s="125">
        <v>100</v>
      </c>
      <c r="J83" s="126">
        <v>2</v>
      </c>
      <c r="K83" s="125" t="s">
        <v>21</v>
      </c>
      <c r="L83" s="95">
        <f t="shared" si="4"/>
        <v>170000</v>
      </c>
      <c r="M83" s="95">
        <f t="shared" si="5"/>
        <v>187000.00000000003</v>
      </c>
      <c r="N83" s="56"/>
      <c r="O83" s="49"/>
      <c r="P83" s="59"/>
      <c r="Q83" s="67">
        <f t="shared" si="3"/>
        <v>935.00000000000011</v>
      </c>
    </row>
    <row r="84" spans="1:17" ht="18.75" customHeight="1">
      <c r="A84" s="122"/>
      <c r="B84" s="123"/>
      <c r="C84" s="122"/>
      <c r="D84" s="124">
        <v>45921</v>
      </c>
      <c r="E84" s="132" t="s">
        <v>19</v>
      </c>
      <c r="F84" s="122"/>
      <c r="G84" s="132" t="s">
        <v>25</v>
      </c>
      <c r="H84" s="125">
        <v>850</v>
      </c>
      <c r="I84" s="125">
        <v>100</v>
      </c>
      <c r="J84" s="126">
        <v>2</v>
      </c>
      <c r="K84" s="125" t="s">
        <v>21</v>
      </c>
      <c r="L84" s="95">
        <f t="shared" si="4"/>
        <v>170000</v>
      </c>
      <c r="M84" s="95">
        <f t="shared" si="5"/>
        <v>187000.00000000003</v>
      </c>
      <c r="N84" s="56"/>
      <c r="O84" s="49"/>
      <c r="P84" s="59"/>
      <c r="Q84" s="67">
        <f t="shared" si="3"/>
        <v>935.00000000000011</v>
      </c>
    </row>
    <row r="85" spans="1:17" ht="18.75" customHeight="1">
      <c r="A85" s="122"/>
      <c r="B85" s="123"/>
      <c r="C85" s="122"/>
      <c r="D85" s="124">
        <v>45921</v>
      </c>
      <c r="E85" s="17" t="s">
        <v>23</v>
      </c>
      <c r="F85" s="122"/>
      <c r="G85" s="132" t="s">
        <v>25</v>
      </c>
      <c r="H85" s="125">
        <v>850</v>
      </c>
      <c r="I85" s="125">
        <v>100</v>
      </c>
      <c r="J85" s="126">
        <v>1</v>
      </c>
      <c r="K85" s="125" t="s">
        <v>21</v>
      </c>
      <c r="L85" s="95">
        <f t="shared" si="4"/>
        <v>85000</v>
      </c>
      <c r="M85" s="95">
        <f t="shared" si="5"/>
        <v>93500.000000000015</v>
      </c>
      <c r="N85" s="56"/>
      <c r="O85" s="49"/>
      <c r="P85" s="59"/>
      <c r="Q85" s="67">
        <f t="shared" si="3"/>
        <v>935.00000000000011</v>
      </c>
    </row>
    <row r="86" spans="1:17" ht="18.75" customHeight="1">
      <c r="A86" s="122"/>
      <c r="B86" s="123"/>
      <c r="C86" s="122"/>
      <c r="D86" s="124">
        <v>45921</v>
      </c>
      <c r="E86" s="132" t="s">
        <v>24</v>
      </c>
      <c r="F86" s="122"/>
      <c r="G86" s="132" t="s">
        <v>25</v>
      </c>
      <c r="H86" s="125">
        <v>850</v>
      </c>
      <c r="I86" s="125">
        <v>100</v>
      </c>
      <c r="J86" s="126">
        <v>2</v>
      </c>
      <c r="K86" s="125" t="s">
        <v>21</v>
      </c>
      <c r="L86" s="95">
        <f t="shared" si="4"/>
        <v>170000</v>
      </c>
      <c r="M86" s="95">
        <f t="shared" si="5"/>
        <v>187000.00000000003</v>
      </c>
      <c r="N86" s="56"/>
      <c r="O86" s="49"/>
      <c r="P86" s="59"/>
      <c r="Q86" s="67">
        <f t="shared" si="3"/>
        <v>935.00000000000011</v>
      </c>
    </row>
    <row r="87" spans="1:17" ht="18.75" customHeight="1">
      <c r="A87" s="122"/>
      <c r="B87" s="123"/>
      <c r="C87" s="122"/>
      <c r="D87" s="124">
        <v>45921</v>
      </c>
      <c r="E87" s="17" t="s">
        <v>22</v>
      </c>
      <c r="F87" s="122"/>
      <c r="G87" s="132" t="s">
        <v>40</v>
      </c>
      <c r="H87" s="125">
        <v>840</v>
      </c>
      <c r="I87" s="125">
        <v>100</v>
      </c>
      <c r="J87" s="126">
        <v>2</v>
      </c>
      <c r="K87" s="125" t="s">
        <v>21</v>
      </c>
      <c r="L87" s="95">
        <f t="shared" si="4"/>
        <v>168000</v>
      </c>
      <c r="M87" s="95">
        <f t="shared" si="5"/>
        <v>184800.00000000003</v>
      </c>
      <c r="N87" s="56"/>
      <c r="O87" s="49"/>
      <c r="P87" s="59"/>
      <c r="Q87" s="67">
        <f t="shared" si="3"/>
        <v>924.00000000000011</v>
      </c>
    </row>
    <row r="88" spans="1:17" ht="18.75" customHeight="1">
      <c r="A88" s="122"/>
      <c r="B88" s="123"/>
      <c r="C88" s="122"/>
      <c r="D88" s="124">
        <v>45921</v>
      </c>
      <c r="E88" s="132" t="s">
        <v>19</v>
      </c>
      <c r="F88" s="122"/>
      <c r="G88" s="132" t="s">
        <v>41</v>
      </c>
      <c r="H88" s="125">
        <v>840</v>
      </c>
      <c r="I88" s="125">
        <v>100</v>
      </c>
      <c r="J88" s="126">
        <v>3</v>
      </c>
      <c r="K88" s="125" t="s">
        <v>21</v>
      </c>
      <c r="L88" s="95">
        <f t="shared" si="4"/>
        <v>252000</v>
      </c>
      <c r="M88" s="95">
        <f t="shared" si="5"/>
        <v>277200</v>
      </c>
      <c r="N88" s="56"/>
      <c r="O88" s="49"/>
      <c r="P88" s="59"/>
      <c r="Q88" s="67">
        <f t="shared" si="3"/>
        <v>924</v>
      </c>
    </row>
    <row r="89" spans="1:17" ht="18.75" customHeight="1">
      <c r="A89" s="122"/>
      <c r="B89" s="123"/>
      <c r="C89" s="122"/>
      <c r="D89" s="124">
        <v>45921</v>
      </c>
      <c r="E89" s="17" t="s">
        <v>23</v>
      </c>
      <c r="F89" s="122"/>
      <c r="G89" s="132" t="s">
        <v>40</v>
      </c>
      <c r="H89" s="125">
        <v>840</v>
      </c>
      <c r="I89" s="125">
        <v>100</v>
      </c>
      <c r="J89" s="126">
        <v>1</v>
      </c>
      <c r="K89" s="125" t="s">
        <v>21</v>
      </c>
      <c r="L89" s="95">
        <f t="shared" si="4"/>
        <v>84000</v>
      </c>
      <c r="M89" s="95">
        <f t="shared" si="5"/>
        <v>92400.000000000015</v>
      </c>
      <c r="N89" s="56"/>
      <c r="O89" s="49"/>
      <c r="P89" s="59"/>
      <c r="Q89" s="67">
        <f t="shared" si="3"/>
        <v>924.00000000000011</v>
      </c>
    </row>
    <row r="90" spans="1:17" ht="18.75" customHeight="1">
      <c r="A90" s="122"/>
      <c r="B90" s="123"/>
      <c r="C90" s="122"/>
      <c r="D90" s="124">
        <v>45921</v>
      </c>
      <c r="E90" s="132" t="s">
        <v>24</v>
      </c>
      <c r="F90" s="122"/>
      <c r="G90" s="132" t="s">
        <v>40</v>
      </c>
      <c r="H90" s="125">
        <v>840</v>
      </c>
      <c r="I90" s="125">
        <v>100</v>
      </c>
      <c r="J90" s="126">
        <v>2</v>
      </c>
      <c r="K90" s="125" t="s">
        <v>21</v>
      </c>
      <c r="L90" s="95">
        <f t="shared" si="4"/>
        <v>168000</v>
      </c>
      <c r="M90" s="95">
        <f t="shared" si="5"/>
        <v>184800.00000000003</v>
      </c>
      <c r="N90" s="56"/>
      <c r="O90" s="49"/>
      <c r="P90" s="59"/>
      <c r="Q90" s="67">
        <f t="shared" si="3"/>
        <v>924.00000000000011</v>
      </c>
    </row>
    <row r="91" spans="1:17" ht="18.75" customHeight="1">
      <c r="A91" s="122"/>
      <c r="B91" s="123"/>
      <c r="C91" s="122"/>
      <c r="D91" s="124">
        <v>45921</v>
      </c>
      <c r="E91" s="17" t="s">
        <v>22</v>
      </c>
      <c r="F91" s="122"/>
      <c r="G91" s="132" t="s">
        <v>42</v>
      </c>
      <c r="H91" s="125">
        <v>960</v>
      </c>
      <c r="I91" s="125">
        <v>80</v>
      </c>
      <c r="J91" s="126">
        <v>1</v>
      </c>
      <c r="K91" s="125" t="s">
        <v>21</v>
      </c>
      <c r="L91" s="95">
        <f t="shared" si="4"/>
        <v>76800</v>
      </c>
      <c r="M91" s="95">
        <f t="shared" si="5"/>
        <v>84480</v>
      </c>
      <c r="N91" s="56"/>
      <c r="O91" s="49"/>
      <c r="P91" s="59"/>
      <c r="Q91" s="67">
        <f t="shared" si="3"/>
        <v>1056</v>
      </c>
    </row>
    <row r="92" spans="1:17" ht="18.75" customHeight="1">
      <c r="A92" s="122"/>
      <c r="B92" s="123"/>
      <c r="C92" s="122"/>
      <c r="D92" s="124">
        <v>45921</v>
      </c>
      <c r="E92" s="132" t="s">
        <v>19</v>
      </c>
      <c r="F92" s="122"/>
      <c r="G92" s="132" t="s">
        <v>43</v>
      </c>
      <c r="H92" s="125">
        <v>960</v>
      </c>
      <c r="I92" s="125">
        <v>80</v>
      </c>
      <c r="J92" s="126">
        <v>1</v>
      </c>
      <c r="K92" s="125" t="s">
        <v>21</v>
      </c>
      <c r="L92" s="95">
        <f t="shared" si="4"/>
        <v>76800</v>
      </c>
      <c r="M92" s="95">
        <f t="shared" si="5"/>
        <v>84480</v>
      </c>
      <c r="N92" s="56"/>
      <c r="O92" s="49"/>
      <c r="P92" s="59"/>
      <c r="Q92" s="67">
        <f t="shared" si="3"/>
        <v>1056</v>
      </c>
    </row>
    <row r="93" spans="1:17" ht="18.75" customHeight="1">
      <c r="A93" s="122"/>
      <c r="B93" s="123"/>
      <c r="C93" s="122"/>
      <c r="D93" s="124">
        <v>45921</v>
      </c>
      <c r="E93" s="17" t="s">
        <v>23</v>
      </c>
      <c r="F93" s="122"/>
      <c r="G93" s="132" t="s">
        <v>43</v>
      </c>
      <c r="H93" s="125">
        <v>960</v>
      </c>
      <c r="I93" s="125">
        <v>80</v>
      </c>
      <c r="J93" s="126">
        <v>1</v>
      </c>
      <c r="K93" s="125" t="s">
        <v>21</v>
      </c>
      <c r="L93" s="95">
        <f t="shared" si="4"/>
        <v>76800</v>
      </c>
      <c r="M93" s="95">
        <f t="shared" si="5"/>
        <v>84480</v>
      </c>
      <c r="N93" s="56"/>
      <c r="O93" s="49"/>
      <c r="P93" s="59"/>
      <c r="Q93" s="67">
        <f t="shared" si="3"/>
        <v>1056</v>
      </c>
    </row>
    <row r="94" spans="1:17" ht="18.75" customHeight="1">
      <c r="A94" s="122"/>
      <c r="B94" s="123"/>
      <c r="C94" s="122"/>
      <c r="D94" s="124">
        <v>45921</v>
      </c>
      <c r="E94" s="132" t="s">
        <v>24</v>
      </c>
      <c r="F94" s="122"/>
      <c r="G94" s="132" t="s">
        <v>43</v>
      </c>
      <c r="H94" s="125">
        <v>960</v>
      </c>
      <c r="I94" s="125">
        <v>80</v>
      </c>
      <c r="J94" s="126">
        <v>1</v>
      </c>
      <c r="K94" s="125" t="s">
        <v>21</v>
      </c>
      <c r="L94" s="95">
        <f t="shared" si="4"/>
        <v>76800</v>
      </c>
      <c r="M94" s="95">
        <f t="shared" ref="M94:M106" si="6">L94*1.1</f>
        <v>84480</v>
      </c>
      <c r="N94" s="56"/>
      <c r="O94" s="49"/>
      <c r="P94" s="59"/>
      <c r="Q94" s="67">
        <f t="shared" si="3"/>
        <v>1056</v>
      </c>
    </row>
    <row r="95" spans="1:17" ht="18.75" customHeight="1">
      <c r="A95" s="122"/>
      <c r="B95" s="123"/>
      <c r="C95" s="122"/>
      <c r="D95" s="124">
        <v>45921</v>
      </c>
      <c r="E95" s="17" t="s">
        <v>22</v>
      </c>
      <c r="F95" s="122"/>
      <c r="G95" s="132" t="s">
        <v>44</v>
      </c>
      <c r="H95" s="125">
        <v>720</v>
      </c>
      <c r="I95" s="125">
        <v>100</v>
      </c>
      <c r="J95" s="126">
        <v>1</v>
      </c>
      <c r="K95" s="125" t="s">
        <v>21</v>
      </c>
      <c r="L95" s="95">
        <f t="shared" si="4"/>
        <v>72000</v>
      </c>
      <c r="M95" s="95">
        <f t="shared" si="6"/>
        <v>79200</v>
      </c>
      <c r="N95" s="56"/>
      <c r="O95" s="49"/>
      <c r="P95" s="59"/>
      <c r="Q95" s="67">
        <f t="shared" si="3"/>
        <v>792</v>
      </c>
    </row>
    <row r="96" spans="1:17" ht="18.75" customHeight="1">
      <c r="A96" s="122"/>
      <c r="B96" s="123"/>
      <c r="C96" s="122"/>
      <c r="D96" s="124">
        <v>45921</v>
      </c>
      <c r="E96" s="132" t="s">
        <v>19</v>
      </c>
      <c r="F96" s="122"/>
      <c r="G96" s="132" t="s">
        <v>45</v>
      </c>
      <c r="H96" s="125">
        <v>720</v>
      </c>
      <c r="I96" s="125">
        <v>100</v>
      </c>
      <c r="J96" s="126">
        <v>1</v>
      </c>
      <c r="K96" s="125" t="s">
        <v>21</v>
      </c>
      <c r="L96" s="95">
        <f t="shared" si="4"/>
        <v>72000</v>
      </c>
      <c r="M96" s="95">
        <f t="shared" si="6"/>
        <v>79200</v>
      </c>
      <c r="N96" s="56"/>
      <c r="O96" s="49"/>
      <c r="P96" s="59"/>
      <c r="Q96" s="67">
        <f t="shared" si="3"/>
        <v>792</v>
      </c>
    </row>
    <row r="97" spans="1:17" ht="18.75" customHeight="1">
      <c r="A97" s="122"/>
      <c r="B97" s="123"/>
      <c r="C97" s="122"/>
      <c r="D97" s="124">
        <v>45921</v>
      </c>
      <c r="E97" s="17" t="s">
        <v>22</v>
      </c>
      <c r="F97" s="122"/>
      <c r="G97" s="132" t="s">
        <v>26</v>
      </c>
      <c r="H97" s="125">
        <v>720</v>
      </c>
      <c r="I97" s="125">
        <v>100</v>
      </c>
      <c r="J97" s="126">
        <v>1</v>
      </c>
      <c r="K97" s="125" t="s">
        <v>21</v>
      </c>
      <c r="L97" s="95">
        <f t="shared" si="4"/>
        <v>72000</v>
      </c>
      <c r="M97" s="95">
        <f t="shared" si="6"/>
        <v>79200</v>
      </c>
      <c r="N97" s="56"/>
      <c r="O97" s="49"/>
      <c r="P97" s="59"/>
      <c r="Q97" s="67">
        <f t="shared" si="3"/>
        <v>792</v>
      </c>
    </row>
    <row r="98" spans="1:17" ht="18.75" customHeight="1">
      <c r="A98" s="122"/>
      <c r="B98" s="123"/>
      <c r="C98" s="122"/>
      <c r="D98" s="124">
        <v>45921</v>
      </c>
      <c r="E98" s="132" t="s">
        <v>19</v>
      </c>
      <c r="F98" s="122"/>
      <c r="G98" s="132" t="s">
        <v>26</v>
      </c>
      <c r="H98" s="125">
        <v>720</v>
      </c>
      <c r="I98" s="125">
        <v>100</v>
      </c>
      <c r="J98" s="126">
        <v>1</v>
      </c>
      <c r="K98" s="125" t="s">
        <v>21</v>
      </c>
      <c r="L98" s="95">
        <f t="shared" si="4"/>
        <v>72000</v>
      </c>
      <c r="M98" s="95">
        <f t="shared" si="6"/>
        <v>79200</v>
      </c>
      <c r="N98" s="56"/>
      <c r="O98" s="49"/>
      <c r="P98" s="59"/>
      <c r="Q98" s="67">
        <f t="shared" si="3"/>
        <v>792</v>
      </c>
    </row>
    <row r="99" spans="1:17" ht="18.75" customHeight="1">
      <c r="A99" s="122"/>
      <c r="B99" s="123"/>
      <c r="C99" s="122"/>
      <c r="D99" s="124">
        <v>45921</v>
      </c>
      <c r="E99" s="17" t="s">
        <v>23</v>
      </c>
      <c r="F99" s="122"/>
      <c r="G99" s="132" t="s">
        <v>26</v>
      </c>
      <c r="H99" s="125">
        <v>720</v>
      </c>
      <c r="I99" s="125">
        <v>100</v>
      </c>
      <c r="J99" s="126">
        <v>1</v>
      </c>
      <c r="K99" s="125" t="s">
        <v>21</v>
      </c>
      <c r="L99" s="95">
        <f t="shared" si="4"/>
        <v>72000</v>
      </c>
      <c r="M99" s="95">
        <f t="shared" si="6"/>
        <v>79200</v>
      </c>
      <c r="N99" s="56"/>
      <c r="O99" s="49"/>
      <c r="P99" s="59"/>
      <c r="Q99" s="67">
        <f t="shared" si="3"/>
        <v>792</v>
      </c>
    </row>
    <row r="100" spans="1:17" ht="18.75" customHeight="1">
      <c r="A100" s="122"/>
      <c r="B100" s="123"/>
      <c r="C100" s="122"/>
      <c r="D100" s="124">
        <v>45921</v>
      </c>
      <c r="E100" s="132" t="s">
        <v>24</v>
      </c>
      <c r="F100" s="122"/>
      <c r="G100" s="132" t="s">
        <v>46</v>
      </c>
      <c r="H100" s="125">
        <v>720</v>
      </c>
      <c r="I100" s="125">
        <v>100</v>
      </c>
      <c r="J100" s="126">
        <v>1</v>
      </c>
      <c r="K100" s="125" t="s">
        <v>21</v>
      </c>
      <c r="L100" s="95">
        <f t="shared" si="4"/>
        <v>72000</v>
      </c>
      <c r="M100" s="95">
        <f t="shared" si="6"/>
        <v>79200</v>
      </c>
      <c r="N100" s="56"/>
      <c r="O100" s="49"/>
      <c r="P100" s="59"/>
      <c r="Q100" s="67">
        <f t="shared" si="3"/>
        <v>792</v>
      </c>
    </row>
    <row r="101" spans="1:17" ht="18.75" customHeight="1">
      <c r="A101" s="122"/>
      <c r="B101" s="123"/>
      <c r="C101" s="122"/>
      <c r="D101" s="124">
        <v>45921</v>
      </c>
      <c r="E101" s="17" t="s">
        <v>22</v>
      </c>
      <c r="F101" s="122"/>
      <c r="G101" s="132" t="s">
        <v>47</v>
      </c>
      <c r="H101" s="125">
        <v>695</v>
      </c>
      <c r="I101" s="125">
        <v>100</v>
      </c>
      <c r="J101" s="126">
        <v>1</v>
      </c>
      <c r="K101" s="125" t="s">
        <v>21</v>
      </c>
      <c r="L101" s="95">
        <f t="shared" si="4"/>
        <v>69500</v>
      </c>
      <c r="M101" s="95">
        <f t="shared" si="6"/>
        <v>76450</v>
      </c>
      <c r="N101" s="56"/>
      <c r="O101" s="49"/>
      <c r="P101" s="59"/>
      <c r="Q101" s="67">
        <f t="shared" si="3"/>
        <v>764.5</v>
      </c>
    </row>
    <row r="102" spans="1:17" ht="18.75" customHeight="1">
      <c r="A102" s="122"/>
      <c r="B102" s="123"/>
      <c r="C102" s="122"/>
      <c r="D102" s="124">
        <v>45921</v>
      </c>
      <c r="E102" s="132" t="s">
        <v>19</v>
      </c>
      <c r="F102" s="122"/>
      <c r="G102" s="132" t="s">
        <v>47</v>
      </c>
      <c r="H102" s="125">
        <v>695</v>
      </c>
      <c r="I102" s="125">
        <v>100</v>
      </c>
      <c r="J102" s="126">
        <v>1</v>
      </c>
      <c r="K102" s="125" t="s">
        <v>21</v>
      </c>
      <c r="L102" s="95">
        <f t="shared" si="4"/>
        <v>69500</v>
      </c>
      <c r="M102" s="95">
        <f t="shared" si="6"/>
        <v>76450</v>
      </c>
      <c r="N102" s="56"/>
      <c r="O102" s="49"/>
      <c r="P102" s="59"/>
      <c r="Q102" s="67">
        <f t="shared" si="3"/>
        <v>764.5</v>
      </c>
    </row>
    <row r="103" spans="1:17" ht="18.75" customHeight="1">
      <c r="A103" s="122"/>
      <c r="B103" s="123"/>
      <c r="C103" s="122"/>
      <c r="D103" s="124">
        <v>45921</v>
      </c>
      <c r="E103" s="17" t="s">
        <v>23</v>
      </c>
      <c r="F103" s="122"/>
      <c r="G103" s="132" t="s">
        <v>48</v>
      </c>
      <c r="H103" s="125">
        <v>695</v>
      </c>
      <c r="I103" s="125">
        <v>100</v>
      </c>
      <c r="J103" s="126">
        <v>1</v>
      </c>
      <c r="K103" s="125" t="s">
        <v>21</v>
      </c>
      <c r="L103" s="95">
        <f t="shared" si="4"/>
        <v>69500</v>
      </c>
      <c r="M103" s="95">
        <f t="shared" si="6"/>
        <v>76450</v>
      </c>
      <c r="N103" s="56"/>
      <c r="O103" s="49"/>
      <c r="P103" s="59"/>
      <c r="Q103" s="67">
        <f t="shared" si="3"/>
        <v>764.5</v>
      </c>
    </row>
    <row r="104" spans="1:17" ht="18.75" customHeight="1">
      <c r="A104" s="122"/>
      <c r="B104" s="123"/>
      <c r="C104" s="122"/>
      <c r="D104" s="124">
        <v>45921</v>
      </c>
      <c r="E104" s="132" t="s">
        <v>24</v>
      </c>
      <c r="F104" s="122"/>
      <c r="G104" s="132" t="s">
        <v>48</v>
      </c>
      <c r="H104" s="125">
        <v>695</v>
      </c>
      <c r="I104" s="125">
        <v>100</v>
      </c>
      <c r="J104" s="126">
        <v>1</v>
      </c>
      <c r="K104" s="125" t="s">
        <v>21</v>
      </c>
      <c r="L104" s="95">
        <f t="shared" si="4"/>
        <v>69500</v>
      </c>
      <c r="M104" s="95">
        <f t="shared" si="6"/>
        <v>76450</v>
      </c>
      <c r="N104" s="56"/>
      <c r="O104" s="49"/>
      <c r="P104" s="59"/>
      <c r="Q104" s="67">
        <f t="shared" si="3"/>
        <v>764.5</v>
      </c>
    </row>
    <row r="105" spans="1:17" ht="18.75" customHeight="1">
      <c r="A105" s="122"/>
      <c r="B105" s="123"/>
      <c r="C105" s="122"/>
      <c r="D105" s="124">
        <v>45921</v>
      </c>
      <c r="E105" s="17" t="s">
        <v>22</v>
      </c>
      <c r="F105" s="122"/>
      <c r="G105" s="132" t="s">
        <v>49</v>
      </c>
      <c r="H105" s="125">
        <v>850</v>
      </c>
      <c r="I105" s="125">
        <v>100</v>
      </c>
      <c r="J105" s="126">
        <v>2</v>
      </c>
      <c r="K105" s="125" t="s">
        <v>21</v>
      </c>
      <c r="L105" s="95">
        <f t="shared" si="4"/>
        <v>170000</v>
      </c>
      <c r="M105" s="95">
        <f t="shared" si="6"/>
        <v>187000.00000000003</v>
      </c>
      <c r="N105" s="56"/>
      <c r="O105" s="49"/>
      <c r="P105" s="59"/>
      <c r="Q105" s="67">
        <f t="shared" si="3"/>
        <v>935.00000000000011</v>
      </c>
    </row>
    <row r="106" spans="1:17" ht="18.75" customHeight="1">
      <c r="A106" s="122"/>
      <c r="B106" s="123"/>
      <c r="C106" s="122"/>
      <c r="D106" s="124">
        <v>45921</v>
      </c>
      <c r="E106" s="132" t="s">
        <v>19</v>
      </c>
      <c r="F106" s="122"/>
      <c r="G106" s="132" t="s">
        <v>49</v>
      </c>
      <c r="H106" s="125">
        <v>850</v>
      </c>
      <c r="I106" s="125">
        <v>100</v>
      </c>
      <c r="J106" s="126">
        <v>2</v>
      </c>
      <c r="K106" s="125" t="s">
        <v>21</v>
      </c>
      <c r="L106" s="95">
        <f t="shared" si="4"/>
        <v>170000</v>
      </c>
      <c r="M106" s="95">
        <f t="shared" si="6"/>
        <v>187000.00000000003</v>
      </c>
      <c r="N106" s="56"/>
      <c r="O106" s="49"/>
      <c r="P106" s="59"/>
      <c r="Q106" s="67">
        <f t="shared" si="3"/>
        <v>935.00000000000011</v>
      </c>
    </row>
    <row r="107" spans="1:17" ht="18.75" customHeight="1">
      <c r="A107" s="122"/>
      <c r="B107" s="123"/>
      <c r="C107" s="122"/>
      <c r="D107" s="124">
        <v>45921</v>
      </c>
      <c r="E107" s="17" t="s">
        <v>23</v>
      </c>
      <c r="F107" s="122"/>
      <c r="G107" s="132" t="s">
        <v>50</v>
      </c>
      <c r="H107" s="125">
        <v>850</v>
      </c>
      <c r="I107" s="125">
        <v>100</v>
      </c>
      <c r="J107" s="126">
        <v>1</v>
      </c>
      <c r="K107" s="125" t="s">
        <v>21</v>
      </c>
      <c r="L107" s="95">
        <f t="shared" si="4"/>
        <v>85000</v>
      </c>
      <c r="M107" s="95">
        <f t="shared" ref="M107:M119" si="7">L107*1.1</f>
        <v>93500.000000000015</v>
      </c>
      <c r="N107" s="56"/>
      <c r="O107" s="49"/>
      <c r="P107" s="59"/>
      <c r="Q107" s="67">
        <f t="shared" si="3"/>
        <v>935.00000000000011</v>
      </c>
    </row>
    <row r="108" spans="1:17" ht="18.75" customHeight="1">
      <c r="A108" s="122"/>
      <c r="B108" s="123"/>
      <c r="C108" s="122"/>
      <c r="D108" s="124">
        <v>45921</v>
      </c>
      <c r="E108" s="132" t="s">
        <v>24</v>
      </c>
      <c r="F108" s="122"/>
      <c r="G108" s="132" t="s">
        <v>50</v>
      </c>
      <c r="H108" s="125">
        <v>850</v>
      </c>
      <c r="I108" s="125">
        <v>100</v>
      </c>
      <c r="J108" s="126">
        <v>1</v>
      </c>
      <c r="K108" s="125" t="s">
        <v>21</v>
      </c>
      <c r="L108" s="95">
        <f t="shared" si="4"/>
        <v>85000</v>
      </c>
      <c r="M108" s="95">
        <f t="shared" si="7"/>
        <v>93500.000000000015</v>
      </c>
      <c r="N108" s="56"/>
      <c r="O108" s="49"/>
      <c r="P108" s="59"/>
      <c r="Q108" s="67">
        <f t="shared" si="3"/>
        <v>935.00000000000011</v>
      </c>
    </row>
    <row r="109" spans="1:17" ht="18.75" customHeight="1">
      <c r="A109" s="122"/>
      <c r="B109" s="123"/>
      <c r="C109" s="122"/>
      <c r="D109" s="124">
        <v>45921</v>
      </c>
      <c r="E109" s="17" t="s">
        <v>22</v>
      </c>
      <c r="F109" s="122"/>
      <c r="G109" s="132" t="s">
        <v>51</v>
      </c>
      <c r="H109" s="125">
        <v>600</v>
      </c>
      <c r="I109" s="125">
        <v>96</v>
      </c>
      <c r="J109" s="126">
        <v>1</v>
      </c>
      <c r="K109" s="125" t="s">
        <v>21</v>
      </c>
      <c r="L109" s="95">
        <f t="shared" si="4"/>
        <v>57600</v>
      </c>
      <c r="M109" s="95">
        <f t="shared" si="7"/>
        <v>63360.000000000007</v>
      </c>
      <c r="N109" s="56"/>
      <c r="O109" s="49"/>
      <c r="P109" s="59"/>
      <c r="Q109" s="67">
        <f t="shared" si="3"/>
        <v>660.00000000000011</v>
      </c>
    </row>
    <row r="110" spans="1:17" ht="18.75" customHeight="1">
      <c r="A110" s="122"/>
      <c r="B110" s="123"/>
      <c r="C110" s="122"/>
      <c r="D110" s="124">
        <v>45921</v>
      </c>
      <c r="E110" s="17" t="s">
        <v>23</v>
      </c>
      <c r="F110" s="122"/>
      <c r="G110" s="132" t="s">
        <v>51</v>
      </c>
      <c r="H110" s="125">
        <v>695</v>
      </c>
      <c r="I110" s="125">
        <v>100</v>
      </c>
      <c r="J110" s="126">
        <v>1</v>
      </c>
      <c r="K110" s="125" t="s">
        <v>21</v>
      </c>
      <c r="L110" s="95">
        <f t="shared" si="4"/>
        <v>69500</v>
      </c>
      <c r="M110" s="95">
        <f t="shared" si="7"/>
        <v>76450</v>
      </c>
      <c r="N110" s="56"/>
      <c r="O110" s="49"/>
      <c r="P110" s="59"/>
      <c r="Q110" s="67">
        <f t="shared" si="3"/>
        <v>764.5</v>
      </c>
    </row>
    <row r="111" spans="1:17" ht="18.75" customHeight="1">
      <c r="A111" s="122"/>
      <c r="B111" s="123"/>
      <c r="C111" s="122"/>
      <c r="D111" s="124"/>
      <c r="E111" s="96"/>
      <c r="F111" s="122"/>
      <c r="G111" s="96"/>
      <c r="H111" s="125"/>
      <c r="I111" s="125"/>
      <c r="J111" s="126"/>
      <c r="K111" s="125"/>
      <c r="L111" s="95">
        <f t="shared" si="4"/>
        <v>0</v>
      </c>
      <c r="M111" s="95">
        <f t="shared" ref="M111:M114" si="8">L111*1.1</f>
        <v>0</v>
      </c>
      <c r="N111" s="56"/>
      <c r="O111" s="49"/>
      <c r="P111" s="59"/>
      <c r="Q111" s="67" t="e">
        <f t="shared" si="3"/>
        <v>#DIV/0!</v>
      </c>
    </row>
    <row r="112" spans="1:17" ht="18.75" customHeight="1">
      <c r="A112" s="122"/>
      <c r="B112" s="123"/>
      <c r="C112" s="122"/>
      <c r="D112" s="124"/>
      <c r="E112" s="132"/>
      <c r="F112" s="122"/>
      <c r="G112" s="132"/>
      <c r="H112" s="125"/>
      <c r="I112" s="125"/>
      <c r="J112" s="126"/>
      <c r="K112" s="125"/>
      <c r="L112" s="95">
        <f t="shared" si="4"/>
        <v>0</v>
      </c>
      <c r="M112" s="95">
        <f t="shared" si="8"/>
        <v>0</v>
      </c>
      <c r="N112" s="56"/>
      <c r="O112" s="49"/>
      <c r="P112" s="59"/>
      <c r="Q112" s="67" t="e">
        <f t="shared" si="3"/>
        <v>#DIV/0!</v>
      </c>
    </row>
    <row r="113" spans="1:17" ht="18.75" customHeight="1">
      <c r="A113" s="122"/>
      <c r="B113" s="123"/>
      <c r="C113" s="122"/>
      <c r="D113" s="124"/>
      <c r="E113" s="96"/>
      <c r="F113" s="122"/>
      <c r="G113" s="96"/>
      <c r="H113" s="125"/>
      <c r="I113" s="125"/>
      <c r="J113" s="126"/>
      <c r="K113" s="125"/>
      <c r="L113" s="95">
        <f t="shared" si="4"/>
        <v>0</v>
      </c>
      <c r="M113" s="95">
        <f t="shared" si="8"/>
        <v>0</v>
      </c>
      <c r="N113" s="56"/>
      <c r="O113" s="49"/>
      <c r="P113" s="59"/>
      <c r="Q113" s="67" t="e">
        <f t="shared" si="3"/>
        <v>#DIV/0!</v>
      </c>
    </row>
    <row r="114" spans="1:17" ht="18.75" customHeight="1">
      <c r="A114" s="122"/>
      <c r="B114" s="123"/>
      <c r="C114" s="122"/>
      <c r="D114" s="124"/>
      <c r="E114" s="96"/>
      <c r="F114" s="122"/>
      <c r="G114" s="96"/>
      <c r="H114" s="125"/>
      <c r="I114" s="125"/>
      <c r="J114" s="126"/>
      <c r="K114" s="125"/>
      <c r="L114" s="95">
        <f t="shared" si="4"/>
        <v>0</v>
      </c>
      <c r="M114" s="95">
        <f t="shared" si="8"/>
        <v>0</v>
      </c>
      <c r="N114" s="56"/>
      <c r="O114" s="49"/>
      <c r="P114" s="59"/>
      <c r="Q114" s="67" t="e">
        <f t="shared" si="3"/>
        <v>#DIV/0!</v>
      </c>
    </row>
    <row r="115" spans="1:17" ht="18.75" customHeight="1">
      <c r="A115" s="122"/>
      <c r="B115" s="123"/>
      <c r="C115" s="122"/>
      <c r="D115" s="124"/>
      <c r="E115" s="96"/>
      <c r="F115" s="122"/>
      <c r="G115" s="96"/>
      <c r="H115" s="125"/>
      <c r="I115" s="125"/>
      <c r="J115" s="126"/>
      <c r="K115" s="125"/>
      <c r="L115" s="95">
        <f t="shared" si="4"/>
        <v>0</v>
      </c>
      <c r="M115" s="95">
        <f t="shared" ref="M115:M118" si="9">L115*1.1</f>
        <v>0</v>
      </c>
      <c r="N115" s="56"/>
      <c r="O115" s="49"/>
      <c r="P115" s="59"/>
      <c r="Q115" s="67" t="e">
        <f t="shared" si="3"/>
        <v>#DIV/0!</v>
      </c>
    </row>
    <row r="116" spans="1:17" ht="18.75" customHeight="1">
      <c r="A116" s="122"/>
      <c r="B116" s="123"/>
      <c r="C116" s="122"/>
      <c r="D116" s="124"/>
      <c r="E116" s="132"/>
      <c r="F116" s="122"/>
      <c r="G116" s="132"/>
      <c r="H116" s="125"/>
      <c r="I116" s="125"/>
      <c r="J116" s="126"/>
      <c r="K116" s="125"/>
      <c r="L116" s="95">
        <f t="shared" si="4"/>
        <v>0</v>
      </c>
      <c r="M116" s="95">
        <f t="shared" si="9"/>
        <v>0</v>
      </c>
      <c r="N116" s="56"/>
      <c r="O116" s="49"/>
      <c r="P116" s="59"/>
      <c r="Q116" s="67" t="e">
        <f t="shared" si="3"/>
        <v>#DIV/0!</v>
      </c>
    </row>
    <row r="117" spans="1:17" ht="18.75" customHeight="1">
      <c r="A117" s="122"/>
      <c r="B117" s="123"/>
      <c r="C117" s="122"/>
      <c r="D117" s="124"/>
      <c r="E117" s="96"/>
      <c r="F117" s="122"/>
      <c r="G117" s="96"/>
      <c r="H117" s="125"/>
      <c r="I117" s="125"/>
      <c r="J117" s="126"/>
      <c r="K117" s="125"/>
      <c r="L117" s="95">
        <f t="shared" si="4"/>
        <v>0</v>
      </c>
      <c r="M117" s="95">
        <f t="shared" si="9"/>
        <v>0</v>
      </c>
      <c r="N117" s="56"/>
      <c r="O117" s="49"/>
      <c r="P117" s="59"/>
      <c r="Q117" s="67" t="e">
        <f t="shared" si="3"/>
        <v>#DIV/0!</v>
      </c>
    </row>
    <row r="118" spans="1:17" ht="18.75" customHeight="1">
      <c r="A118" s="122"/>
      <c r="B118" s="123"/>
      <c r="C118" s="122"/>
      <c r="D118" s="124"/>
      <c r="E118" s="96"/>
      <c r="F118" s="122"/>
      <c r="G118" s="96"/>
      <c r="H118" s="125"/>
      <c r="I118" s="125"/>
      <c r="J118" s="126"/>
      <c r="K118" s="125"/>
      <c r="L118" s="95">
        <f t="shared" si="4"/>
        <v>0</v>
      </c>
      <c r="M118" s="95">
        <f t="shared" si="9"/>
        <v>0</v>
      </c>
      <c r="N118" s="56"/>
      <c r="O118" s="49"/>
      <c r="P118" s="59"/>
      <c r="Q118" s="67" t="e">
        <f t="shared" si="3"/>
        <v>#DIV/0!</v>
      </c>
    </row>
    <row r="119" spans="1:17" ht="18.75" customHeight="1">
      <c r="A119" s="122"/>
      <c r="B119" s="123"/>
      <c r="C119" s="122"/>
      <c r="D119" s="124"/>
      <c r="E119" s="96"/>
      <c r="F119" s="122"/>
      <c r="G119" s="96"/>
      <c r="H119" s="125"/>
      <c r="I119" s="125"/>
      <c r="J119" s="126"/>
      <c r="K119" s="125"/>
      <c r="L119" s="95">
        <f t="shared" si="4"/>
        <v>0</v>
      </c>
      <c r="M119" s="95">
        <f t="shared" si="7"/>
        <v>0</v>
      </c>
      <c r="N119" s="56"/>
      <c r="O119" s="49"/>
      <c r="P119" s="59"/>
      <c r="Q119" s="67" t="e">
        <f t="shared" si="3"/>
        <v>#DIV/0!</v>
      </c>
    </row>
    <row r="120" spans="1:17" ht="18.75" customHeight="1">
      <c r="A120" s="122"/>
      <c r="B120" s="123"/>
      <c r="C120" s="122"/>
      <c r="D120" s="124"/>
      <c r="E120" s="132"/>
      <c r="F120" s="122"/>
      <c r="G120" s="132"/>
      <c r="H120" s="125"/>
      <c r="I120" s="125"/>
      <c r="J120" s="126"/>
      <c r="K120" s="125"/>
      <c r="L120" s="95">
        <f t="shared" si="4"/>
        <v>0</v>
      </c>
      <c r="M120" s="95">
        <f t="shared" si="5"/>
        <v>0</v>
      </c>
      <c r="N120" s="56"/>
      <c r="O120" s="49"/>
      <c r="P120" s="59"/>
      <c r="Q120" s="67" t="e">
        <f t="shared" si="3"/>
        <v>#DIV/0!</v>
      </c>
    </row>
    <row r="121" spans="1:17" ht="18.75" customHeight="1">
      <c r="A121" s="122"/>
      <c r="B121" s="123"/>
      <c r="C121" s="122"/>
      <c r="D121" s="124"/>
      <c r="E121" s="96"/>
      <c r="F121" s="122"/>
      <c r="G121" s="96"/>
      <c r="H121" s="125"/>
      <c r="I121" s="125"/>
      <c r="J121" s="126"/>
      <c r="K121" s="125"/>
      <c r="L121" s="95">
        <f t="shared" si="4"/>
        <v>0</v>
      </c>
      <c r="M121" s="95">
        <f t="shared" si="5"/>
        <v>0</v>
      </c>
      <c r="N121" s="56"/>
      <c r="O121" s="49"/>
      <c r="P121" s="59"/>
      <c r="Q121" s="67" t="e">
        <f t="shared" si="3"/>
        <v>#DIV/0!</v>
      </c>
    </row>
    <row r="122" spans="1:17" ht="18.75" customHeight="1">
      <c r="A122" s="122"/>
      <c r="B122" s="123"/>
      <c r="C122" s="122"/>
      <c r="D122" s="124"/>
      <c r="E122" s="96"/>
      <c r="F122" s="122"/>
      <c r="G122" s="96"/>
      <c r="H122" s="125"/>
      <c r="I122" s="125"/>
      <c r="J122" s="126"/>
      <c r="K122" s="125"/>
      <c r="L122" s="95">
        <f t="shared" si="4"/>
        <v>0</v>
      </c>
      <c r="M122" s="95">
        <f t="shared" si="5"/>
        <v>0</v>
      </c>
      <c r="N122" s="56"/>
      <c r="O122" s="49"/>
      <c r="P122" s="59"/>
      <c r="Q122" s="67" t="e">
        <f t="shared" si="3"/>
        <v>#DIV/0!</v>
      </c>
    </row>
    <row r="123" spans="1:17" ht="18.75" customHeight="1">
      <c r="A123" s="12"/>
      <c r="B123" s="68"/>
      <c r="C123" s="12"/>
      <c r="D123" s="69"/>
      <c r="E123" s="12"/>
      <c r="F123" s="12"/>
      <c r="G123" s="70"/>
      <c r="H123" s="71"/>
      <c r="I123" s="71"/>
      <c r="J123" s="72"/>
      <c r="K123" s="71"/>
      <c r="L123" s="73"/>
      <c r="M123" s="73">
        <f>SUM(M75:N122)</f>
        <v>4381630</v>
      </c>
      <c r="N123" s="74"/>
      <c r="O123" s="11"/>
      <c r="P123" s="75"/>
      <c r="Q123" s="74" t="e">
        <f t="shared" si="3"/>
        <v>#DIV/0!</v>
      </c>
    </row>
    <row r="124" spans="1:17" ht="18.75" customHeight="1">
      <c r="A124" s="12"/>
      <c r="B124" s="68"/>
      <c r="C124" s="12"/>
      <c r="D124" s="69"/>
      <c r="E124" s="12"/>
      <c r="F124" s="12"/>
      <c r="G124" s="70"/>
      <c r="H124" s="71"/>
      <c r="I124" s="71"/>
      <c r="J124" s="72"/>
      <c r="K124" s="71"/>
      <c r="L124" s="73"/>
      <c r="M124" s="73"/>
      <c r="N124" s="74"/>
      <c r="O124" s="11"/>
      <c r="P124" s="75"/>
      <c r="Q124" s="74"/>
    </row>
    <row r="125" spans="1:17" ht="18.75" customHeight="1">
      <c r="A125" s="122" t="s">
        <v>28</v>
      </c>
      <c r="B125" s="123"/>
      <c r="C125" s="122"/>
      <c r="D125" s="124"/>
      <c r="E125" s="132"/>
      <c r="F125" s="122"/>
      <c r="G125" s="96"/>
      <c r="H125" s="125"/>
      <c r="I125" s="125"/>
      <c r="J125" s="126"/>
      <c r="K125" s="125"/>
      <c r="L125" s="95"/>
      <c r="M125" s="95">
        <f>L125*1.1</f>
        <v>0</v>
      </c>
      <c r="N125" s="56"/>
      <c r="O125" s="49"/>
      <c r="P125" s="59"/>
      <c r="Q125" s="67" t="e">
        <f t="shared" ref="Q125:Q130" si="10">(M125+N125*1.1)/(I125*J125)</f>
        <v>#DIV/0!</v>
      </c>
    </row>
    <row r="126" spans="1:17" ht="18.75" customHeight="1">
      <c r="A126" s="122"/>
      <c r="B126" s="123"/>
      <c r="C126" s="122"/>
      <c r="D126" s="124"/>
      <c r="E126" s="132"/>
      <c r="F126" s="122"/>
      <c r="G126" s="96"/>
      <c r="H126" s="125"/>
      <c r="I126" s="125"/>
      <c r="J126" s="126"/>
      <c r="K126" s="125"/>
      <c r="L126" s="95"/>
      <c r="M126" s="95">
        <f>L126*1.1</f>
        <v>0</v>
      </c>
      <c r="N126" s="56"/>
      <c r="O126" s="49"/>
      <c r="P126" s="59"/>
      <c r="Q126" s="67" t="e">
        <f t="shared" si="10"/>
        <v>#DIV/0!</v>
      </c>
    </row>
    <row r="127" spans="1:17" ht="18.75" customHeight="1">
      <c r="A127" s="122"/>
      <c r="B127" s="123"/>
      <c r="C127" s="122"/>
      <c r="D127" s="124"/>
      <c r="E127" s="132"/>
      <c r="F127" s="122"/>
      <c r="G127" s="132"/>
      <c r="H127" s="125"/>
      <c r="I127" s="125"/>
      <c r="J127" s="126"/>
      <c r="K127" s="125"/>
      <c r="L127" s="95"/>
      <c r="M127" s="95">
        <f>L127*1.1</f>
        <v>0</v>
      </c>
      <c r="N127" s="56"/>
      <c r="O127" s="49"/>
      <c r="P127" s="59"/>
      <c r="Q127" s="67" t="e">
        <f t="shared" si="10"/>
        <v>#DIV/0!</v>
      </c>
    </row>
    <row r="128" spans="1:17" ht="18.75" customHeight="1">
      <c r="A128" s="122"/>
      <c r="B128" s="123"/>
      <c r="C128" s="122"/>
      <c r="D128" s="124"/>
      <c r="E128" s="96"/>
      <c r="F128" s="122"/>
      <c r="G128" s="96"/>
      <c r="H128" s="125"/>
      <c r="I128" s="125"/>
      <c r="J128" s="126"/>
      <c r="K128" s="125"/>
      <c r="L128" s="95"/>
      <c r="M128" s="95">
        <f t="shared" ref="M128:M129" si="11">L128*1.1</f>
        <v>0</v>
      </c>
      <c r="N128" s="56"/>
      <c r="O128" s="49"/>
      <c r="P128" s="59"/>
      <c r="Q128" s="67" t="e">
        <f t="shared" si="10"/>
        <v>#DIV/0!</v>
      </c>
    </row>
    <row r="129" spans="1:17" ht="18.75" customHeight="1">
      <c r="A129" s="122"/>
      <c r="B129" s="123"/>
      <c r="C129" s="122"/>
      <c r="D129" s="124"/>
      <c r="E129" s="96"/>
      <c r="F129" s="122"/>
      <c r="G129" s="96"/>
      <c r="H129" s="125"/>
      <c r="I129" s="125"/>
      <c r="J129" s="126"/>
      <c r="K129" s="125"/>
      <c r="L129" s="95"/>
      <c r="M129" s="95">
        <f t="shared" si="11"/>
        <v>0</v>
      </c>
      <c r="N129" s="56"/>
      <c r="O129" s="49"/>
      <c r="P129" s="59"/>
      <c r="Q129" s="67" t="e">
        <f t="shared" si="10"/>
        <v>#DIV/0!</v>
      </c>
    </row>
    <row r="130" spans="1:17" ht="18.75" customHeight="1">
      <c r="A130" s="11"/>
      <c r="B130" s="68"/>
      <c r="C130" s="12"/>
      <c r="D130" s="69"/>
      <c r="E130" s="12"/>
      <c r="F130" s="12"/>
      <c r="G130" s="70"/>
      <c r="H130" s="71"/>
      <c r="I130" s="71"/>
      <c r="J130" s="72"/>
      <c r="K130" s="71"/>
      <c r="L130" s="73"/>
      <c r="M130" s="73">
        <f>SUM(M125:N129)</f>
        <v>0</v>
      </c>
      <c r="N130" s="74"/>
      <c r="O130" s="11"/>
      <c r="P130" s="75"/>
      <c r="Q130" s="74" t="e">
        <f t="shared" si="10"/>
        <v>#DIV/0!</v>
      </c>
    </row>
    <row r="131" spans="1:17" ht="18.75" customHeight="1">
      <c r="A131" s="11"/>
      <c r="B131" s="68"/>
      <c r="C131" s="12"/>
      <c r="D131" s="69"/>
      <c r="E131" s="12"/>
      <c r="F131" s="12"/>
      <c r="G131" s="70"/>
      <c r="H131" s="71"/>
      <c r="I131" s="71"/>
      <c r="J131" s="72"/>
      <c r="K131" s="71"/>
      <c r="L131" s="73"/>
      <c r="M131" s="73"/>
      <c r="N131" s="74"/>
      <c r="O131" s="11"/>
      <c r="P131" s="75"/>
      <c r="Q131" s="74"/>
    </row>
    <row r="132" spans="1:17" ht="18.75" customHeight="1">
      <c r="A132" s="122" t="s">
        <v>29</v>
      </c>
      <c r="B132" s="123"/>
      <c r="C132" s="122"/>
      <c r="D132" s="124"/>
      <c r="E132" s="96"/>
      <c r="F132" s="122"/>
      <c r="G132" s="96"/>
      <c r="H132" s="125"/>
      <c r="I132" s="125"/>
      <c r="J132" s="126"/>
      <c r="K132" s="125"/>
      <c r="L132" s="95"/>
      <c r="M132" s="95">
        <f>L132*1.1</f>
        <v>0</v>
      </c>
      <c r="N132" s="56"/>
      <c r="O132" s="49"/>
      <c r="P132" s="59"/>
      <c r="Q132" s="97"/>
    </row>
    <row r="133" spans="1:17" ht="18.75" customHeight="1">
      <c r="A133" s="122"/>
      <c r="B133" s="123"/>
      <c r="C133" s="122"/>
      <c r="D133" s="124"/>
      <c r="E133" s="96"/>
      <c r="F133" s="122"/>
      <c r="G133" s="96"/>
      <c r="H133" s="125"/>
      <c r="I133" s="125"/>
      <c r="J133" s="126"/>
      <c r="K133" s="125"/>
      <c r="L133" s="95"/>
      <c r="M133" s="95">
        <f>L133*1.1</f>
        <v>0</v>
      </c>
      <c r="N133" s="56"/>
      <c r="O133" s="49"/>
      <c r="P133" s="59"/>
      <c r="Q133" s="97"/>
    </row>
    <row r="134" spans="1:17" ht="18.75" customHeight="1">
      <c r="A134" s="122"/>
      <c r="B134" s="123"/>
      <c r="C134" s="122"/>
      <c r="D134" s="124"/>
      <c r="E134" s="96"/>
      <c r="F134" s="122"/>
      <c r="G134" s="96"/>
      <c r="H134" s="125"/>
      <c r="I134" s="125"/>
      <c r="J134" s="126"/>
      <c r="K134" s="125"/>
      <c r="L134" s="95"/>
      <c r="M134" s="95">
        <f>L134*1.1</f>
        <v>0</v>
      </c>
      <c r="N134" s="56"/>
      <c r="O134" s="49"/>
      <c r="P134" s="59"/>
      <c r="Q134" s="97"/>
    </row>
    <row r="135" spans="1:17" ht="18.75" customHeight="1">
      <c r="A135" s="122"/>
      <c r="B135" s="123"/>
      <c r="C135" s="122"/>
      <c r="D135" s="124"/>
      <c r="E135" s="96"/>
      <c r="F135" s="122"/>
      <c r="G135" s="96"/>
      <c r="H135" s="125"/>
      <c r="I135" s="125"/>
      <c r="J135" s="126"/>
      <c r="K135" s="125"/>
      <c r="L135" s="95"/>
      <c r="M135" s="95">
        <f t="shared" ref="M135:M136" si="12">L135*1.1</f>
        <v>0</v>
      </c>
      <c r="N135" s="56"/>
      <c r="O135" s="49"/>
      <c r="P135" s="59"/>
      <c r="Q135" s="97"/>
    </row>
    <row r="136" spans="1:17" ht="18.75" customHeight="1">
      <c r="A136" s="122"/>
      <c r="B136" s="123"/>
      <c r="C136" s="122"/>
      <c r="D136" s="124"/>
      <c r="E136" s="96"/>
      <c r="F136" s="122"/>
      <c r="G136" s="96"/>
      <c r="H136" s="125"/>
      <c r="I136" s="125"/>
      <c r="J136" s="126"/>
      <c r="K136" s="125"/>
      <c r="L136" s="95"/>
      <c r="M136" s="95">
        <f t="shared" si="12"/>
        <v>0</v>
      </c>
      <c r="N136" s="56"/>
      <c r="O136" s="49"/>
      <c r="P136" s="59"/>
      <c r="Q136" s="97"/>
    </row>
    <row r="137" spans="1:17" ht="18.75" customHeight="1">
      <c r="A137" s="12"/>
      <c r="B137" s="68"/>
      <c r="C137" s="12"/>
      <c r="D137" s="69"/>
      <c r="E137" s="12"/>
      <c r="F137" s="12"/>
      <c r="G137" s="70"/>
      <c r="H137" s="71"/>
      <c r="I137" s="71"/>
      <c r="J137" s="72"/>
      <c r="K137" s="71"/>
      <c r="L137" s="73"/>
      <c r="M137" s="73">
        <f>SUM(M132:N136)</f>
        <v>0</v>
      </c>
      <c r="N137" s="74"/>
      <c r="O137" s="11"/>
      <c r="P137" s="75"/>
      <c r="Q137" s="74"/>
    </row>
    <row r="138" spans="1:17" ht="18.75" customHeight="1">
      <c r="A138" s="12"/>
      <c r="B138" s="68"/>
      <c r="C138" s="12"/>
      <c r="D138" s="69"/>
      <c r="E138" s="12"/>
      <c r="F138" s="12"/>
      <c r="G138" s="70"/>
      <c r="H138" s="71"/>
      <c r="I138" s="71"/>
      <c r="J138" s="72"/>
      <c r="K138" s="71"/>
      <c r="L138" s="73"/>
      <c r="M138" s="73"/>
      <c r="N138" s="74"/>
      <c r="O138" s="11"/>
      <c r="P138" s="75"/>
      <c r="Q138" s="74"/>
    </row>
    <row r="139" spans="1:17" ht="18.75" customHeight="1">
      <c r="A139" s="151" t="s">
        <v>30</v>
      </c>
      <c r="B139" s="123"/>
      <c r="C139" s="122"/>
      <c r="D139" s="124"/>
      <c r="E139" s="96"/>
      <c r="F139" s="122"/>
      <c r="G139" s="96"/>
      <c r="H139" s="125"/>
      <c r="I139" s="125"/>
      <c r="J139" s="126"/>
      <c r="K139" s="125"/>
      <c r="L139" s="95"/>
      <c r="M139" s="95">
        <f>L139*1.1</f>
        <v>0</v>
      </c>
      <c r="N139" s="56"/>
      <c r="O139" s="49"/>
      <c r="P139" s="59"/>
      <c r="Q139" s="97"/>
    </row>
    <row r="140" spans="1:17" ht="18.75" customHeight="1">
      <c r="A140" s="122"/>
      <c r="B140" s="123"/>
      <c r="C140" s="122"/>
      <c r="D140" s="124"/>
      <c r="E140" s="96"/>
      <c r="F140" s="122"/>
      <c r="G140" s="96"/>
      <c r="H140" s="125"/>
      <c r="I140" s="125"/>
      <c r="J140" s="126"/>
      <c r="K140" s="125"/>
      <c r="L140" s="95"/>
      <c r="M140" s="95">
        <f>L140*1.1</f>
        <v>0</v>
      </c>
      <c r="N140" s="56"/>
      <c r="O140" s="49"/>
      <c r="P140" s="59"/>
      <c r="Q140" s="97"/>
    </row>
    <row r="141" spans="1:17" ht="18.75" customHeight="1">
      <c r="A141" s="122"/>
      <c r="B141" s="123"/>
      <c r="C141" s="122"/>
      <c r="D141" s="124"/>
      <c r="E141" s="96"/>
      <c r="F141" s="122"/>
      <c r="G141" s="96"/>
      <c r="H141" s="125"/>
      <c r="I141" s="125"/>
      <c r="J141" s="126"/>
      <c r="K141" s="125"/>
      <c r="L141" s="95"/>
      <c r="M141" s="95">
        <f>L141*1.1</f>
        <v>0</v>
      </c>
      <c r="N141" s="56"/>
      <c r="O141" s="49"/>
      <c r="P141" s="59"/>
      <c r="Q141" s="97"/>
    </row>
    <row r="142" spans="1:17" ht="18.75" customHeight="1">
      <c r="A142" s="122"/>
      <c r="B142" s="123"/>
      <c r="C142" s="122"/>
      <c r="D142" s="124"/>
      <c r="E142" s="96"/>
      <c r="F142" s="122"/>
      <c r="G142" s="96"/>
      <c r="H142" s="125"/>
      <c r="I142" s="125"/>
      <c r="J142" s="126"/>
      <c r="K142" s="125"/>
      <c r="L142" s="95"/>
      <c r="M142" s="95">
        <f t="shared" ref="M142:M143" si="13">L142*1.1</f>
        <v>0</v>
      </c>
      <c r="N142" s="56"/>
      <c r="O142" s="49"/>
      <c r="P142" s="59"/>
      <c r="Q142" s="97"/>
    </row>
    <row r="143" spans="1:17" ht="18.75" customHeight="1">
      <c r="A143" s="122"/>
      <c r="B143" s="123"/>
      <c r="C143" s="122"/>
      <c r="D143" s="124"/>
      <c r="E143" s="96"/>
      <c r="F143" s="122"/>
      <c r="G143" s="96"/>
      <c r="H143" s="125"/>
      <c r="I143" s="125"/>
      <c r="J143" s="126"/>
      <c r="K143" s="125"/>
      <c r="L143" s="95"/>
      <c r="M143" s="95">
        <f t="shared" si="13"/>
        <v>0</v>
      </c>
      <c r="N143" s="56"/>
      <c r="O143" s="49"/>
      <c r="P143" s="59"/>
      <c r="Q143" s="97"/>
    </row>
    <row r="144" spans="1:17" ht="18.75" customHeight="1">
      <c r="A144" s="11"/>
      <c r="B144" s="127"/>
      <c r="C144" s="11"/>
      <c r="D144" s="128"/>
      <c r="E144" s="11"/>
      <c r="F144" s="11"/>
      <c r="G144" s="70"/>
      <c r="H144" s="11"/>
      <c r="I144" s="11"/>
      <c r="J144" s="129"/>
      <c r="K144" s="11"/>
      <c r="L144" s="74"/>
      <c r="M144" s="73">
        <f>SUM(M139:N143)</f>
        <v>0</v>
      </c>
      <c r="N144" s="74"/>
      <c r="O144" s="11"/>
      <c r="P144" s="75"/>
      <c r="Q144" s="74"/>
    </row>
    <row r="145" spans="1:17" s="40" customFormat="1" ht="18.75" customHeight="1">
      <c r="A145"/>
      <c r="B145" s="31"/>
      <c r="C145"/>
      <c r="D145" s="25"/>
      <c r="E145"/>
      <c r="F145"/>
      <c r="G145" s="33"/>
      <c r="H145"/>
      <c r="I145"/>
      <c r="J145" s="65"/>
      <c r="K145"/>
      <c r="O145"/>
      <c r="P145" s="58"/>
    </row>
    <row r="146" spans="1:17" ht="18.75" customHeight="1">
      <c r="A146" s="151" t="s">
        <v>31</v>
      </c>
      <c r="B146" s="123"/>
      <c r="C146" s="122"/>
      <c r="D146" s="124"/>
      <c r="E146" s="96" t="s">
        <v>32</v>
      </c>
      <c r="F146" s="122"/>
      <c r="G146" s="96" t="s">
        <v>33</v>
      </c>
      <c r="H146" s="125">
        <v>350</v>
      </c>
      <c r="I146" s="125">
        <v>120</v>
      </c>
      <c r="J146" s="126">
        <v>1</v>
      </c>
      <c r="K146" s="175" t="s">
        <v>21</v>
      </c>
      <c r="L146" s="95">
        <v>42000</v>
      </c>
      <c r="M146" s="95">
        <f>L146*1.1</f>
        <v>46200.000000000007</v>
      </c>
      <c r="N146" s="56"/>
      <c r="O146" s="49"/>
      <c r="P146" s="59"/>
      <c r="Q146" s="67">
        <f t="shared" ref="Q146:Q151" si="14">(M146+N146*1.1)/(I146*J146)</f>
        <v>385.00000000000006</v>
      </c>
    </row>
    <row r="147" spans="1:17" ht="18.75" customHeight="1">
      <c r="A147" s="122"/>
      <c r="B147" s="123"/>
      <c r="C147" s="122"/>
      <c r="D147" s="124"/>
      <c r="E147" s="132" t="s">
        <v>34</v>
      </c>
      <c r="F147" s="122"/>
      <c r="G147" s="96" t="s">
        <v>35</v>
      </c>
      <c r="H147" s="125">
        <v>950</v>
      </c>
      <c r="I147" s="125">
        <v>36</v>
      </c>
      <c r="J147" s="126">
        <v>1</v>
      </c>
      <c r="K147" s="175" t="s">
        <v>21</v>
      </c>
      <c r="L147" s="95">
        <v>34200</v>
      </c>
      <c r="M147" s="95">
        <f>L147*1.1</f>
        <v>37620</v>
      </c>
      <c r="N147" s="56">
        <v>1600</v>
      </c>
      <c r="O147" s="49"/>
      <c r="P147" s="59"/>
      <c r="Q147" s="67">
        <f t="shared" si="14"/>
        <v>1093.8888888888889</v>
      </c>
    </row>
    <row r="148" spans="1:17" ht="18.75" customHeight="1">
      <c r="A148" s="122"/>
      <c r="B148" s="123"/>
      <c r="C148" s="122"/>
      <c r="D148" s="124"/>
      <c r="E148" s="132" t="s">
        <v>34</v>
      </c>
      <c r="F148" s="122"/>
      <c r="G148" s="96" t="s">
        <v>36</v>
      </c>
      <c r="H148" s="125">
        <v>950</v>
      </c>
      <c r="I148" s="125">
        <v>36</v>
      </c>
      <c r="J148" s="126">
        <v>1</v>
      </c>
      <c r="K148" s="175" t="s">
        <v>21</v>
      </c>
      <c r="L148" s="95">
        <v>34200</v>
      </c>
      <c r="M148" s="95">
        <f>L148*1.1</f>
        <v>37620</v>
      </c>
      <c r="N148" s="56">
        <v>2400</v>
      </c>
      <c r="O148" s="49"/>
      <c r="P148" s="59"/>
      <c r="Q148" s="67">
        <f t="shared" si="14"/>
        <v>1118.3333333333333</v>
      </c>
    </row>
    <row r="149" spans="1:17" ht="18.75" customHeight="1">
      <c r="A149" s="122"/>
      <c r="B149" s="123"/>
      <c r="C149" s="122"/>
      <c r="D149" s="124"/>
      <c r="E149" s="132" t="s">
        <v>34</v>
      </c>
      <c r="F149" s="122"/>
      <c r="G149" s="96" t="s">
        <v>33</v>
      </c>
      <c r="H149" s="125">
        <v>350</v>
      </c>
      <c r="I149" s="125">
        <v>120</v>
      </c>
      <c r="J149" s="126">
        <v>1</v>
      </c>
      <c r="K149" s="175" t="s">
        <v>21</v>
      </c>
      <c r="L149" s="95">
        <v>42000</v>
      </c>
      <c r="M149" s="95">
        <f t="shared" ref="M149:M150" si="15">L149*1.1</f>
        <v>46200.000000000007</v>
      </c>
      <c r="N149" s="56"/>
      <c r="O149" s="49"/>
      <c r="P149" s="59"/>
      <c r="Q149" s="67">
        <f t="shared" si="14"/>
        <v>385.00000000000006</v>
      </c>
    </row>
    <row r="150" spans="1:17" ht="18.75" customHeight="1">
      <c r="A150" s="122"/>
      <c r="B150" s="123"/>
      <c r="C150" s="122"/>
      <c r="D150" s="124"/>
      <c r="E150" s="96"/>
      <c r="F150" s="122"/>
      <c r="G150" s="96"/>
      <c r="H150" s="125"/>
      <c r="I150" s="125"/>
      <c r="J150" s="126"/>
      <c r="K150" s="125"/>
      <c r="L150" s="95"/>
      <c r="M150" s="95">
        <f t="shared" si="15"/>
        <v>0</v>
      </c>
      <c r="N150" s="56"/>
      <c r="O150" s="49"/>
      <c r="P150" s="59"/>
      <c r="Q150" s="67" t="e">
        <f t="shared" si="14"/>
        <v>#DIV/0!</v>
      </c>
    </row>
    <row r="151" spans="1:17" s="40" customFormat="1" ht="18.75" customHeight="1">
      <c r="A151"/>
      <c r="B151" s="31"/>
      <c r="C151"/>
      <c r="D151" s="25"/>
      <c r="E151"/>
      <c r="F151"/>
      <c r="G151" s="33"/>
      <c r="H151"/>
      <c r="I151"/>
      <c r="J151" s="65"/>
      <c r="K151"/>
      <c r="M151" s="73">
        <f>SUM(M146:N150)</f>
        <v>171640</v>
      </c>
      <c r="O151"/>
      <c r="P151" s="58"/>
      <c r="Q151" s="40" t="e">
        <f t="shared" si="14"/>
        <v>#DIV/0!</v>
      </c>
    </row>
    <row r="152" spans="1:17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7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O153"/>
      <c r="P153" s="58"/>
    </row>
    <row r="154" spans="1:17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7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149">
        <f>M73+M123+M130+M137+M144+M151</f>
        <v>4553270</v>
      </c>
      <c r="O155"/>
      <c r="P155" s="58"/>
    </row>
    <row r="156" spans="1:17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7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N157" s="176"/>
      <c r="O157"/>
      <c r="P157" s="58"/>
    </row>
    <row r="158" spans="1:17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7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N159" s="176"/>
      <c r="O159"/>
      <c r="P159" s="58"/>
    </row>
    <row r="160" spans="1:17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N161" s="176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8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8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8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8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8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8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8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8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8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8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8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8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8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8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8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8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8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8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8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8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8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8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8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8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8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8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8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8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8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8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8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8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8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8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8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8.75" customHeight="1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8.75" customHeight="1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8.75" customHeight="1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8.75" customHeight="1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8.75" customHeight="1">
      <c r="A291"/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  <c r="O291"/>
      <c r="P291" s="58"/>
    </row>
    <row r="292" spans="1:16" s="40" customFormat="1" ht="18.75" customHeight="1">
      <c r="A292"/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  <c r="O292"/>
      <c r="P292" s="58"/>
    </row>
    <row r="293" spans="1:16" s="40" customFormat="1" ht="18.75" customHeight="1">
      <c r="A293"/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  <c r="O293"/>
      <c r="P293" s="58"/>
    </row>
    <row r="294" spans="1:16" s="40" customFormat="1" ht="18.75" customHeight="1">
      <c r="A294"/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  <c r="O294"/>
      <c r="P294" s="58"/>
    </row>
    <row r="295" spans="1:16" s="40" customFormat="1" ht="18.75" customHeight="1">
      <c r="A295"/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  <c r="O295"/>
      <c r="P295" s="58"/>
    </row>
    <row r="296" spans="1:16" s="40" customFormat="1" ht="18.75" customHeight="1">
      <c r="A296"/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  <c r="O296"/>
      <c r="P296" s="58"/>
    </row>
    <row r="297" spans="1:16" s="40" customFormat="1" ht="18.75" customHeight="1">
      <c r="A297"/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  <c r="O297"/>
      <c r="P297" s="58"/>
    </row>
    <row r="298" spans="1:16" s="40" customFormat="1" ht="18.75" customHeight="1">
      <c r="A298"/>
      <c r="B298" s="26"/>
      <c r="C298" s="1"/>
      <c r="D298" s="20"/>
      <c r="E298" s="1"/>
      <c r="F298" s="1"/>
      <c r="G298" s="32"/>
      <c r="H298" s="2"/>
      <c r="I298" s="2"/>
      <c r="J298" s="60"/>
      <c r="K298" s="2"/>
      <c r="L298" s="34"/>
      <c r="M298" s="34"/>
      <c r="O298"/>
      <c r="P298" s="58"/>
    </row>
    <row r="299" spans="1:16" s="40" customFormat="1" ht="18.75" customHeight="1">
      <c r="A299"/>
      <c r="B299" s="26"/>
      <c r="C299" s="1"/>
      <c r="D299" s="20"/>
      <c r="E299" s="1"/>
      <c r="F299" s="1"/>
      <c r="G299" s="32"/>
      <c r="H299" s="2"/>
      <c r="I299" s="2"/>
      <c r="J299" s="60"/>
      <c r="K299" s="2"/>
      <c r="L299" s="34"/>
      <c r="M299" s="34"/>
      <c r="O299"/>
      <c r="P299" s="58"/>
    </row>
    <row r="300" spans="1:16" s="40" customFormat="1" ht="18.75" customHeight="1">
      <c r="A300"/>
      <c r="B300" s="26"/>
      <c r="C300" s="1"/>
      <c r="D300" s="20"/>
      <c r="E300" s="1"/>
      <c r="F300" s="1"/>
      <c r="G300" s="32"/>
      <c r="H300" s="2"/>
      <c r="I300" s="2"/>
      <c r="J300" s="60"/>
      <c r="K300" s="2"/>
      <c r="L300" s="34"/>
      <c r="M300" s="34"/>
      <c r="O300"/>
      <c r="P300" s="58"/>
    </row>
    <row r="301" spans="1:16" s="40" customFormat="1" ht="18.75" customHeight="1">
      <c r="A301"/>
      <c r="B301" s="26"/>
      <c r="C301" s="1"/>
      <c r="D301" s="20"/>
      <c r="E301" s="1"/>
      <c r="F301" s="1"/>
      <c r="G301" s="32"/>
      <c r="H301" s="2"/>
      <c r="I301" s="2"/>
      <c r="J301" s="60"/>
      <c r="K301" s="2"/>
      <c r="L301" s="34"/>
      <c r="M301" s="34"/>
      <c r="O301"/>
      <c r="P301" s="58"/>
    </row>
    <row r="302" spans="1:16" s="40" customFormat="1" ht="18.75" customHeight="1">
      <c r="A302"/>
      <c r="B302" s="26"/>
      <c r="C302" s="1"/>
      <c r="D302" s="20"/>
      <c r="E302" s="1"/>
      <c r="F302" s="1"/>
      <c r="G302" s="32"/>
      <c r="H302" s="2"/>
      <c r="I302" s="2"/>
      <c r="J302" s="60"/>
      <c r="K302" s="2"/>
      <c r="L302" s="34"/>
      <c r="M302" s="34"/>
      <c r="O302"/>
      <c r="P302" s="58"/>
    </row>
    <row r="303" spans="1:16" s="40" customFormat="1" ht="15.75" customHeight="1">
      <c r="A303"/>
      <c r="B303" s="26"/>
      <c r="C303" s="1"/>
      <c r="D303" s="20"/>
      <c r="E303" s="1"/>
      <c r="F303" s="1"/>
      <c r="G303" s="32"/>
      <c r="H303" s="2"/>
      <c r="I303" s="2"/>
      <c r="J303" s="60"/>
      <c r="K303" s="2"/>
      <c r="L303" s="34"/>
      <c r="M303" s="34"/>
      <c r="O303"/>
      <c r="P303" s="58"/>
    </row>
    <row r="304" spans="1:16" s="40" customFormat="1" ht="15.75" customHeight="1">
      <c r="A304"/>
      <c r="B304" s="26"/>
      <c r="C304" s="1"/>
      <c r="D304" s="20"/>
      <c r="E304" s="1"/>
      <c r="F304" s="1"/>
      <c r="G304" s="32"/>
      <c r="H304" s="2"/>
      <c r="I304" s="2"/>
      <c r="J304" s="60"/>
      <c r="K304" s="2"/>
      <c r="L304" s="34"/>
      <c r="M304" s="34"/>
      <c r="O304"/>
      <c r="P304" s="58"/>
    </row>
    <row r="305" spans="1:16" s="40" customFormat="1" ht="15.75" customHeight="1">
      <c r="A305"/>
      <c r="B305" s="26"/>
      <c r="C305" s="1"/>
      <c r="D305" s="20"/>
      <c r="E305" s="1"/>
      <c r="F305" s="1"/>
      <c r="G305" s="32"/>
      <c r="H305" s="2"/>
      <c r="I305" s="2"/>
      <c r="J305" s="60"/>
      <c r="K305" s="2"/>
      <c r="L305" s="34"/>
      <c r="M305" s="34"/>
      <c r="O305"/>
      <c r="P305" s="58"/>
    </row>
    <row r="306" spans="1:16" s="40" customFormat="1" ht="15.75" customHeight="1">
      <c r="A306"/>
      <c r="B306" s="26"/>
      <c r="C306" s="1"/>
      <c r="D306" s="20"/>
      <c r="E306" s="1"/>
      <c r="F306" s="1"/>
      <c r="G306" s="32"/>
      <c r="H306" s="2"/>
      <c r="I306" s="2"/>
      <c r="J306" s="60"/>
      <c r="K306" s="2"/>
      <c r="L306" s="34"/>
      <c r="M306" s="34"/>
      <c r="O306"/>
      <c r="P306" s="58"/>
    </row>
    <row r="307" spans="1:16" s="40" customFormat="1" ht="15.75" customHeight="1">
      <c r="A307"/>
      <c r="B307" s="26"/>
      <c r="C307" s="1"/>
      <c r="D307" s="20"/>
      <c r="E307" s="1"/>
      <c r="F307" s="1"/>
      <c r="G307" s="32"/>
      <c r="H307" s="2"/>
      <c r="I307" s="2"/>
      <c r="J307" s="60"/>
      <c r="K307" s="2"/>
      <c r="L307" s="34"/>
      <c r="M307" s="34"/>
      <c r="O307"/>
      <c r="P307" s="58"/>
    </row>
    <row r="308" spans="1:16" s="40" customFormat="1" ht="15.75" customHeight="1">
      <c r="A308"/>
      <c r="B308" s="26"/>
      <c r="C308" s="1"/>
      <c r="D308" s="20"/>
      <c r="E308" s="1"/>
      <c r="F308" s="1"/>
      <c r="G308" s="32"/>
      <c r="H308" s="2"/>
      <c r="I308" s="2"/>
      <c r="J308" s="60"/>
      <c r="K308" s="2"/>
      <c r="L308" s="34"/>
      <c r="M308" s="34"/>
      <c r="O308"/>
      <c r="P308" s="58"/>
    </row>
    <row r="309" spans="1:16" s="40" customFormat="1" ht="15.75" customHeight="1">
      <c r="A309"/>
      <c r="B309" s="26"/>
      <c r="C309" s="1"/>
      <c r="D309" s="20"/>
      <c r="E309" s="1"/>
      <c r="F309" s="1"/>
      <c r="G309" s="32"/>
      <c r="H309" s="2"/>
      <c r="I309" s="2"/>
      <c r="J309" s="60"/>
      <c r="K309" s="2"/>
      <c r="L309" s="34"/>
      <c r="M309" s="34"/>
      <c r="O309"/>
      <c r="P309" s="58"/>
    </row>
    <row r="310" spans="1:16" s="40" customFormat="1" ht="15.75" customHeight="1">
      <c r="A310"/>
      <c r="B310" s="26"/>
      <c r="C310" s="1"/>
      <c r="D310" s="20"/>
      <c r="E310" s="1"/>
      <c r="F310" s="1"/>
      <c r="G310" s="32"/>
      <c r="H310" s="2"/>
      <c r="I310" s="2"/>
      <c r="J310" s="60"/>
      <c r="K310" s="2"/>
      <c r="L310" s="34"/>
      <c r="M310" s="34"/>
      <c r="O310"/>
      <c r="P310" s="58"/>
    </row>
    <row r="311" spans="1:16" s="40" customFormat="1" ht="15.75" customHeight="1">
      <c r="A311"/>
      <c r="B311" s="26"/>
      <c r="C311" s="1"/>
      <c r="D311" s="20"/>
      <c r="E311" s="1"/>
      <c r="F311" s="1"/>
      <c r="G311" s="32"/>
      <c r="H311" s="2"/>
      <c r="I311" s="2"/>
      <c r="J311" s="60"/>
      <c r="K311" s="2"/>
      <c r="L311" s="34"/>
      <c r="M311" s="34"/>
      <c r="O311"/>
      <c r="P311" s="58"/>
    </row>
    <row r="312" spans="1:16" s="40" customFormat="1" ht="15.75" customHeight="1">
      <c r="A312"/>
      <c r="B312" s="26"/>
      <c r="C312" s="1"/>
      <c r="D312" s="20"/>
      <c r="E312" s="1"/>
      <c r="F312" s="1"/>
      <c r="G312" s="32"/>
      <c r="H312" s="2"/>
      <c r="I312" s="2"/>
      <c r="J312" s="60"/>
      <c r="K312" s="2"/>
      <c r="L312" s="34"/>
      <c r="M312" s="34"/>
      <c r="O312"/>
      <c r="P312" s="58"/>
    </row>
    <row r="313" spans="1:16" s="40" customFormat="1" ht="15.75" customHeight="1">
      <c r="A313"/>
      <c r="B313" s="26"/>
      <c r="C313" s="1"/>
      <c r="D313" s="20"/>
      <c r="E313" s="1"/>
      <c r="F313" s="1"/>
      <c r="G313" s="32"/>
      <c r="H313" s="2"/>
      <c r="I313" s="2"/>
      <c r="J313" s="60"/>
      <c r="K313" s="2"/>
      <c r="L313" s="34"/>
      <c r="M313" s="34"/>
      <c r="O313"/>
      <c r="P313" s="58"/>
    </row>
    <row r="314" spans="1:16" s="40" customFormat="1" ht="15.75" customHeight="1">
      <c r="A314"/>
      <c r="B314" s="26"/>
      <c r="C314" s="1"/>
      <c r="D314" s="20"/>
      <c r="E314" s="1"/>
      <c r="F314" s="1"/>
      <c r="G314" s="32"/>
      <c r="H314" s="2"/>
      <c r="I314" s="2"/>
      <c r="J314" s="60"/>
      <c r="K314" s="2"/>
      <c r="L314" s="34"/>
      <c r="M314" s="34"/>
      <c r="O314"/>
      <c r="P314" s="58"/>
    </row>
    <row r="315" spans="1:16" s="40" customFormat="1" ht="15.75" customHeight="1">
      <c r="A315"/>
      <c r="B315" s="26"/>
      <c r="C315" s="1"/>
      <c r="D315" s="20"/>
      <c r="E315" s="1"/>
      <c r="F315" s="1"/>
      <c r="G315" s="32"/>
      <c r="H315" s="2"/>
      <c r="I315" s="2"/>
      <c r="J315" s="60"/>
      <c r="K315" s="2"/>
      <c r="L315" s="34"/>
      <c r="M315" s="34"/>
      <c r="O315"/>
      <c r="P315" s="58"/>
    </row>
    <row r="316" spans="1:16" s="40" customFormat="1" ht="15.75" customHeight="1">
      <c r="A316"/>
      <c r="B316" s="26"/>
      <c r="C316" s="1"/>
      <c r="D316" s="20"/>
      <c r="E316" s="1"/>
      <c r="F316" s="1"/>
      <c r="G316" s="32"/>
      <c r="H316" s="2"/>
      <c r="I316" s="2"/>
      <c r="J316" s="60"/>
      <c r="K316" s="2"/>
      <c r="L316" s="34"/>
      <c r="M316" s="34"/>
      <c r="O316"/>
      <c r="P316" s="58"/>
    </row>
    <row r="317" spans="1:16" s="40" customFormat="1" ht="15.75" customHeight="1">
      <c r="A317"/>
      <c r="B317" s="26"/>
      <c r="C317" s="1"/>
      <c r="D317" s="20"/>
      <c r="E317" s="1"/>
      <c r="F317" s="1"/>
      <c r="G317" s="32"/>
      <c r="H317" s="2"/>
      <c r="I317" s="2"/>
      <c r="J317" s="60"/>
      <c r="K317" s="2"/>
      <c r="L317" s="34"/>
      <c r="M317" s="34"/>
      <c r="O317"/>
      <c r="P317" s="58"/>
    </row>
    <row r="318" spans="1:16" s="40" customFormat="1" ht="15.75" customHeight="1">
      <c r="A318"/>
      <c r="B318" s="26"/>
      <c r="C318" s="1"/>
      <c r="D318" s="20"/>
      <c r="E318" s="1"/>
      <c r="F318" s="1"/>
      <c r="G318" s="32"/>
      <c r="H318" s="2"/>
      <c r="I318" s="2"/>
      <c r="J318" s="60"/>
      <c r="K318" s="2"/>
      <c r="L318" s="34"/>
      <c r="M318" s="34"/>
      <c r="O318"/>
      <c r="P318" s="58"/>
    </row>
    <row r="319" spans="1:16" s="40" customFormat="1" ht="15.75" customHeight="1">
      <c r="A319"/>
      <c r="B319" s="26"/>
      <c r="C319" s="1"/>
      <c r="D319" s="20"/>
      <c r="E319" s="1"/>
      <c r="F319" s="1"/>
      <c r="G319" s="32"/>
      <c r="H319" s="2"/>
      <c r="I319" s="2"/>
      <c r="J319" s="60"/>
      <c r="K319" s="2"/>
      <c r="L319" s="34"/>
      <c r="M319" s="34"/>
      <c r="O319"/>
      <c r="P319" s="58"/>
    </row>
    <row r="320" spans="1:16" s="40" customFormat="1" ht="15.75" customHeight="1">
      <c r="A320"/>
      <c r="B320" s="26"/>
      <c r="C320" s="1"/>
      <c r="D320" s="20"/>
      <c r="E320" s="1"/>
      <c r="F320" s="1"/>
      <c r="G320" s="32"/>
      <c r="H320" s="2"/>
      <c r="I320" s="2"/>
      <c r="J320" s="60"/>
      <c r="K320" s="2"/>
      <c r="L320" s="34"/>
      <c r="M320" s="34"/>
      <c r="O320"/>
      <c r="P320" s="58"/>
    </row>
    <row r="321" spans="1:16" s="40" customFormat="1" ht="15.75" customHeight="1">
      <c r="A321"/>
      <c r="B321" s="26"/>
      <c r="C321" s="1"/>
      <c r="D321" s="20"/>
      <c r="E321" s="1"/>
      <c r="F321" s="1"/>
      <c r="G321" s="32"/>
      <c r="H321" s="2"/>
      <c r="I321" s="2"/>
      <c r="J321" s="60"/>
      <c r="K321" s="2"/>
      <c r="L321" s="34"/>
      <c r="M321" s="34"/>
      <c r="O321"/>
      <c r="P321" s="58"/>
    </row>
    <row r="322" spans="1:16" s="40" customFormat="1" ht="15.75" customHeight="1">
      <c r="A322"/>
      <c r="B322" s="26"/>
      <c r="C322" s="1"/>
      <c r="D322" s="20"/>
      <c r="E322" s="1"/>
      <c r="F322" s="1"/>
      <c r="G322" s="32"/>
      <c r="H322" s="2"/>
      <c r="I322" s="2"/>
      <c r="J322" s="60"/>
      <c r="K322" s="2"/>
      <c r="L322" s="34"/>
      <c r="M322" s="34"/>
      <c r="O322"/>
      <c r="P322" s="58"/>
    </row>
    <row r="323" spans="1:16" s="40" customFormat="1" ht="15.75" customHeight="1">
      <c r="A323"/>
      <c r="B323" s="26"/>
      <c r="C323" s="1"/>
      <c r="D323" s="20"/>
      <c r="E323" s="1"/>
      <c r="F323" s="1"/>
      <c r="G323" s="32"/>
      <c r="H323" s="2"/>
      <c r="I323" s="2"/>
      <c r="J323" s="60"/>
      <c r="K323" s="2"/>
      <c r="L323" s="34"/>
      <c r="M323" s="34"/>
      <c r="O323"/>
      <c r="P323" s="58"/>
    </row>
    <row r="324" spans="1:16" s="40" customFormat="1" ht="15.75" customHeight="1">
      <c r="A324"/>
      <c r="B324" s="26"/>
      <c r="C324" s="1"/>
      <c r="D324" s="20"/>
      <c r="E324" s="1"/>
      <c r="F324" s="1"/>
      <c r="G324" s="32"/>
      <c r="H324" s="2"/>
      <c r="I324" s="2"/>
      <c r="J324" s="60"/>
      <c r="K324" s="2"/>
      <c r="L324" s="34"/>
      <c r="M324" s="34"/>
      <c r="O324"/>
      <c r="P324" s="58"/>
    </row>
    <row r="325" spans="1:16" s="40" customFormat="1" ht="15.75" customHeight="1">
      <c r="A325"/>
      <c r="B325" s="26"/>
      <c r="C325" s="1"/>
      <c r="D325" s="20"/>
      <c r="E325" s="1"/>
      <c r="F325" s="1"/>
      <c r="G325" s="32"/>
      <c r="H325" s="2"/>
      <c r="I325" s="2"/>
      <c r="J325" s="60"/>
      <c r="K325" s="2"/>
      <c r="L325" s="34"/>
      <c r="M325" s="34"/>
      <c r="O325"/>
      <c r="P325" s="58"/>
    </row>
    <row r="326" spans="1:16" s="40" customFormat="1" ht="15.75" customHeight="1">
      <c r="A326"/>
      <c r="B326" s="26"/>
      <c r="C326" s="1"/>
      <c r="D326" s="20"/>
      <c r="E326" s="1"/>
      <c r="F326" s="1"/>
      <c r="G326" s="32"/>
      <c r="H326" s="2"/>
      <c r="I326" s="2"/>
      <c r="J326" s="60"/>
      <c r="K326" s="2"/>
      <c r="L326" s="34"/>
      <c r="M326" s="34"/>
      <c r="O326"/>
      <c r="P326" s="58"/>
    </row>
    <row r="327" spans="1:16" s="40" customFormat="1" ht="15.75" customHeight="1">
      <c r="A327"/>
      <c r="B327" s="26"/>
      <c r="C327" s="1"/>
      <c r="D327" s="20"/>
      <c r="E327" s="1"/>
      <c r="F327" s="1"/>
      <c r="G327" s="32"/>
      <c r="H327" s="2"/>
      <c r="I327" s="2"/>
      <c r="J327" s="60"/>
      <c r="K327" s="2"/>
      <c r="L327" s="34"/>
      <c r="M327" s="34"/>
      <c r="O327"/>
      <c r="P327" s="58"/>
    </row>
    <row r="328" spans="1:16" s="40" customFormat="1" ht="15.75" customHeight="1">
      <c r="A328"/>
      <c r="B328" s="26"/>
      <c r="C328" s="1"/>
      <c r="D328" s="20"/>
      <c r="E328" s="1"/>
      <c r="F328" s="1"/>
      <c r="G328" s="32"/>
      <c r="H328" s="2"/>
      <c r="I328" s="2"/>
      <c r="J328" s="60"/>
      <c r="K328" s="2"/>
      <c r="L328" s="34"/>
      <c r="M328" s="34"/>
      <c r="O328"/>
      <c r="P328" s="58"/>
    </row>
    <row r="329" spans="1:16" s="40" customFormat="1" ht="15.75" customHeight="1">
      <c r="A329"/>
      <c r="B329" s="26"/>
      <c r="C329" s="1"/>
      <c r="D329" s="20"/>
      <c r="E329" s="1"/>
      <c r="F329" s="1"/>
      <c r="G329" s="32"/>
      <c r="H329" s="2"/>
      <c r="I329" s="2"/>
      <c r="J329" s="60"/>
      <c r="K329" s="2"/>
      <c r="L329" s="34"/>
      <c r="M329" s="34"/>
      <c r="O329"/>
      <c r="P329" s="58"/>
    </row>
    <row r="330" spans="1:16" s="40" customFormat="1" ht="15.75" customHeight="1">
      <c r="A330"/>
      <c r="B330" s="26"/>
      <c r="C330" s="1"/>
      <c r="D330" s="20"/>
      <c r="E330" s="1"/>
      <c r="F330" s="1"/>
      <c r="G330" s="32"/>
      <c r="H330" s="2"/>
      <c r="I330" s="2"/>
      <c r="J330" s="60"/>
      <c r="K330" s="2"/>
      <c r="L330" s="34"/>
      <c r="M330" s="34"/>
      <c r="O330"/>
      <c r="P330" s="58"/>
    </row>
    <row r="331" spans="1:16" s="40" customFormat="1" ht="15.75" customHeight="1">
      <c r="A331"/>
      <c r="B331" s="26"/>
      <c r="C331" s="1"/>
      <c r="D331" s="20"/>
      <c r="E331" s="1"/>
      <c r="F331" s="1"/>
      <c r="G331" s="32"/>
      <c r="H331" s="2"/>
      <c r="I331" s="2"/>
      <c r="J331" s="60"/>
      <c r="K331" s="2"/>
      <c r="L331" s="34"/>
      <c r="M331" s="34"/>
      <c r="O331"/>
      <c r="P331" s="58"/>
    </row>
    <row r="332" spans="1:16" s="40" customFormat="1" ht="15.75" customHeight="1">
      <c r="A332"/>
      <c r="B332" s="26"/>
      <c r="C332" s="1"/>
      <c r="D332" s="20"/>
      <c r="E332" s="1"/>
      <c r="F332" s="1"/>
      <c r="G332" s="32"/>
      <c r="H332" s="2"/>
      <c r="I332" s="2"/>
      <c r="J332" s="60"/>
      <c r="K332" s="2"/>
      <c r="L332" s="34"/>
      <c r="M332" s="34"/>
      <c r="O332"/>
      <c r="P332" s="58"/>
    </row>
    <row r="333" spans="1:16" s="40" customFormat="1" ht="15.75" customHeight="1">
      <c r="A333"/>
      <c r="B333" s="26"/>
      <c r="C333" s="1"/>
      <c r="D333" s="20"/>
      <c r="E333" s="1"/>
      <c r="F333" s="1"/>
      <c r="G333" s="32"/>
      <c r="H333" s="2"/>
      <c r="I333" s="2"/>
      <c r="J333" s="60"/>
      <c r="K333" s="2"/>
      <c r="L333" s="34"/>
      <c r="M333" s="34"/>
      <c r="O333"/>
      <c r="P333" s="58"/>
    </row>
    <row r="334" spans="1:16" s="40" customFormat="1" ht="15.75" customHeight="1">
      <c r="A334"/>
      <c r="B334" s="26"/>
      <c r="C334" s="1"/>
      <c r="D334" s="20"/>
      <c r="E334" s="1"/>
      <c r="F334" s="1"/>
      <c r="G334" s="32"/>
      <c r="H334" s="2"/>
      <c r="I334" s="2"/>
      <c r="J334" s="60"/>
      <c r="K334" s="2"/>
      <c r="L334" s="34"/>
      <c r="M334" s="34"/>
      <c r="O334"/>
      <c r="P334" s="58"/>
    </row>
    <row r="335" spans="1:16" s="40" customFormat="1" ht="15.75" customHeight="1">
      <c r="A335"/>
      <c r="B335" s="26"/>
      <c r="C335" s="1"/>
      <c r="D335" s="20"/>
      <c r="E335" s="1"/>
      <c r="F335" s="1"/>
      <c r="G335" s="32"/>
      <c r="H335" s="2"/>
      <c r="I335" s="2"/>
      <c r="J335" s="60"/>
      <c r="K335" s="2"/>
      <c r="L335" s="34"/>
      <c r="M335" s="34"/>
      <c r="O335"/>
      <c r="P335" s="58"/>
    </row>
    <row r="336" spans="1:16" s="40" customFormat="1" ht="15.75" customHeight="1">
      <c r="A336"/>
      <c r="B336" s="26"/>
      <c r="C336" s="1"/>
      <c r="D336" s="20"/>
      <c r="E336" s="1"/>
      <c r="F336" s="1"/>
      <c r="G336" s="32"/>
      <c r="H336" s="2"/>
      <c r="I336" s="2"/>
      <c r="J336" s="60"/>
      <c r="K336" s="2"/>
      <c r="L336" s="34"/>
      <c r="M336" s="34"/>
      <c r="O336"/>
      <c r="P336" s="58"/>
    </row>
    <row r="337" spans="1:16" s="40" customFormat="1" ht="15.75" customHeight="1">
      <c r="A337"/>
      <c r="B337" s="26"/>
      <c r="C337" s="1"/>
      <c r="D337" s="20"/>
      <c r="E337" s="1"/>
      <c r="F337" s="1"/>
      <c r="G337" s="32"/>
      <c r="H337" s="2"/>
      <c r="I337" s="2"/>
      <c r="J337" s="60"/>
      <c r="K337" s="2"/>
      <c r="L337" s="34"/>
      <c r="M337" s="34"/>
      <c r="O337"/>
      <c r="P337" s="58"/>
    </row>
    <row r="338" spans="1:16" s="40" customFormat="1" ht="15.75" customHeight="1">
      <c r="A338"/>
      <c r="B338" s="26"/>
      <c r="C338" s="1"/>
      <c r="D338" s="20"/>
      <c r="E338" s="1"/>
      <c r="F338" s="1"/>
      <c r="G338" s="32"/>
      <c r="H338" s="2"/>
      <c r="I338" s="2"/>
      <c r="J338" s="60"/>
      <c r="K338" s="2"/>
      <c r="L338" s="34"/>
      <c r="M338" s="34"/>
      <c r="O338"/>
      <c r="P338" s="58"/>
    </row>
    <row r="339" spans="1:16" s="40" customFormat="1" ht="15.75" customHeight="1">
      <c r="A339"/>
      <c r="B339" s="26"/>
      <c r="C339" s="1"/>
      <c r="D339" s="20"/>
      <c r="E339" s="1"/>
      <c r="F339" s="1"/>
      <c r="G339" s="32"/>
      <c r="H339" s="2"/>
      <c r="I339" s="2"/>
      <c r="J339" s="60"/>
      <c r="K339" s="2"/>
      <c r="L339" s="34"/>
      <c r="M339" s="34"/>
      <c r="O339"/>
      <c r="P339" s="58"/>
    </row>
    <row r="340" spans="1:16" s="40" customFormat="1" ht="15.75" customHeight="1">
      <c r="A340"/>
      <c r="B340" s="26"/>
      <c r="C340" s="1"/>
      <c r="D340" s="20"/>
      <c r="E340" s="1"/>
      <c r="F340" s="1"/>
      <c r="G340" s="32"/>
      <c r="H340" s="2"/>
      <c r="I340" s="2"/>
      <c r="J340" s="60"/>
      <c r="K340" s="2"/>
      <c r="L340" s="34"/>
      <c r="M340" s="34"/>
      <c r="O340"/>
      <c r="P340" s="58"/>
    </row>
    <row r="341" spans="1:16" s="40" customFormat="1" ht="15.75" customHeight="1">
      <c r="A341"/>
      <c r="B341" s="26"/>
      <c r="C341" s="1"/>
      <c r="D341" s="20"/>
      <c r="E341" s="1"/>
      <c r="F341" s="1"/>
      <c r="G341" s="32"/>
      <c r="H341" s="2"/>
      <c r="I341" s="2"/>
      <c r="J341" s="60"/>
      <c r="K341" s="2"/>
      <c r="L341" s="34"/>
      <c r="M341" s="34"/>
      <c r="O341"/>
      <c r="P341" s="58"/>
    </row>
    <row r="342" spans="1:16" s="40" customFormat="1" ht="15.75" customHeight="1">
      <c r="A342"/>
      <c r="B342" s="31"/>
      <c r="C342"/>
      <c r="D342" s="25"/>
      <c r="E342"/>
      <c r="F342"/>
      <c r="G342" s="33"/>
      <c r="H342"/>
      <c r="I342"/>
      <c r="J342" s="65"/>
      <c r="K342"/>
      <c r="O342"/>
      <c r="P342" s="58"/>
    </row>
    <row r="343" spans="1:16" s="40" customFormat="1" ht="15.75" customHeight="1">
      <c r="A343"/>
      <c r="B343" s="31"/>
      <c r="C343"/>
      <c r="D343" s="25"/>
      <c r="E343"/>
      <c r="F343"/>
      <c r="G343" s="33"/>
      <c r="H343"/>
      <c r="I343"/>
      <c r="J343" s="65"/>
      <c r="K343"/>
      <c r="O343"/>
      <c r="P343" s="58"/>
    </row>
    <row r="344" spans="1:16" s="40" customFormat="1" ht="15.75" customHeight="1">
      <c r="A344"/>
      <c r="B344" s="31"/>
      <c r="C344"/>
      <c r="D344" s="25"/>
      <c r="E344"/>
      <c r="F344"/>
      <c r="G344" s="33"/>
      <c r="H344"/>
      <c r="I344"/>
      <c r="J344" s="65"/>
      <c r="K344"/>
      <c r="O344"/>
      <c r="P344" s="58"/>
    </row>
    <row r="345" spans="1:16" s="40" customFormat="1" ht="15.75" customHeight="1">
      <c r="A345"/>
      <c r="B345" s="31"/>
      <c r="C345"/>
      <c r="D345" s="25"/>
      <c r="E345"/>
      <c r="F345"/>
      <c r="G345" s="33"/>
      <c r="H345"/>
      <c r="I345"/>
      <c r="J345" s="65"/>
      <c r="K345"/>
      <c r="O345"/>
      <c r="P345" s="58"/>
    </row>
    <row r="346" spans="1:16" s="40" customFormat="1" ht="15.75" customHeight="1">
      <c r="A346"/>
      <c r="B346" s="31"/>
      <c r="C346"/>
      <c r="D346" s="25"/>
      <c r="E346"/>
      <c r="F346"/>
      <c r="G346" s="33"/>
      <c r="H346"/>
      <c r="I346"/>
      <c r="J346" s="65"/>
      <c r="K346"/>
      <c r="O346"/>
      <c r="P346" s="58"/>
    </row>
    <row r="347" spans="1:16" s="40" customFormat="1" ht="15.75" customHeight="1">
      <c r="A347"/>
      <c r="B347" s="31"/>
      <c r="C347"/>
      <c r="D347" s="25"/>
      <c r="E347"/>
      <c r="F347"/>
      <c r="G347" s="33"/>
      <c r="H347"/>
      <c r="I347"/>
      <c r="J347" s="65"/>
      <c r="K347"/>
      <c r="O347"/>
      <c r="P347" s="58"/>
    </row>
    <row r="348" spans="1:16" s="40" customFormat="1" ht="15.75" customHeight="1">
      <c r="A348"/>
      <c r="B348" s="31"/>
      <c r="C348"/>
      <c r="D348" s="25"/>
      <c r="E348"/>
      <c r="F348"/>
      <c r="G348" s="33"/>
      <c r="H348"/>
      <c r="I348"/>
      <c r="J348" s="65"/>
      <c r="K348"/>
      <c r="O348"/>
      <c r="P348" s="58"/>
    </row>
    <row r="349" spans="1:16" s="40" customFormat="1" ht="15.75" customHeight="1">
      <c r="A349"/>
      <c r="B349" s="31"/>
      <c r="C349"/>
      <c r="D349" s="25"/>
      <c r="E349"/>
      <c r="F349"/>
      <c r="G349" s="33"/>
      <c r="H349"/>
      <c r="I349"/>
      <c r="J349" s="65"/>
      <c r="K349"/>
      <c r="O349"/>
      <c r="P349" s="58"/>
    </row>
    <row r="350" spans="1:16" s="40" customFormat="1" ht="15.75" customHeight="1">
      <c r="A350"/>
      <c r="B350" s="31"/>
      <c r="C350"/>
      <c r="D350" s="25"/>
      <c r="E350"/>
      <c r="F350"/>
      <c r="G350" s="33"/>
      <c r="H350"/>
      <c r="I350"/>
      <c r="J350" s="65"/>
      <c r="K350"/>
      <c r="O350"/>
      <c r="P350" s="58"/>
    </row>
    <row r="351" spans="1:16" s="40" customFormat="1" ht="15.75" customHeight="1">
      <c r="A351"/>
      <c r="B351" s="31"/>
      <c r="C351"/>
      <c r="D351" s="25"/>
      <c r="E351"/>
      <c r="F351"/>
      <c r="G351" s="33"/>
      <c r="H351"/>
      <c r="I351"/>
      <c r="J351" s="65"/>
      <c r="K351"/>
      <c r="O351"/>
      <c r="P351" s="58"/>
    </row>
    <row r="352" spans="1:16" s="40" customFormat="1" ht="15.75" customHeight="1">
      <c r="A352"/>
      <c r="B352" s="31"/>
      <c r="C352"/>
      <c r="D352" s="25"/>
      <c r="E352"/>
      <c r="F352"/>
      <c r="G352" s="33"/>
      <c r="H352"/>
      <c r="I352"/>
      <c r="J352" s="65"/>
      <c r="K352"/>
      <c r="O352"/>
      <c r="P352" s="58"/>
    </row>
    <row r="353" spans="1:16" s="40" customFormat="1" ht="15.75" customHeight="1">
      <c r="A353"/>
      <c r="B353" s="31"/>
      <c r="C353"/>
      <c r="D353" s="25"/>
      <c r="E353"/>
      <c r="F353"/>
      <c r="G353" s="33"/>
      <c r="H353"/>
      <c r="I353"/>
      <c r="J353" s="65"/>
      <c r="K353"/>
      <c r="O353"/>
      <c r="P353" s="58"/>
    </row>
    <row r="354" spans="1:16" s="40" customFormat="1" ht="15.75" customHeight="1">
      <c r="A354"/>
      <c r="B354" s="31"/>
      <c r="C354"/>
      <c r="D354" s="25"/>
      <c r="E354"/>
      <c r="F354"/>
      <c r="G354" s="33"/>
      <c r="H354"/>
      <c r="I354"/>
      <c r="J354" s="65"/>
      <c r="K354"/>
      <c r="O354"/>
      <c r="P354" s="58"/>
    </row>
    <row r="355" spans="1:16" s="40" customFormat="1" ht="15.75" customHeight="1">
      <c r="A355"/>
      <c r="B355" s="31"/>
      <c r="C355"/>
      <c r="D355" s="25"/>
      <c r="E355"/>
      <c r="F355"/>
      <c r="G355" s="33"/>
      <c r="H355"/>
      <c r="I355"/>
      <c r="J355" s="65"/>
      <c r="K355"/>
      <c r="O355"/>
      <c r="P355" s="58"/>
    </row>
    <row r="356" spans="1:16" s="40" customFormat="1" ht="15.75" customHeight="1">
      <c r="A356"/>
      <c r="B356" s="31"/>
      <c r="C356"/>
      <c r="D356" s="25"/>
      <c r="E356"/>
      <c r="F356"/>
      <c r="G356" s="33"/>
      <c r="H356"/>
      <c r="I356"/>
      <c r="J356" s="65"/>
      <c r="K356"/>
      <c r="O356"/>
      <c r="P356" s="58"/>
    </row>
    <row r="357" spans="1:16" s="40" customFormat="1" ht="15.75" customHeight="1">
      <c r="A357"/>
      <c r="B357" s="31"/>
      <c r="C357"/>
      <c r="D357" s="25"/>
      <c r="E357"/>
      <c r="F357"/>
      <c r="G357" s="33"/>
      <c r="H357"/>
      <c r="I357"/>
      <c r="J357" s="65"/>
      <c r="K357"/>
      <c r="O357"/>
      <c r="P357" s="58"/>
    </row>
    <row r="358" spans="1:16" s="40" customFormat="1" ht="15.75" customHeight="1">
      <c r="A358"/>
      <c r="B358" s="31"/>
      <c r="C358"/>
      <c r="D358" s="25"/>
      <c r="E358"/>
      <c r="F358"/>
      <c r="G358" s="33"/>
      <c r="H358"/>
      <c r="I358"/>
      <c r="J358" s="65"/>
      <c r="K358"/>
      <c r="O358"/>
      <c r="P358" s="58"/>
    </row>
    <row r="359" spans="1:16" s="40" customFormat="1" ht="15.75" customHeight="1">
      <c r="A359"/>
      <c r="B359" s="31"/>
      <c r="C359"/>
      <c r="D359" s="25"/>
      <c r="E359"/>
      <c r="F359"/>
      <c r="G359" s="33"/>
      <c r="H359"/>
      <c r="I359"/>
      <c r="J359" s="65"/>
      <c r="K359"/>
      <c r="O359"/>
      <c r="P359" s="58"/>
    </row>
    <row r="360" spans="1:16" ht="15.75" customHeight="1"/>
    <row r="361" spans="1:16" ht="15.75" customHeight="1"/>
    <row r="362" spans="1:16" ht="15.75" customHeight="1"/>
    <row r="363" spans="1:16" ht="15.75" customHeight="1"/>
    <row r="364" spans="1:16" ht="15.75" customHeight="1"/>
    <row r="365" spans="1:16" ht="15.75" customHeight="1"/>
    <row r="366" spans="1:16" ht="15.75" customHeight="1"/>
    <row r="367" spans="1:16" ht="15.75" customHeight="1"/>
    <row r="368" spans="1:16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phoneticPr fontId="5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A425-2710-4DC6-BABB-0FFBA54418B1}">
  <dimension ref="A1:Q981"/>
  <sheetViews>
    <sheetView zoomScale="80" zoomScaleNormal="80" workbookViewId="0">
      <pane ySplit="2" topLeftCell="E3" activePane="bottomLeft" state="frozen"/>
      <selection pane="bottomLeft" activeCell="G73" sqref="G73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4.14062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52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>
        <v>1221826</v>
      </c>
      <c r="B3" s="28">
        <v>141021</v>
      </c>
      <c r="C3" s="5" t="s">
        <v>53</v>
      </c>
      <c r="D3" s="22">
        <v>45921.958333333336</v>
      </c>
      <c r="E3" s="17" t="s">
        <v>19</v>
      </c>
      <c r="F3" s="5" t="s">
        <v>54</v>
      </c>
      <c r="G3" s="17" t="s">
        <v>55</v>
      </c>
      <c r="H3" s="6">
        <v>340</v>
      </c>
      <c r="I3" s="6">
        <v>144</v>
      </c>
      <c r="J3" s="62">
        <v>1</v>
      </c>
      <c r="K3" s="6" t="s">
        <v>56</v>
      </c>
      <c r="L3" s="36">
        <v>48960</v>
      </c>
      <c r="M3" s="42">
        <v>53856</v>
      </c>
      <c r="N3" s="56">
        <v>0</v>
      </c>
      <c r="O3" s="48" t="s">
        <v>57</v>
      </c>
      <c r="P3" s="59" t="s">
        <v>58</v>
      </c>
      <c r="Q3" s="67">
        <f>(M3+N3*1.1)/(I3*J3)</f>
        <v>374</v>
      </c>
    </row>
    <row r="4" spans="1:17" ht="18.75" customHeight="1">
      <c r="A4" s="5">
        <v>1221825</v>
      </c>
      <c r="B4" s="28">
        <v>141021</v>
      </c>
      <c r="C4" s="5" t="s">
        <v>59</v>
      </c>
      <c r="D4" s="22">
        <v>45921.958333333336</v>
      </c>
      <c r="E4" s="17" t="s">
        <v>19</v>
      </c>
      <c r="F4" s="5" t="s">
        <v>60</v>
      </c>
      <c r="G4" s="17" t="s">
        <v>61</v>
      </c>
      <c r="H4" s="6">
        <v>45000</v>
      </c>
      <c r="I4" s="6">
        <v>1</v>
      </c>
      <c r="J4" s="62">
        <v>1</v>
      </c>
      <c r="K4" s="6" t="s">
        <v>56</v>
      </c>
      <c r="L4" s="36">
        <v>45000</v>
      </c>
      <c r="M4" s="42">
        <v>49500</v>
      </c>
      <c r="N4" s="53">
        <v>0</v>
      </c>
      <c r="O4" s="48" t="s">
        <v>62</v>
      </c>
      <c r="P4" s="51" t="s">
        <v>63</v>
      </c>
      <c r="Q4" s="67">
        <f t="shared" ref="Q4:Q67" si="0">(M4+N4*1.1)/(I4*J4)</f>
        <v>49500</v>
      </c>
    </row>
    <row r="5" spans="1:17" ht="18.75" customHeight="1">
      <c r="A5" s="5">
        <v>1221768</v>
      </c>
      <c r="B5" s="28">
        <v>141021</v>
      </c>
      <c r="C5" s="5" t="s">
        <v>53</v>
      </c>
      <c r="D5" s="22">
        <v>45921.958333333336</v>
      </c>
      <c r="E5" s="17" t="s">
        <v>19</v>
      </c>
      <c r="F5" s="5" t="s">
        <v>64</v>
      </c>
      <c r="G5" s="17" t="s">
        <v>65</v>
      </c>
      <c r="H5" s="6">
        <v>180</v>
      </c>
      <c r="I5" s="6">
        <v>288</v>
      </c>
      <c r="J5" s="62">
        <v>1</v>
      </c>
      <c r="K5" s="6" t="s">
        <v>56</v>
      </c>
      <c r="L5" s="36">
        <v>51840</v>
      </c>
      <c r="M5" s="42">
        <v>57024</v>
      </c>
      <c r="N5" s="53">
        <v>0</v>
      </c>
      <c r="O5" s="48" t="s">
        <v>66</v>
      </c>
      <c r="P5" s="51" t="s">
        <v>63</v>
      </c>
      <c r="Q5" s="67">
        <f t="shared" si="0"/>
        <v>198</v>
      </c>
    </row>
    <row r="6" spans="1:17" ht="18.75" customHeight="1">
      <c r="A6" s="5">
        <v>1221766</v>
      </c>
      <c r="B6" s="28">
        <v>141021</v>
      </c>
      <c r="C6" s="5" t="s">
        <v>53</v>
      </c>
      <c r="D6" s="22">
        <v>45921.958333333336</v>
      </c>
      <c r="E6" s="17" t="s">
        <v>19</v>
      </c>
      <c r="F6" s="5" t="s">
        <v>67</v>
      </c>
      <c r="G6" s="17" t="s">
        <v>68</v>
      </c>
      <c r="H6" s="6">
        <v>52500</v>
      </c>
      <c r="I6" s="6">
        <v>240</v>
      </c>
      <c r="J6" s="62">
        <v>1</v>
      </c>
      <c r="K6" s="6" t="s">
        <v>56</v>
      </c>
      <c r="L6" s="36">
        <v>52500</v>
      </c>
      <c r="M6" s="42">
        <v>57750</v>
      </c>
      <c r="N6" s="53">
        <v>0</v>
      </c>
      <c r="O6" s="48" t="s">
        <v>62</v>
      </c>
      <c r="P6" s="51" t="s">
        <v>63</v>
      </c>
      <c r="Q6" s="67">
        <f t="shared" si="0"/>
        <v>240.625</v>
      </c>
    </row>
    <row r="7" spans="1:17" ht="18.75" customHeight="1">
      <c r="A7" s="5">
        <v>1221689</v>
      </c>
      <c r="B7" s="28">
        <v>141021</v>
      </c>
      <c r="C7" s="5" t="s">
        <v>53</v>
      </c>
      <c r="D7" s="22">
        <v>45921.958333333336</v>
      </c>
      <c r="E7" s="17" t="s">
        <v>19</v>
      </c>
      <c r="F7" s="5" t="s">
        <v>69</v>
      </c>
      <c r="G7" s="17" t="s">
        <v>70</v>
      </c>
      <c r="H7" s="6">
        <v>423</v>
      </c>
      <c r="I7" s="6">
        <v>120</v>
      </c>
      <c r="J7" s="62">
        <v>1</v>
      </c>
      <c r="K7" s="6" t="s">
        <v>56</v>
      </c>
      <c r="L7" s="36">
        <v>50760</v>
      </c>
      <c r="M7" s="42">
        <v>55836</v>
      </c>
      <c r="N7" s="53">
        <v>0</v>
      </c>
      <c r="O7" s="48" t="s">
        <v>71</v>
      </c>
      <c r="P7" s="51" t="s">
        <v>72</v>
      </c>
      <c r="Q7" s="67">
        <f t="shared" si="0"/>
        <v>465.3</v>
      </c>
    </row>
    <row r="8" spans="1:17" ht="18.75" customHeight="1">
      <c r="A8" s="5">
        <v>1199277</v>
      </c>
      <c r="B8" s="28">
        <v>139246</v>
      </c>
      <c r="C8" s="5" t="s">
        <v>53</v>
      </c>
      <c r="D8" s="22">
        <v>45907.022222222222</v>
      </c>
      <c r="E8" s="17" t="s">
        <v>23</v>
      </c>
      <c r="F8" s="5" t="s">
        <v>73</v>
      </c>
      <c r="G8" s="17" t="s">
        <v>74</v>
      </c>
      <c r="H8" s="6">
        <v>1000</v>
      </c>
      <c r="I8" s="6">
        <v>60</v>
      </c>
      <c r="J8" s="62">
        <v>0.5</v>
      </c>
      <c r="K8" s="6" t="s">
        <v>56</v>
      </c>
      <c r="L8" s="36">
        <v>30000</v>
      </c>
      <c r="M8" s="42">
        <v>33000</v>
      </c>
      <c r="N8" s="53">
        <v>0</v>
      </c>
      <c r="O8" s="48" t="s">
        <v>71</v>
      </c>
      <c r="P8" s="51" t="s">
        <v>75</v>
      </c>
      <c r="Q8" s="67">
        <f t="shared" si="0"/>
        <v>1100</v>
      </c>
    </row>
    <row r="9" spans="1:17" ht="18.75" customHeight="1">
      <c r="A9" s="5">
        <v>1199275</v>
      </c>
      <c r="B9" s="28">
        <v>139246</v>
      </c>
      <c r="C9" s="5" t="s">
        <v>53</v>
      </c>
      <c r="D9" s="22">
        <v>45907.022222222222</v>
      </c>
      <c r="E9" s="17" t="s">
        <v>23</v>
      </c>
      <c r="F9" s="5" t="s">
        <v>76</v>
      </c>
      <c r="G9" s="17" t="s">
        <v>77</v>
      </c>
      <c r="H9" s="6">
        <v>1000</v>
      </c>
      <c r="I9" s="6">
        <v>24</v>
      </c>
      <c r="J9" s="62">
        <v>1</v>
      </c>
      <c r="K9" s="6" t="s">
        <v>56</v>
      </c>
      <c r="L9" s="36">
        <v>24000</v>
      </c>
      <c r="M9" s="42">
        <v>26400</v>
      </c>
      <c r="N9" s="53">
        <v>0</v>
      </c>
      <c r="O9" s="48" t="s">
        <v>71</v>
      </c>
      <c r="P9" s="51" t="s">
        <v>78</v>
      </c>
      <c r="Q9" s="67">
        <f t="shared" si="0"/>
        <v>1100</v>
      </c>
    </row>
    <row r="10" spans="1:17" ht="18.75" customHeight="1">
      <c r="A10" s="5">
        <v>1199279</v>
      </c>
      <c r="B10" s="28">
        <v>139246</v>
      </c>
      <c r="C10" s="5" t="s">
        <v>53</v>
      </c>
      <c r="D10" s="22">
        <v>45907.022222222222</v>
      </c>
      <c r="E10" s="17" t="s">
        <v>23</v>
      </c>
      <c r="F10" s="5" t="s">
        <v>79</v>
      </c>
      <c r="G10" s="17" t="s">
        <v>80</v>
      </c>
      <c r="H10" s="6">
        <v>612</v>
      </c>
      <c r="I10" s="6">
        <v>75</v>
      </c>
      <c r="J10" s="62">
        <v>1</v>
      </c>
      <c r="K10" s="6" t="s">
        <v>56</v>
      </c>
      <c r="L10" s="36">
        <v>45900</v>
      </c>
      <c r="M10" s="42">
        <v>50490</v>
      </c>
      <c r="N10" s="53">
        <v>0</v>
      </c>
      <c r="O10" s="48" t="s">
        <v>71</v>
      </c>
      <c r="P10" s="51">
        <v>45870</v>
      </c>
      <c r="Q10" s="67">
        <f t="shared" si="0"/>
        <v>673.2</v>
      </c>
    </row>
    <row r="11" spans="1:17" ht="18.75" customHeight="1">
      <c r="A11" s="5">
        <v>1199280</v>
      </c>
      <c r="B11" s="28">
        <v>139246</v>
      </c>
      <c r="C11" s="5" t="s">
        <v>53</v>
      </c>
      <c r="D11" s="22">
        <v>45907.022222222222</v>
      </c>
      <c r="E11" s="17" t="s">
        <v>23</v>
      </c>
      <c r="F11" s="5" t="s">
        <v>81</v>
      </c>
      <c r="G11" s="17" t="s">
        <v>82</v>
      </c>
      <c r="H11" s="6">
        <v>648</v>
      </c>
      <c r="I11" s="6">
        <v>72</v>
      </c>
      <c r="J11" s="62">
        <v>1</v>
      </c>
      <c r="K11" s="6" t="s">
        <v>56</v>
      </c>
      <c r="L11" s="36">
        <v>46656</v>
      </c>
      <c r="M11" s="42">
        <v>51322</v>
      </c>
      <c r="N11" s="53">
        <v>0</v>
      </c>
      <c r="O11" s="48" t="s">
        <v>71</v>
      </c>
      <c r="P11" s="51" t="s">
        <v>83</v>
      </c>
      <c r="Q11" s="67">
        <f t="shared" si="0"/>
        <v>712.80555555555554</v>
      </c>
    </row>
    <row r="12" spans="1:17" ht="18.75" customHeight="1">
      <c r="A12" s="5">
        <v>1199262</v>
      </c>
      <c r="B12" s="28">
        <v>139244</v>
      </c>
      <c r="C12" s="5" t="s">
        <v>59</v>
      </c>
      <c r="D12" s="22">
        <v>45907.015972222223</v>
      </c>
      <c r="E12" s="17" t="s">
        <v>19</v>
      </c>
      <c r="F12" s="5" t="s">
        <v>84</v>
      </c>
      <c r="G12" s="17" t="s">
        <v>85</v>
      </c>
      <c r="H12" s="6">
        <v>950</v>
      </c>
      <c r="I12" s="6">
        <v>36</v>
      </c>
      <c r="J12" s="62">
        <v>0.5</v>
      </c>
      <c r="K12" s="6" t="s">
        <v>56</v>
      </c>
      <c r="L12" s="36">
        <v>17100</v>
      </c>
      <c r="M12" s="42">
        <v>18810</v>
      </c>
      <c r="N12" s="53">
        <v>1000</v>
      </c>
      <c r="O12" s="48" t="s">
        <v>86</v>
      </c>
      <c r="P12" s="51" t="s">
        <v>63</v>
      </c>
      <c r="Q12" s="67">
        <f t="shared" si="0"/>
        <v>1106.1111111111111</v>
      </c>
    </row>
    <row r="13" spans="1:17" ht="18.75" customHeight="1">
      <c r="A13" s="5">
        <v>1199264</v>
      </c>
      <c r="B13" s="28">
        <v>139244</v>
      </c>
      <c r="C13" s="5" t="s">
        <v>53</v>
      </c>
      <c r="D13" s="22">
        <v>45907.015972222223</v>
      </c>
      <c r="E13" s="17" t="s">
        <v>19</v>
      </c>
      <c r="F13" s="5" t="s">
        <v>87</v>
      </c>
      <c r="G13" s="17" t="s">
        <v>88</v>
      </c>
      <c r="H13" s="6">
        <v>1000</v>
      </c>
      <c r="I13" s="6">
        <v>48</v>
      </c>
      <c r="J13" s="62">
        <v>0.5</v>
      </c>
      <c r="K13" s="6" t="s">
        <v>56</v>
      </c>
      <c r="L13" s="36">
        <v>24000</v>
      </c>
      <c r="M13" s="42">
        <v>26400</v>
      </c>
      <c r="N13" s="53">
        <v>0</v>
      </c>
      <c r="O13" s="48" t="s">
        <v>71</v>
      </c>
      <c r="P13" s="51" t="s">
        <v>75</v>
      </c>
      <c r="Q13" s="67">
        <f t="shared" si="0"/>
        <v>1100</v>
      </c>
    </row>
    <row r="14" spans="1:17" ht="18.75" customHeight="1">
      <c r="A14" s="5">
        <v>1199261</v>
      </c>
      <c r="B14" s="28">
        <v>139244</v>
      </c>
      <c r="C14" s="5" t="s">
        <v>53</v>
      </c>
      <c r="D14" s="22">
        <v>45907.015972222223</v>
      </c>
      <c r="E14" s="17" t="s">
        <v>19</v>
      </c>
      <c r="F14" s="5" t="s">
        <v>73</v>
      </c>
      <c r="G14" s="17" t="s">
        <v>74</v>
      </c>
      <c r="H14" s="6">
        <v>1000</v>
      </c>
      <c r="I14" s="6">
        <v>60</v>
      </c>
      <c r="J14" s="62">
        <v>0.5</v>
      </c>
      <c r="K14" s="6" t="s">
        <v>56</v>
      </c>
      <c r="L14" s="36">
        <v>30000</v>
      </c>
      <c r="M14" s="42">
        <v>33000</v>
      </c>
      <c r="N14" s="53">
        <v>0</v>
      </c>
      <c r="O14" s="48" t="s">
        <v>71</v>
      </c>
      <c r="P14" s="51" t="s">
        <v>75</v>
      </c>
      <c r="Q14" s="67">
        <f t="shared" si="0"/>
        <v>1100</v>
      </c>
    </row>
    <row r="15" spans="1:17" ht="18.75" customHeight="1">
      <c r="A15" s="5">
        <v>1199258</v>
      </c>
      <c r="B15" s="28">
        <v>139244</v>
      </c>
      <c r="C15" s="5" t="s">
        <v>53</v>
      </c>
      <c r="D15" s="22">
        <v>45907.015972222223</v>
      </c>
      <c r="E15" s="17" t="s">
        <v>19</v>
      </c>
      <c r="F15" s="5" t="s">
        <v>76</v>
      </c>
      <c r="G15" s="17" t="s">
        <v>77</v>
      </c>
      <c r="H15" s="6">
        <v>1000</v>
      </c>
      <c r="I15" s="6">
        <v>24</v>
      </c>
      <c r="J15" s="62">
        <v>1</v>
      </c>
      <c r="K15" s="6" t="s">
        <v>56</v>
      </c>
      <c r="L15" s="36">
        <v>24000</v>
      </c>
      <c r="M15" s="42">
        <v>26400</v>
      </c>
      <c r="N15" s="53">
        <v>0</v>
      </c>
      <c r="O15" s="48" t="s">
        <v>71</v>
      </c>
      <c r="P15" s="51" t="s">
        <v>78</v>
      </c>
      <c r="Q15" s="67">
        <f t="shared" si="0"/>
        <v>1100</v>
      </c>
    </row>
    <row r="16" spans="1:17" ht="18.75" customHeight="1">
      <c r="A16" s="5">
        <v>1199181</v>
      </c>
      <c r="B16" s="28">
        <v>139244</v>
      </c>
      <c r="C16" s="5" t="s">
        <v>53</v>
      </c>
      <c r="D16" s="22">
        <v>45907.015972222223</v>
      </c>
      <c r="E16" s="17" t="s">
        <v>19</v>
      </c>
      <c r="F16" s="5" t="s">
        <v>89</v>
      </c>
      <c r="G16" s="17" t="s">
        <v>90</v>
      </c>
      <c r="H16" s="6">
        <v>570</v>
      </c>
      <c r="I16" s="6">
        <v>96</v>
      </c>
      <c r="J16" s="62">
        <v>2</v>
      </c>
      <c r="K16" s="6" t="s">
        <v>56</v>
      </c>
      <c r="L16" s="36">
        <v>109440</v>
      </c>
      <c r="M16" s="42">
        <v>120384</v>
      </c>
      <c r="N16" s="53">
        <v>0</v>
      </c>
      <c r="O16" s="48" t="s">
        <v>91</v>
      </c>
      <c r="P16" s="51" t="s">
        <v>78</v>
      </c>
      <c r="Q16" s="67">
        <f t="shared" si="0"/>
        <v>627</v>
      </c>
    </row>
    <row r="17" spans="1:17" ht="18.75" customHeight="1">
      <c r="A17" s="5">
        <v>1199153</v>
      </c>
      <c r="B17" s="28">
        <v>139244</v>
      </c>
      <c r="C17" s="5" t="s">
        <v>53</v>
      </c>
      <c r="D17" s="22">
        <v>45907.015972222223</v>
      </c>
      <c r="E17" s="17" t="s">
        <v>19</v>
      </c>
      <c r="F17" s="5" t="s">
        <v>92</v>
      </c>
      <c r="G17" s="17" t="s">
        <v>93</v>
      </c>
      <c r="H17" s="6">
        <v>770</v>
      </c>
      <c r="I17" s="6">
        <v>72</v>
      </c>
      <c r="J17" s="62">
        <v>1</v>
      </c>
      <c r="K17" s="6" t="s">
        <v>56</v>
      </c>
      <c r="L17" s="36">
        <v>55440</v>
      </c>
      <c r="M17" s="42">
        <v>60984</v>
      </c>
      <c r="N17" s="56">
        <v>0</v>
      </c>
      <c r="O17" s="48" t="s">
        <v>71</v>
      </c>
      <c r="P17" s="51" t="s">
        <v>78</v>
      </c>
      <c r="Q17" s="67">
        <f t="shared" si="0"/>
        <v>847</v>
      </c>
    </row>
    <row r="18" spans="1:17" ht="18.75" customHeight="1">
      <c r="A18" s="5">
        <v>1194463</v>
      </c>
      <c r="B18" s="28">
        <v>139034</v>
      </c>
      <c r="C18" s="5" t="s">
        <v>53</v>
      </c>
      <c r="D18" s="22">
        <v>45905.677777777775</v>
      </c>
      <c r="E18" s="17" t="s">
        <v>23</v>
      </c>
      <c r="F18" s="5" t="s">
        <v>94</v>
      </c>
      <c r="G18" s="17" t="s">
        <v>95</v>
      </c>
      <c r="H18" s="6">
        <v>490</v>
      </c>
      <c r="I18" s="6">
        <v>96</v>
      </c>
      <c r="J18" s="62">
        <v>1</v>
      </c>
      <c r="K18" s="6" t="s">
        <v>56</v>
      </c>
      <c r="L18" s="36">
        <v>47040</v>
      </c>
      <c r="M18" s="42">
        <v>51744</v>
      </c>
      <c r="N18" s="53">
        <v>0</v>
      </c>
      <c r="O18" s="48" t="s">
        <v>96</v>
      </c>
      <c r="P18" s="51" t="s">
        <v>78</v>
      </c>
      <c r="Q18" s="67">
        <f t="shared" si="0"/>
        <v>539</v>
      </c>
    </row>
    <row r="19" spans="1:17" ht="18.75" customHeight="1">
      <c r="A19" s="5">
        <v>1192438</v>
      </c>
      <c r="B19" s="28">
        <v>138956</v>
      </c>
      <c r="C19" s="5" t="s">
        <v>53</v>
      </c>
      <c r="D19" s="22">
        <v>45904.915972222225</v>
      </c>
      <c r="E19" s="17" t="s">
        <v>22</v>
      </c>
      <c r="F19" s="5" t="s">
        <v>89</v>
      </c>
      <c r="G19" s="17" t="s">
        <v>90</v>
      </c>
      <c r="H19" s="6">
        <v>570</v>
      </c>
      <c r="I19" s="6">
        <v>96</v>
      </c>
      <c r="J19" s="62">
        <v>3</v>
      </c>
      <c r="K19" s="6" t="s">
        <v>56</v>
      </c>
      <c r="L19" s="36">
        <v>164160</v>
      </c>
      <c r="M19" s="42">
        <v>180576</v>
      </c>
      <c r="N19" s="53">
        <v>0</v>
      </c>
      <c r="O19" s="48" t="s">
        <v>97</v>
      </c>
      <c r="P19" s="51" t="s">
        <v>78</v>
      </c>
      <c r="Q19" s="67">
        <f t="shared" si="0"/>
        <v>627</v>
      </c>
    </row>
    <row r="20" spans="1:17" ht="18.75" customHeight="1">
      <c r="A20" s="5">
        <v>1187866</v>
      </c>
      <c r="B20" s="28">
        <v>138715</v>
      </c>
      <c r="C20" s="5" t="s">
        <v>53</v>
      </c>
      <c r="D20" s="22">
        <v>45902.837500000001</v>
      </c>
      <c r="E20" s="17" t="s">
        <v>19</v>
      </c>
      <c r="F20" s="5" t="s">
        <v>98</v>
      </c>
      <c r="G20" s="17" t="s">
        <v>99</v>
      </c>
      <c r="H20" s="6">
        <v>640</v>
      </c>
      <c r="I20" s="6">
        <v>96</v>
      </c>
      <c r="J20" s="62">
        <v>1</v>
      </c>
      <c r="K20" s="6" t="s">
        <v>56</v>
      </c>
      <c r="L20" s="36">
        <v>61440</v>
      </c>
      <c r="M20" s="42">
        <v>67584</v>
      </c>
      <c r="N20" s="53">
        <v>0</v>
      </c>
      <c r="O20" s="48" t="s">
        <v>100</v>
      </c>
      <c r="P20" s="51" t="s">
        <v>101</v>
      </c>
      <c r="Q20" s="67">
        <f t="shared" si="0"/>
        <v>704</v>
      </c>
    </row>
    <row r="21" spans="1:17" ht="18.75" customHeight="1">
      <c r="A21" s="5">
        <v>1187704</v>
      </c>
      <c r="B21" s="28">
        <v>138700</v>
      </c>
      <c r="C21" s="5" t="s">
        <v>59</v>
      </c>
      <c r="D21" s="22">
        <v>45902.814583333333</v>
      </c>
      <c r="E21" s="17" t="s">
        <v>19</v>
      </c>
      <c r="F21" s="5" t="s">
        <v>102</v>
      </c>
      <c r="G21" s="17" t="s">
        <v>103</v>
      </c>
      <c r="H21" s="6">
        <v>110</v>
      </c>
      <c r="I21" s="6">
        <v>480</v>
      </c>
      <c r="J21" s="62">
        <v>0.5</v>
      </c>
      <c r="K21" s="6" t="s">
        <v>56</v>
      </c>
      <c r="L21" s="36">
        <v>26400</v>
      </c>
      <c r="M21" s="42">
        <v>29040</v>
      </c>
      <c r="N21" s="53">
        <v>1000</v>
      </c>
      <c r="O21" s="48" t="s">
        <v>66</v>
      </c>
      <c r="P21" s="51" t="s">
        <v>104</v>
      </c>
      <c r="Q21" s="67">
        <f t="shared" si="0"/>
        <v>125.58333333333333</v>
      </c>
    </row>
    <row r="22" spans="1:17" ht="18.75" customHeight="1">
      <c r="A22" s="5">
        <v>1184253</v>
      </c>
      <c r="B22" s="28">
        <v>138381</v>
      </c>
      <c r="C22" s="5" t="s">
        <v>59</v>
      </c>
      <c r="D22" s="22">
        <v>45900.872916666667</v>
      </c>
      <c r="E22" s="17" t="s">
        <v>22</v>
      </c>
      <c r="F22" s="5" t="s">
        <v>105</v>
      </c>
      <c r="G22" s="17" t="s">
        <v>106</v>
      </c>
      <c r="H22" s="6">
        <v>180</v>
      </c>
      <c r="I22" s="6">
        <v>40</v>
      </c>
      <c r="J22" s="62">
        <v>4</v>
      </c>
      <c r="K22" s="6" t="s">
        <v>107</v>
      </c>
      <c r="L22" s="36">
        <v>28800</v>
      </c>
      <c r="M22" s="42">
        <v>31680</v>
      </c>
      <c r="N22" s="53">
        <v>540</v>
      </c>
      <c r="O22" s="48" t="s">
        <v>108</v>
      </c>
      <c r="P22" s="51">
        <v>45901</v>
      </c>
      <c r="Q22" s="67">
        <f t="shared" si="0"/>
        <v>201.71250000000001</v>
      </c>
    </row>
    <row r="23" spans="1:17" ht="18.75" customHeight="1">
      <c r="A23" s="5">
        <v>1182201</v>
      </c>
      <c r="B23" s="28">
        <v>138151</v>
      </c>
      <c r="C23" s="5" t="s">
        <v>53</v>
      </c>
      <c r="D23" s="22">
        <v>45898.947916666664</v>
      </c>
      <c r="E23" s="17" t="s">
        <v>22</v>
      </c>
      <c r="F23" s="5" t="s">
        <v>94</v>
      </c>
      <c r="G23" s="17" t="s">
        <v>95</v>
      </c>
      <c r="H23" s="6">
        <v>490</v>
      </c>
      <c r="I23" s="6">
        <v>96</v>
      </c>
      <c r="J23" s="62">
        <v>1</v>
      </c>
      <c r="K23" s="6" t="s">
        <v>56</v>
      </c>
      <c r="L23" s="36">
        <v>47040</v>
      </c>
      <c r="M23" s="42">
        <v>51744</v>
      </c>
      <c r="N23" s="53">
        <v>0</v>
      </c>
      <c r="O23" s="48" t="s">
        <v>109</v>
      </c>
      <c r="P23" s="51" t="s">
        <v>78</v>
      </c>
      <c r="Q23" s="67">
        <f t="shared" si="0"/>
        <v>539</v>
      </c>
    </row>
    <row r="24" spans="1:17" ht="18.75" customHeight="1">
      <c r="A24" s="5">
        <v>1180388</v>
      </c>
      <c r="B24" s="28">
        <v>137890</v>
      </c>
      <c r="C24" s="5" t="s">
        <v>53</v>
      </c>
      <c r="D24" s="22">
        <v>45897.488194444442</v>
      </c>
      <c r="E24" s="17" t="s">
        <v>22</v>
      </c>
      <c r="F24" s="5" t="s">
        <v>110</v>
      </c>
      <c r="G24" s="17" t="s">
        <v>111</v>
      </c>
      <c r="H24" s="6">
        <v>730</v>
      </c>
      <c r="I24" s="6">
        <v>72</v>
      </c>
      <c r="J24" s="62">
        <v>2</v>
      </c>
      <c r="K24" s="6" t="s">
        <v>56</v>
      </c>
      <c r="L24" s="36">
        <v>105120</v>
      </c>
      <c r="M24" s="42">
        <v>115632</v>
      </c>
      <c r="N24" s="53">
        <v>0</v>
      </c>
      <c r="O24" s="48" t="s">
        <v>112</v>
      </c>
      <c r="P24" s="51" t="s">
        <v>113</v>
      </c>
      <c r="Q24" s="67">
        <f t="shared" si="0"/>
        <v>803</v>
      </c>
    </row>
    <row r="25" spans="1:17" ht="18.75" customHeight="1">
      <c r="A25" s="5">
        <v>1173495</v>
      </c>
      <c r="B25" s="28">
        <v>136976</v>
      </c>
      <c r="C25" s="5" t="s">
        <v>53</v>
      </c>
      <c r="D25" s="22">
        <v>45890.974305555559</v>
      </c>
      <c r="E25" s="17" t="s">
        <v>19</v>
      </c>
      <c r="F25" s="5" t="s">
        <v>114</v>
      </c>
      <c r="G25" s="17" t="s">
        <v>115</v>
      </c>
      <c r="H25" s="6">
        <v>850</v>
      </c>
      <c r="I25" s="6">
        <v>72</v>
      </c>
      <c r="J25" s="62">
        <v>6</v>
      </c>
      <c r="K25" s="6" t="s">
        <v>56</v>
      </c>
      <c r="L25" s="36">
        <v>367200</v>
      </c>
      <c r="M25" s="42">
        <v>403920</v>
      </c>
      <c r="N25" s="53">
        <v>0</v>
      </c>
      <c r="O25" s="48" t="s">
        <v>71</v>
      </c>
      <c r="P25" s="51" t="s">
        <v>75</v>
      </c>
      <c r="Q25" s="67">
        <f t="shared" si="0"/>
        <v>935</v>
      </c>
    </row>
    <row r="26" spans="1:17" ht="18.75" customHeight="1">
      <c r="A26" s="5">
        <v>1173494</v>
      </c>
      <c r="B26" s="28">
        <v>136975</v>
      </c>
      <c r="C26" s="5" t="s">
        <v>53</v>
      </c>
      <c r="D26" s="22">
        <v>45890.974305555559</v>
      </c>
      <c r="E26" s="17" t="s">
        <v>23</v>
      </c>
      <c r="F26" s="5" t="s">
        <v>114</v>
      </c>
      <c r="G26" s="17" t="s">
        <v>115</v>
      </c>
      <c r="H26" s="6">
        <v>850</v>
      </c>
      <c r="I26" s="6">
        <v>72</v>
      </c>
      <c r="J26" s="62">
        <v>2</v>
      </c>
      <c r="K26" s="6" t="s">
        <v>56</v>
      </c>
      <c r="L26" s="36">
        <v>122400</v>
      </c>
      <c r="M26" s="42">
        <v>134640</v>
      </c>
      <c r="N26" s="53">
        <v>0</v>
      </c>
      <c r="O26" s="48" t="s">
        <v>71</v>
      </c>
      <c r="P26" s="51" t="s">
        <v>75</v>
      </c>
      <c r="Q26" s="67">
        <f t="shared" si="0"/>
        <v>935</v>
      </c>
    </row>
    <row r="27" spans="1:17" ht="18.75" customHeight="1">
      <c r="A27" s="5">
        <v>1140522</v>
      </c>
      <c r="B27" s="28">
        <v>133956</v>
      </c>
      <c r="C27" s="5" t="s">
        <v>53</v>
      </c>
      <c r="D27" s="22">
        <v>45868.29791666667</v>
      </c>
      <c r="E27" s="17" t="s">
        <v>22</v>
      </c>
      <c r="F27" s="5" t="s">
        <v>116</v>
      </c>
      <c r="G27" s="17" t="s">
        <v>117</v>
      </c>
      <c r="H27" s="6">
        <v>917</v>
      </c>
      <c r="I27" s="6">
        <v>50</v>
      </c>
      <c r="J27" s="62">
        <v>2</v>
      </c>
      <c r="K27" s="6" t="s">
        <v>56</v>
      </c>
      <c r="L27" s="36">
        <v>91700</v>
      </c>
      <c r="M27" s="42">
        <v>100870</v>
      </c>
      <c r="N27" s="53">
        <v>0</v>
      </c>
      <c r="O27" s="48" t="s">
        <v>71</v>
      </c>
      <c r="P27" s="51" t="s">
        <v>118</v>
      </c>
      <c r="Q27" s="67">
        <f t="shared" si="0"/>
        <v>1008.7</v>
      </c>
    </row>
    <row r="28" spans="1:17" ht="18.75" customHeight="1">
      <c r="A28" s="5">
        <v>1125388</v>
      </c>
      <c r="B28" s="28">
        <v>132098</v>
      </c>
      <c r="C28" s="5" t="s">
        <v>53</v>
      </c>
      <c r="D28" s="22">
        <v>45853.615972222222</v>
      </c>
      <c r="E28" s="17" t="s">
        <v>22</v>
      </c>
      <c r="F28" s="5" t="s">
        <v>119</v>
      </c>
      <c r="G28" s="17" t="s">
        <v>120</v>
      </c>
      <c r="H28" s="6">
        <v>870</v>
      </c>
      <c r="I28" s="6">
        <v>60</v>
      </c>
      <c r="J28" s="62">
        <v>1</v>
      </c>
      <c r="K28" s="6" t="s">
        <v>56</v>
      </c>
      <c r="L28" s="36">
        <v>52200</v>
      </c>
      <c r="M28" s="42">
        <v>57420</v>
      </c>
      <c r="N28" s="53">
        <v>0</v>
      </c>
      <c r="O28" s="50" t="s">
        <v>121</v>
      </c>
      <c r="P28" s="51" t="s">
        <v>83</v>
      </c>
      <c r="Q28" s="67">
        <f t="shared" si="0"/>
        <v>957</v>
      </c>
    </row>
    <row r="29" spans="1:17" ht="18.75" customHeight="1">
      <c r="A29" s="5">
        <v>1119342</v>
      </c>
      <c r="B29" s="28">
        <v>131376</v>
      </c>
      <c r="C29" s="5" t="s">
        <v>53</v>
      </c>
      <c r="D29" s="22">
        <v>45846.975694444445</v>
      </c>
      <c r="E29" s="17" t="s">
        <v>19</v>
      </c>
      <c r="F29" s="5" t="s">
        <v>119</v>
      </c>
      <c r="G29" s="17" t="s">
        <v>120</v>
      </c>
      <c r="H29" s="6">
        <v>870</v>
      </c>
      <c r="I29" s="6">
        <v>60</v>
      </c>
      <c r="J29" s="62">
        <v>1</v>
      </c>
      <c r="K29" s="6" t="s">
        <v>56</v>
      </c>
      <c r="L29" s="36">
        <v>52200</v>
      </c>
      <c r="M29" s="42">
        <v>57420</v>
      </c>
      <c r="N29" s="53">
        <v>0</v>
      </c>
      <c r="O29" s="50" t="s">
        <v>66</v>
      </c>
      <c r="P29" s="51" t="s">
        <v>83</v>
      </c>
      <c r="Q29" s="67">
        <f t="shared" si="0"/>
        <v>957</v>
      </c>
    </row>
    <row r="30" spans="1:17" ht="18.75" customHeight="1">
      <c r="A30" s="5">
        <v>1119285</v>
      </c>
      <c r="B30" s="28">
        <v>131368</v>
      </c>
      <c r="C30" s="5" t="s">
        <v>53</v>
      </c>
      <c r="D30" s="22">
        <v>45846.938194444447</v>
      </c>
      <c r="E30" s="17" t="s">
        <v>122</v>
      </c>
      <c r="F30" s="5" t="s">
        <v>123</v>
      </c>
      <c r="G30" s="17" t="s">
        <v>124</v>
      </c>
      <c r="H30" s="6">
        <v>870</v>
      </c>
      <c r="I30" s="6">
        <v>48</v>
      </c>
      <c r="J30" s="62">
        <v>1</v>
      </c>
      <c r="K30" s="6" t="s">
        <v>56</v>
      </c>
      <c r="L30" s="36">
        <v>41760</v>
      </c>
      <c r="M30" s="42">
        <v>45936</v>
      </c>
      <c r="N30" s="53">
        <v>0</v>
      </c>
      <c r="O30" s="50" t="s">
        <v>66</v>
      </c>
      <c r="P30" s="51" t="s">
        <v>118</v>
      </c>
      <c r="Q30" s="67">
        <f t="shared" si="0"/>
        <v>957</v>
      </c>
    </row>
    <row r="31" spans="1:17" ht="18.75" customHeight="1">
      <c r="A31" s="5">
        <v>1119275</v>
      </c>
      <c r="B31" s="28">
        <v>131367</v>
      </c>
      <c r="C31" s="5" t="s">
        <v>53</v>
      </c>
      <c r="D31" s="22">
        <v>45846.936111111114</v>
      </c>
      <c r="E31" s="17" t="s">
        <v>23</v>
      </c>
      <c r="F31" s="5" t="s">
        <v>123</v>
      </c>
      <c r="G31" s="17" t="s">
        <v>124</v>
      </c>
      <c r="H31" s="6">
        <v>870</v>
      </c>
      <c r="I31" s="6">
        <v>48</v>
      </c>
      <c r="J31" s="62">
        <v>1</v>
      </c>
      <c r="K31" s="6" t="s">
        <v>56</v>
      </c>
      <c r="L31" s="36">
        <v>41760</v>
      </c>
      <c r="M31" s="42">
        <v>45936</v>
      </c>
      <c r="N31" s="53">
        <v>0</v>
      </c>
      <c r="O31" s="48" t="s">
        <v>66</v>
      </c>
      <c r="P31" s="51" t="s">
        <v>118</v>
      </c>
      <c r="Q31" s="67">
        <f t="shared" si="0"/>
        <v>957</v>
      </c>
    </row>
    <row r="32" spans="1:17" ht="18.75" customHeight="1">
      <c r="A32" s="5">
        <v>1119280</v>
      </c>
      <c r="B32" s="28">
        <v>131367</v>
      </c>
      <c r="C32" s="5" t="s">
        <v>53</v>
      </c>
      <c r="D32" s="22">
        <v>45846.936111111114</v>
      </c>
      <c r="E32" s="17" t="s">
        <v>23</v>
      </c>
      <c r="F32" s="5" t="s">
        <v>125</v>
      </c>
      <c r="G32" s="17" t="s">
        <v>126</v>
      </c>
      <c r="H32" s="6">
        <v>935</v>
      </c>
      <c r="I32" s="6">
        <v>48</v>
      </c>
      <c r="J32" s="62">
        <v>1</v>
      </c>
      <c r="K32" s="6" t="s">
        <v>56</v>
      </c>
      <c r="L32" s="36">
        <v>44880</v>
      </c>
      <c r="M32" s="42">
        <v>49368</v>
      </c>
      <c r="N32" s="53">
        <v>0</v>
      </c>
      <c r="O32" s="48" t="s">
        <v>66</v>
      </c>
      <c r="P32" s="51" t="s">
        <v>118</v>
      </c>
      <c r="Q32" s="67">
        <f t="shared" si="0"/>
        <v>1028.5</v>
      </c>
    </row>
    <row r="33" spans="1:17" ht="18.75" customHeight="1">
      <c r="A33" s="5">
        <v>1119272</v>
      </c>
      <c r="B33" s="28">
        <v>131366</v>
      </c>
      <c r="C33" s="5" t="s">
        <v>53</v>
      </c>
      <c r="D33" s="22">
        <v>45846.934027777781</v>
      </c>
      <c r="E33" s="17" t="s">
        <v>22</v>
      </c>
      <c r="F33" s="5" t="s">
        <v>123</v>
      </c>
      <c r="G33" s="17" t="s">
        <v>124</v>
      </c>
      <c r="H33" s="6">
        <v>870</v>
      </c>
      <c r="I33" s="6">
        <v>48</v>
      </c>
      <c r="J33" s="62">
        <v>5</v>
      </c>
      <c r="K33" s="6" t="s">
        <v>56</v>
      </c>
      <c r="L33" s="36">
        <v>208800</v>
      </c>
      <c r="M33" s="42">
        <v>229680</v>
      </c>
      <c r="N33" s="53">
        <v>0</v>
      </c>
      <c r="O33" s="48" t="s">
        <v>66</v>
      </c>
      <c r="P33" s="51" t="s">
        <v>118</v>
      </c>
      <c r="Q33" s="67">
        <f t="shared" si="0"/>
        <v>957</v>
      </c>
    </row>
    <row r="34" spans="1:17" ht="18.75" customHeight="1">
      <c r="A34" s="5">
        <v>1119270</v>
      </c>
      <c r="B34" s="28">
        <v>131366</v>
      </c>
      <c r="C34" s="5" t="s">
        <v>53</v>
      </c>
      <c r="D34" s="22">
        <v>45846.934027777781</v>
      </c>
      <c r="E34" s="17" t="s">
        <v>22</v>
      </c>
      <c r="F34" s="5" t="s">
        <v>125</v>
      </c>
      <c r="G34" s="17" t="s">
        <v>126</v>
      </c>
      <c r="H34" s="6">
        <v>935</v>
      </c>
      <c r="I34" s="6">
        <v>48</v>
      </c>
      <c r="J34" s="62">
        <v>4</v>
      </c>
      <c r="K34" s="6" t="s">
        <v>56</v>
      </c>
      <c r="L34" s="36">
        <v>179520</v>
      </c>
      <c r="M34" s="42">
        <v>197472</v>
      </c>
      <c r="N34" s="53">
        <v>0</v>
      </c>
      <c r="O34" s="48" t="s">
        <v>66</v>
      </c>
      <c r="P34" s="51" t="s">
        <v>118</v>
      </c>
      <c r="Q34" s="67">
        <f t="shared" si="0"/>
        <v>1028.5</v>
      </c>
    </row>
    <row r="35" spans="1:17" ht="18.75" customHeight="1">
      <c r="A35" s="14">
        <v>1119266</v>
      </c>
      <c r="B35" s="29">
        <v>131071</v>
      </c>
      <c r="C35" s="14" t="s">
        <v>53</v>
      </c>
      <c r="D35" s="23">
        <v>45846.933333333334</v>
      </c>
      <c r="E35" s="18" t="s">
        <v>19</v>
      </c>
      <c r="F35" s="14" t="s">
        <v>123</v>
      </c>
      <c r="G35" s="18" t="s">
        <v>124</v>
      </c>
      <c r="H35" s="15">
        <v>870</v>
      </c>
      <c r="I35" s="15">
        <v>48</v>
      </c>
      <c r="J35" s="63">
        <v>8</v>
      </c>
      <c r="K35" s="15" t="s">
        <v>56</v>
      </c>
      <c r="L35" s="38">
        <v>334080</v>
      </c>
      <c r="M35" s="44">
        <v>367488</v>
      </c>
      <c r="N35" s="55">
        <v>0</v>
      </c>
      <c r="O35" s="48" t="s">
        <v>66</v>
      </c>
      <c r="P35" s="51" t="s">
        <v>118</v>
      </c>
      <c r="Q35" s="67">
        <f t="shared" si="0"/>
        <v>957</v>
      </c>
    </row>
    <row r="36" spans="1:17" ht="18.75" customHeight="1">
      <c r="A36" s="5">
        <v>1119268</v>
      </c>
      <c r="B36" s="28">
        <v>131071</v>
      </c>
      <c r="C36" s="5" t="s">
        <v>53</v>
      </c>
      <c r="D36" s="22">
        <v>45846.933333333334</v>
      </c>
      <c r="E36" s="17" t="s">
        <v>19</v>
      </c>
      <c r="F36" s="5" t="s">
        <v>125</v>
      </c>
      <c r="G36" s="17" t="s">
        <v>126</v>
      </c>
      <c r="H36" s="6">
        <v>935</v>
      </c>
      <c r="I36" s="6">
        <v>48</v>
      </c>
      <c r="J36" s="62">
        <v>4</v>
      </c>
      <c r="K36" s="6" t="s">
        <v>56</v>
      </c>
      <c r="L36" s="36">
        <v>179520</v>
      </c>
      <c r="M36" s="42">
        <v>197472</v>
      </c>
      <c r="N36" s="56">
        <v>0</v>
      </c>
      <c r="O36" s="48" t="s">
        <v>66</v>
      </c>
      <c r="P36" s="51" t="s">
        <v>118</v>
      </c>
      <c r="Q36" s="67">
        <f t="shared" si="0"/>
        <v>1028.5</v>
      </c>
    </row>
    <row r="37" spans="1:17" ht="18.75" customHeight="1">
      <c r="A37" s="134">
        <v>1108749</v>
      </c>
      <c r="B37" s="28">
        <v>130761</v>
      </c>
      <c r="C37" s="5" t="s">
        <v>53</v>
      </c>
      <c r="D37" s="22">
        <v>45844.709027777775</v>
      </c>
      <c r="E37" s="135" t="s">
        <v>22</v>
      </c>
      <c r="F37" s="134" t="s">
        <v>127</v>
      </c>
      <c r="G37" s="17" t="s">
        <v>128</v>
      </c>
      <c r="H37" s="16">
        <v>180</v>
      </c>
      <c r="I37" s="16">
        <v>40</v>
      </c>
      <c r="J37" s="136">
        <v>2</v>
      </c>
      <c r="K37" s="16" t="s">
        <v>107</v>
      </c>
      <c r="L37" s="36">
        <v>14400</v>
      </c>
      <c r="M37" s="45">
        <v>15840</v>
      </c>
      <c r="N37" s="53">
        <v>0</v>
      </c>
      <c r="O37" s="50" t="s">
        <v>71</v>
      </c>
      <c r="P37" s="51">
        <v>45931</v>
      </c>
      <c r="Q37" s="67">
        <f t="shared" si="0"/>
        <v>198</v>
      </c>
    </row>
    <row r="38" spans="1:17" ht="18.75" customHeight="1">
      <c r="A38" s="5">
        <v>1108745</v>
      </c>
      <c r="B38" s="28">
        <v>130761</v>
      </c>
      <c r="C38" s="5" t="s">
        <v>53</v>
      </c>
      <c r="D38" s="22">
        <v>45844.709027777775</v>
      </c>
      <c r="E38" s="17" t="s">
        <v>22</v>
      </c>
      <c r="F38" s="5" t="s">
        <v>129</v>
      </c>
      <c r="G38" s="17" t="s">
        <v>130</v>
      </c>
      <c r="H38" s="6">
        <v>180</v>
      </c>
      <c r="I38" s="6">
        <v>40</v>
      </c>
      <c r="J38" s="62">
        <v>2</v>
      </c>
      <c r="K38" s="6" t="s">
        <v>107</v>
      </c>
      <c r="L38" s="36">
        <v>14400</v>
      </c>
      <c r="M38" s="42">
        <v>15840</v>
      </c>
      <c r="N38" s="53">
        <v>0</v>
      </c>
      <c r="O38" s="48" t="s">
        <v>71</v>
      </c>
      <c r="P38" s="51">
        <v>45931</v>
      </c>
      <c r="Q38" s="67">
        <f t="shared" si="0"/>
        <v>198</v>
      </c>
    </row>
    <row r="39" spans="1:17" ht="18.75" customHeight="1">
      <c r="A39" s="5">
        <v>1108732</v>
      </c>
      <c r="B39" s="28">
        <v>130761</v>
      </c>
      <c r="C39" s="5" t="s">
        <v>53</v>
      </c>
      <c r="D39" s="22">
        <v>45844.709027777775</v>
      </c>
      <c r="E39" s="17" t="s">
        <v>22</v>
      </c>
      <c r="F39" s="5" t="s">
        <v>131</v>
      </c>
      <c r="G39" s="17" t="s">
        <v>132</v>
      </c>
      <c r="H39" s="6">
        <v>367</v>
      </c>
      <c r="I39" s="6">
        <v>120</v>
      </c>
      <c r="J39" s="62">
        <v>1</v>
      </c>
      <c r="K39" s="6" t="s">
        <v>56</v>
      </c>
      <c r="L39" s="36">
        <v>44040</v>
      </c>
      <c r="M39" s="42">
        <v>48444</v>
      </c>
      <c r="N39" s="53">
        <v>0</v>
      </c>
      <c r="O39" s="48" t="s">
        <v>71</v>
      </c>
      <c r="P39" s="51" t="s">
        <v>78</v>
      </c>
      <c r="Q39" s="67">
        <f t="shared" si="0"/>
        <v>403.7</v>
      </c>
    </row>
    <row r="40" spans="1:17" ht="18.75" customHeight="1">
      <c r="A40" s="5">
        <v>1100560</v>
      </c>
      <c r="B40" s="30">
        <v>130224</v>
      </c>
      <c r="C40" s="5" t="s">
        <v>53</v>
      </c>
      <c r="D40" s="22">
        <v>45838.925000000003</v>
      </c>
      <c r="E40" s="17" t="s">
        <v>22</v>
      </c>
      <c r="F40" s="5" t="s">
        <v>133</v>
      </c>
      <c r="G40" s="17" t="s">
        <v>134</v>
      </c>
      <c r="H40" s="6">
        <v>850</v>
      </c>
      <c r="I40" s="6">
        <v>72</v>
      </c>
      <c r="J40" s="62">
        <v>1</v>
      </c>
      <c r="K40" s="6" t="s">
        <v>56</v>
      </c>
      <c r="L40" s="36">
        <v>61200</v>
      </c>
      <c r="M40" s="42">
        <v>67320</v>
      </c>
      <c r="N40" s="53">
        <v>0</v>
      </c>
      <c r="O40" s="48" t="s">
        <v>71</v>
      </c>
      <c r="P40" s="51" t="s">
        <v>75</v>
      </c>
      <c r="Q40" s="67">
        <f t="shared" si="0"/>
        <v>935</v>
      </c>
    </row>
    <row r="41" spans="1:17" ht="18.75" customHeight="1">
      <c r="A41" s="7">
        <v>1080011</v>
      </c>
      <c r="B41" s="30">
        <v>127802</v>
      </c>
      <c r="C41" s="8" t="s">
        <v>53</v>
      </c>
      <c r="D41" s="24">
        <v>45816.961805555555</v>
      </c>
      <c r="E41" s="19" t="s">
        <v>22</v>
      </c>
      <c r="F41" s="8" t="s">
        <v>135</v>
      </c>
      <c r="G41" s="19" t="s">
        <v>136</v>
      </c>
      <c r="H41" s="9">
        <v>63000</v>
      </c>
      <c r="I41" s="9">
        <v>96</v>
      </c>
      <c r="J41" s="64">
        <v>1</v>
      </c>
      <c r="K41" s="9" t="s">
        <v>56</v>
      </c>
      <c r="L41" s="39">
        <v>63000</v>
      </c>
      <c r="M41" s="46">
        <v>69300</v>
      </c>
      <c r="N41" s="53">
        <v>0</v>
      </c>
      <c r="O41" s="48" t="s">
        <v>137</v>
      </c>
      <c r="P41" s="51" t="s">
        <v>83</v>
      </c>
      <c r="Q41" s="67">
        <f t="shared" si="0"/>
        <v>721.875</v>
      </c>
    </row>
    <row r="42" spans="1:17" ht="18.75" customHeight="1">
      <c r="A42" s="137">
        <v>1080010</v>
      </c>
      <c r="B42" s="28">
        <v>127802</v>
      </c>
      <c r="C42" s="5" t="s">
        <v>53</v>
      </c>
      <c r="D42" s="22">
        <v>45816.961805555555</v>
      </c>
      <c r="E42" s="17" t="s">
        <v>22</v>
      </c>
      <c r="F42" s="5" t="s">
        <v>138</v>
      </c>
      <c r="G42" s="17" t="s">
        <v>139</v>
      </c>
      <c r="H42" s="6">
        <v>450</v>
      </c>
      <c r="I42" s="6">
        <v>120</v>
      </c>
      <c r="J42" s="62">
        <v>1</v>
      </c>
      <c r="K42" s="6" t="s">
        <v>56</v>
      </c>
      <c r="L42" s="36">
        <v>54000</v>
      </c>
      <c r="M42" s="46">
        <v>59400</v>
      </c>
      <c r="N42" s="53">
        <v>6000</v>
      </c>
      <c r="O42" s="48" t="s">
        <v>71</v>
      </c>
      <c r="P42" s="51" t="s">
        <v>104</v>
      </c>
      <c r="Q42" s="67">
        <f t="shared" si="0"/>
        <v>550</v>
      </c>
    </row>
    <row r="43" spans="1:17" ht="18.75" customHeight="1">
      <c r="A43" s="137">
        <v>1080009</v>
      </c>
      <c r="B43" s="28">
        <v>127802</v>
      </c>
      <c r="C43" s="5" t="s">
        <v>53</v>
      </c>
      <c r="D43" s="22">
        <v>45816.961805555555</v>
      </c>
      <c r="E43" s="17" t="s">
        <v>22</v>
      </c>
      <c r="F43" s="5" t="s">
        <v>140</v>
      </c>
      <c r="G43" s="17" t="s">
        <v>141</v>
      </c>
      <c r="H43" s="6">
        <v>450</v>
      </c>
      <c r="I43" s="6">
        <v>120</v>
      </c>
      <c r="J43" s="62">
        <v>1</v>
      </c>
      <c r="K43" s="6" t="s">
        <v>56</v>
      </c>
      <c r="L43" s="36">
        <v>54000</v>
      </c>
      <c r="M43" s="46">
        <v>59400</v>
      </c>
      <c r="N43" s="53">
        <v>6000</v>
      </c>
      <c r="O43" s="48" t="s">
        <v>71</v>
      </c>
      <c r="P43" s="51" t="s">
        <v>83</v>
      </c>
      <c r="Q43" s="67">
        <f t="shared" si="0"/>
        <v>550</v>
      </c>
    </row>
    <row r="44" spans="1:17" ht="18.75" customHeight="1">
      <c r="A44" s="137">
        <v>1077115</v>
      </c>
      <c r="B44" s="28">
        <v>127370</v>
      </c>
      <c r="C44" s="5" t="s">
        <v>53</v>
      </c>
      <c r="D44" s="22">
        <v>45814.757638888892</v>
      </c>
      <c r="E44" s="17" t="s">
        <v>19</v>
      </c>
      <c r="F44" s="5" t="s">
        <v>140</v>
      </c>
      <c r="G44" s="17" t="s">
        <v>141</v>
      </c>
      <c r="H44" s="6">
        <v>450</v>
      </c>
      <c r="I44" s="6">
        <v>120</v>
      </c>
      <c r="J44" s="62">
        <v>1</v>
      </c>
      <c r="K44" s="6" t="s">
        <v>56</v>
      </c>
      <c r="L44" s="36">
        <v>54000</v>
      </c>
      <c r="M44" s="46">
        <v>59400</v>
      </c>
      <c r="N44" s="53">
        <v>6000</v>
      </c>
      <c r="O44" s="48" t="s">
        <v>71</v>
      </c>
      <c r="P44" s="51" t="s">
        <v>83</v>
      </c>
      <c r="Q44" s="67">
        <f t="shared" si="0"/>
        <v>550</v>
      </c>
    </row>
    <row r="45" spans="1:17" ht="18.75" customHeight="1">
      <c r="A45" s="10">
        <v>1077114</v>
      </c>
      <c r="B45" s="138">
        <v>127370</v>
      </c>
      <c r="C45" s="134" t="s">
        <v>53</v>
      </c>
      <c r="D45" s="139">
        <v>45814.757638888892</v>
      </c>
      <c r="E45" s="135" t="s">
        <v>19</v>
      </c>
      <c r="F45" s="134" t="s">
        <v>138</v>
      </c>
      <c r="G45" s="135" t="s">
        <v>139</v>
      </c>
      <c r="H45" s="16">
        <v>450</v>
      </c>
      <c r="I45" s="16">
        <v>120</v>
      </c>
      <c r="J45" s="136">
        <v>1</v>
      </c>
      <c r="K45" s="16" t="s">
        <v>56</v>
      </c>
      <c r="L45" s="140">
        <v>54000</v>
      </c>
      <c r="M45" s="45">
        <v>59400</v>
      </c>
      <c r="N45" s="53">
        <v>6000</v>
      </c>
      <c r="O45" s="48" t="s">
        <v>71</v>
      </c>
      <c r="P45" s="51" t="s">
        <v>104</v>
      </c>
      <c r="Q45" s="67">
        <f t="shared" si="0"/>
        <v>550</v>
      </c>
    </row>
    <row r="46" spans="1:17" ht="18.75" customHeight="1">
      <c r="A46" s="134">
        <v>1072311</v>
      </c>
      <c r="B46" s="138">
        <v>127370</v>
      </c>
      <c r="C46" s="134" t="s">
        <v>53</v>
      </c>
      <c r="D46" s="139">
        <v>45814.757638888892</v>
      </c>
      <c r="E46" s="135" t="s">
        <v>19</v>
      </c>
      <c r="F46" s="134" t="s">
        <v>135</v>
      </c>
      <c r="G46" s="135" t="s">
        <v>136</v>
      </c>
      <c r="H46" s="16">
        <v>63000</v>
      </c>
      <c r="I46" s="16">
        <v>96</v>
      </c>
      <c r="J46" s="136">
        <v>1</v>
      </c>
      <c r="K46" s="16" t="s">
        <v>56</v>
      </c>
      <c r="L46" s="140">
        <v>63000</v>
      </c>
      <c r="M46" s="45">
        <v>69300</v>
      </c>
      <c r="N46" s="195">
        <v>0</v>
      </c>
      <c r="O46" s="196" t="s">
        <v>137</v>
      </c>
      <c r="P46" s="197" t="s">
        <v>83</v>
      </c>
      <c r="Q46" s="67">
        <f t="shared" si="0"/>
        <v>721.875</v>
      </c>
    </row>
    <row r="47" spans="1:17" ht="18.75" customHeight="1">
      <c r="A47" s="198">
        <v>1070843</v>
      </c>
      <c r="B47" s="204">
        <v>127315</v>
      </c>
      <c r="C47" s="198" t="s">
        <v>53</v>
      </c>
      <c r="D47" s="205">
        <v>45812.768750000003</v>
      </c>
      <c r="E47" s="198" t="s">
        <v>22</v>
      </c>
      <c r="F47" s="198" t="s">
        <v>114</v>
      </c>
      <c r="G47" s="199" t="s">
        <v>115</v>
      </c>
      <c r="H47" s="200">
        <v>850</v>
      </c>
      <c r="I47" s="200">
        <v>72</v>
      </c>
      <c r="J47" s="201">
        <v>3</v>
      </c>
      <c r="K47" s="200" t="s">
        <v>56</v>
      </c>
      <c r="L47" s="202">
        <v>183600</v>
      </c>
      <c r="M47" s="202">
        <v>201960</v>
      </c>
      <c r="N47" s="202">
        <v>0</v>
      </c>
      <c r="O47" s="203" t="s">
        <v>71</v>
      </c>
      <c r="P47" s="51" t="s">
        <v>75</v>
      </c>
      <c r="Q47" s="67">
        <f t="shared" si="0"/>
        <v>935</v>
      </c>
    </row>
    <row r="48" spans="1:17" ht="18.75" customHeight="1">
      <c r="A48" s="198">
        <v>1070834</v>
      </c>
      <c r="B48" s="204">
        <v>127315</v>
      </c>
      <c r="C48" s="198" t="s">
        <v>53</v>
      </c>
      <c r="D48" s="205">
        <v>45812.768750000003</v>
      </c>
      <c r="E48" s="198" t="s">
        <v>22</v>
      </c>
      <c r="F48" s="198" t="s">
        <v>142</v>
      </c>
      <c r="G48" s="199" t="s">
        <v>143</v>
      </c>
      <c r="H48" s="200">
        <v>240</v>
      </c>
      <c r="I48" s="200">
        <v>30</v>
      </c>
      <c r="J48" s="201">
        <v>2</v>
      </c>
      <c r="K48" s="200" t="s">
        <v>107</v>
      </c>
      <c r="L48" s="202">
        <v>14400</v>
      </c>
      <c r="M48" s="202">
        <v>15840</v>
      </c>
      <c r="N48" s="53">
        <v>0</v>
      </c>
      <c r="O48" s="48" t="s">
        <v>144</v>
      </c>
      <c r="P48" s="51" t="s">
        <v>145</v>
      </c>
      <c r="Q48" s="67">
        <f t="shared" si="0"/>
        <v>264</v>
      </c>
    </row>
    <row r="49" spans="1:17" ht="18.75" customHeight="1">
      <c r="A49" s="122">
        <v>1060717</v>
      </c>
      <c r="B49" s="123">
        <v>126247</v>
      </c>
      <c r="C49" s="122" t="s">
        <v>53</v>
      </c>
      <c r="D49" s="124">
        <v>45803.90625</v>
      </c>
      <c r="E49" s="132" t="s">
        <v>122</v>
      </c>
      <c r="F49" s="122" t="s">
        <v>146</v>
      </c>
      <c r="G49" s="132" t="s">
        <v>147</v>
      </c>
      <c r="H49" s="125">
        <v>1000</v>
      </c>
      <c r="I49" s="125">
        <v>60</v>
      </c>
      <c r="J49" s="126">
        <v>1</v>
      </c>
      <c r="K49" s="125" t="s">
        <v>56</v>
      </c>
      <c r="L49" s="95">
        <v>60000</v>
      </c>
      <c r="M49" s="95">
        <v>66000</v>
      </c>
      <c r="N49" s="56">
        <v>0</v>
      </c>
      <c r="O49" s="49" t="s">
        <v>148</v>
      </c>
      <c r="P49" s="59" t="s">
        <v>149</v>
      </c>
      <c r="Q49" s="67">
        <f t="shared" si="0"/>
        <v>1100</v>
      </c>
    </row>
    <row r="50" spans="1:17" ht="18.75" customHeight="1">
      <c r="A50" s="122">
        <v>1060716</v>
      </c>
      <c r="B50" s="123">
        <v>126246</v>
      </c>
      <c r="C50" s="122" t="s">
        <v>53</v>
      </c>
      <c r="D50" s="124">
        <v>45803.905555555553</v>
      </c>
      <c r="E50" s="96" t="s">
        <v>23</v>
      </c>
      <c r="F50" s="122" t="s">
        <v>146</v>
      </c>
      <c r="G50" s="132" t="s">
        <v>147</v>
      </c>
      <c r="H50" s="125">
        <v>1000</v>
      </c>
      <c r="I50" s="125">
        <v>60</v>
      </c>
      <c r="J50" s="126">
        <v>1</v>
      </c>
      <c r="K50" s="125" t="s">
        <v>56</v>
      </c>
      <c r="L50" s="95">
        <v>60000</v>
      </c>
      <c r="M50" s="95">
        <v>66000</v>
      </c>
      <c r="N50" s="56">
        <v>0</v>
      </c>
      <c r="O50" s="49" t="s">
        <v>148</v>
      </c>
      <c r="P50" s="59" t="s">
        <v>149</v>
      </c>
      <c r="Q50" s="67">
        <f t="shared" si="0"/>
        <v>1100</v>
      </c>
    </row>
    <row r="51" spans="1:17" ht="18.75" customHeight="1">
      <c r="A51" s="122">
        <v>1060715</v>
      </c>
      <c r="B51" s="123">
        <v>126245</v>
      </c>
      <c r="C51" s="122" t="s">
        <v>53</v>
      </c>
      <c r="D51" s="124">
        <v>45803.904861111114</v>
      </c>
      <c r="E51" s="132" t="s">
        <v>22</v>
      </c>
      <c r="F51" s="122" t="s">
        <v>146</v>
      </c>
      <c r="G51" s="132" t="s">
        <v>147</v>
      </c>
      <c r="H51" s="125">
        <v>1000</v>
      </c>
      <c r="I51" s="125">
        <v>60</v>
      </c>
      <c r="J51" s="126">
        <v>2</v>
      </c>
      <c r="K51" s="125" t="s">
        <v>56</v>
      </c>
      <c r="L51" s="95">
        <v>120000</v>
      </c>
      <c r="M51" s="95">
        <v>132000</v>
      </c>
      <c r="N51" s="56">
        <v>0</v>
      </c>
      <c r="O51" s="49" t="s">
        <v>148</v>
      </c>
      <c r="P51" s="59" t="s">
        <v>149</v>
      </c>
      <c r="Q51" s="67">
        <f t="shared" si="0"/>
        <v>1100</v>
      </c>
    </row>
    <row r="52" spans="1:17" ht="18.75" customHeight="1">
      <c r="A52" s="122">
        <v>1059524</v>
      </c>
      <c r="B52" s="123">
        <v>126037</v>
      </c>
      <c r="C52" s="122" t="s">
        <v>53</v>
      </c>
      <c r="D52" s="124">
        <v>45802.32916666667</v>
      </c>
      <c r="E52" s="132" t="s">
        <v>19</v>
      </c>
      <c r="F52" s="122" t="s">
        <v>146</v>
      </c>
      <c r="G52" s="132" t="s">
        <v>147</v>
      </c>
      <c r="H52" s="125">
        <v>1000</v>
      </c>
      <c r="I52" s="125">
        <v>60</v>
      </c>
      <c r="J52" s="126">
        <v>2</v>
      </c>
      <c r="K52" s="125" t="s">
        <v>56</v>
      </c>
      <c r="L52" s="95">
        <v>120000</v>
      </c>
      <c r="M52" s="95">
        <v>132000</v>
      </c>
      <c r="N52" s="56">
        <v>0</v>
      </c>
      <c r="O52" s="49" t="s">
        <v>148</v>
      </c>
      <c r="P52" s="59" t="s">
        <v>149</v>
      </c>
      <c r="Q52" s="67">
        <f t="shared" si="0"/>
        <v>1100</v>
      </c>
    </row>
    <row r="53" spans="1:17" ht="18.75" customHeight="1">
      <c r="A53" s="122"/>
      <c r="B53" s="123"/>
      <c r="C53" s="122"/>
      <c r="D53" s="124"/>
      <c r="E53" s="132"/>
      <c r="F53" s="122"/>
      <c r="G53" s="132"/>
      <c r="H53" s="125"/>
      <c r="I53" s="125"/>
      <c r="J53" s="126"/>
      <c r="K53" s="125"/>
      <c r="L53" s="95"/>
      <c r="M53" s="95">
        <f t="shared" ref="M53:M67" si="1">L53*1.1</f>
        <v>0</v>
      </c>
      <c r="N53" s="56"/>
      <c r="O53" s="49"/>
      <c r="P53" s="59"/>
      <c r="Q53" s="67" t="e">
        <f t="shared" si="0"/>
        <v>#DIV/0!</v>
      </c>
    </row>
    <row r="54" spans="1:17" ht="18.75" customHeight="1">
      <c r="A54" s="122"/>
      <c r="B54" s="123"/>
      <c r="C54" s="122"/>
      <c r="D54" s="124"/>
      <c r="E54" s="132"/>
      <c r="F54" s="122"/>
      <c r="G54" s="132"/>
      <c r="H54" s="125"/>
      <c r="I54" s="125"/>
      <c r="J54" s="126"/>
      <c r="K54" s="125"/>
      <c r="L54" s="95"/>
      <c r="M54" s="95">
        <f t="shared" si="1"/>
        <v>0</v>
      </c>
      <c r="N54" s="56"/>
      <c r="O54" s="49"/>
      <c r="P54" s="59"/>
      <c r="Q54" s="67" t="e">
        <f t="shared" si="0"/>
        <v>#DIV/0!</v>
      </c>
    </row>
    <row r="55" spans="1:17" ht="18.75" customHeight="1">
      <c r="A55" s="122"/>
      <c r="B55" s="123"/>
      <c r="C55" s="122"/>
      <c r="D55" s="124"/>
      <c r="E55" s="132"/>
      <c r="F55" s="122"/>
      <c r="G55" s="132"/>
      <c r="H55" s="125"/>
      <c r="I55" s="125"/>
      <c r="J55" s="126"/>
      <c r="K55" s="125"/>
      <c r="L55" s="95"/>
      <c r="M55" s="95">
        <f t="shared" si="1"/>
        <v>0</v>
      </c>
      <c r="N55" s="56"/>
      <c r="O55" s="49"/>
      <c r="P55" s="59"/>
      <c r="Q55" s="67" t="e">
        <f t="shared" si="0"/>
        <v>#DIV/0!</v>
      </c>
    </row>
    <row r="56" spans="1:17" ht="18.75" customHeight="1">
      <c r="A56" s="122"/>
      <c r="B56" s="123"/>
      <c r="C56" s="122"/>
      <c r="D56" s="124"/>
      <c r="E56" s="132"/>
      <c r="F56" s="122"/>
      <c r="G56" s="132"/>
      <c r="H56" s="125"/>
      <c r="I56" s="125"/>
      <c r="J56" s="126"/>
      <c r="K56" s="125"/>
      <c r="L56" s="95"/>
      <c r="M56" s="95">
        <f t="shared" si="1"/>
        <v>0</v>
      </c>
      <c r="N56" s="56"/>
      <c r="O56" s="49"/>
      <c r="P56" s="59"/>
      <c r="Q56" s="67" t="e">
        <f t="shared" si="0"/>
        <v>#DIV/0!</v>
      </c>
    </row>
    <row r="57" spans="1:17" ht="18.75" customHeight="1">
      <c r="A57" s="122"/>
      <c r="B57" s="123"/>
      <c r="C57" s="122"/>
      <c r="D57" s="124"/>
      <c r="E57" s="132"/>
      <c r="F57" s="122"/>
      <c r="G57" s="132"/>
      <c r="H57" s="125"/>
      <c r="I57" s="125"/>
      <c r="J57" s="126"/>
      <c r="K57" s="125"/>
      <c r="L57" s="95"/>
      <c r="M57" s="95">
        <f t="shared" si="1"/>
        <v>0</v>
      </c>
      <c r="N57" s="56"/>
      <c r="O57" s="49"/>
      <c r="P57" s="59"/>
      <c r="Q57" s="67" t="e">
        <f t="shared" si="0"/>
        <v>#DIV/0!</v>
      </c>
    </row>
    <row r="58" spans="1:17" ht="18.75" customHeight="1">
      <c r="A58" s="122"/>
      <c r="B58" s="123"/>
      <c r="C58" s="122"/>
      <c r="D58" s="124"/>
      <c r="E58" s="132"/>
      <c r="F58" s="122"/>
      <c r="G58" s="132"/>
      <c r="H58" s="125"/>
      <c r="I58" s="125"/>
      <c r="J58" s="126"/>
      <c r="K58" s="125"/>
      <c r="L58" s="95"/>
      <c r="M58" s="95">
        <f t="shared" si="1"/>
        <v>0</v>
      </c>
      <c r="N58" s="56"/>
      <c r="O58" s="49"/>
      <c r="P58" s="59"/>
      <c r="Q58" s="67" t="e">
        <f t="shared" si="0"/>
        <v>#DIV/0!</v>
      </c>
    </row>
    <row r="59" spans="1:17" ht="18.75" customHeight="1">
      <c r="A59" s="122"/>
      <c r="B59" s="123"/>
      <c r="C59" s="122"/>
      <c r="D59" s="124"/>
      <c r="E59" s="132"/>
      <c r="F59" s="122"/>
      <c r="G59" s="132"/>
      <c r="H59" s="125"/>
      <c r="I59" s="125"/>
      <c r="J59" s="126"/>
      <c r="K59" s="125"/>
      <c r="L59" s="95"/>
      <c r="M59" s="95">
        <f t="shared" si="1"/>
        <v>0</v>
      </c>
      <c r="N59" s="56"/>
      <c r="O59" s="49"/>
      <c r="P59" s="59"/>
      <c r="Q59" s="67" t="e">
        <f t="shared" si="0"/>
        <v>#DIV/0!</v>
      </c>
    </row>
    <row r="60" spans="1:17" ht="18.75" customHeight="1">
      <c r="A60" s="122"/>
      <c r="B60" s="123"/>
      <c r="C60" s="122"/>
      <c r="D60" s="124"/>
      <c r="E60" s="132"/>
      <c r="F60" s="122"/>
      <c r="G60" s="132"/>
      <c r="H60" s="125"/>
      <c r="I60" s="125"/>
      <c r="J60" s="126"/>
      <c r="K60" s="125"/>
      <c r="L60" s="95"/>
      <c r="M60" s="95">
        <f t="shared" si="1"/>
        <v>0</v>
      </c>
      <c r="N60" s="56"/>
      <c r="O60" s="49"/>
      <c r="P60" s="59"/>
      <c r="Q60" s="67" t="e">
        <f t="shared" si="0"/>
        <v>#DIV/0!</v>
      </c>
    </row>
    <row r="61" spans="1:17" ht="18.75" customHeight="1">
      <c r="A61" s="122"/>
      <c r="B61" s="123"/>
      <c r="C61" s="122"/>
      <c r="D61" s="124"/>
      <c r="E61" s="132"/>
      <c r="F61" s="122"/>
      <c r="G61" s="132"/>
      <c r="H61" s="125"/>
      <c r="I61" s="125"/>
      <c r="J61" s="126"/>
      <c r="K61" s="125"/>
      <c r="L61" s="95"/>
      <c r="M61" s="95">
        <f t="shared" si="1"/>
        <v>0</v>
      </c>
      <c r="N61" s="56"/>
      <c r="O61" s="49"/>
      <c r="P61" s="59"/>
      <c r="Q61" s="67" t="e">
        <f t="shared" si="0"/>
        <v>#DIV/0!</v>
      </c>
    </row>
    <row r="62" spans="1:17" ht="18.75" customHeight="1">
      <c r="A62" s="122"/>
      <c r="B62" s="123"/>
      <c r="C62" s="122"/>
      <c r="D62" s="124"/>
      <c r="E62" s="132"/>
      <c r="F62" s="122"/>
      <c r="G62" s="132"/>
      <c r="H62" s="125"/>
      <c r="I62" s="125"/>
      <c r="J62" s="126"/>
      <c r="K62" s="125"/>
      <c r="L62" s="95"/>
      <c r="M62" s="95">
        <f t="shared" si="1"/>
        <v>0</v>
      </c>
      <c r="N62" s="56"/>
      <c r="O62" s="49"/>
      <c r="P62" s="59"/>
      <c r="Q62" s="67" t="e">
        <f t="shared" si="0"/>
        <v>#DIV/0!</v>
      </c>
    </row>
    <row r="63" spans="1:17" ht="18.75" customHeight="1">
      <c r="A63" s="122"/>
      <c r="B63" s="123"/>
      <c r="C63" s="122"/>
      <c r="D63" s="124"/>
      <c r="E63" s="132"/>
      <c r="F63" s="122"/>
      <c r="G63" s="132"/>
      <c r="H63" s="125"/>
      <c r="I63" s="125"/>
      <c r="J63" s="126"/>
      <c r="K63" s="125"/>
      <c r="L63" s="95"/>
      <c r="M63" s="95">
        <f t="shared" si="1"/>
        <v>0</v>
      </c>
      <c r="N63" s="56"/>
      <c r="O63" s="49"/>
      <c r="P63" s="59"/>
      <c r="Q63" s="67" t="e">
        <f t="shared" si="0"/>
        <v>#DIV/0!</v>
      </c>
    </row>
    <row r="64" spans="1:17" ht="18.75" customHeight="1">
      <c r="A64" s="122"/>
      <c r="B64" s="123"/>
      <c r="C64" s="122"/>
      <c r="D64" s="124"/>
      <c r="E64" s="132"/>
      <c r="F64" s="122"/>
      <c r="G64" s="132"/>
      <c r="H64" s="125"/>
      <c r="I64" s="125"/>
      <c r="J64" s="126"/>
      <c r="K64" s="125"/>
      <c r="L64" s="95"/>
      <c r="M64" s="95">
        <f t="shared" si="1"/>
        <v>0</v>
      </c>
      <c r="N64" s="56"/>
      <c r="O64" s="49"/>
      <c r="P64" s="59"/>
      <c r="Q64" s="67" t="e">
        <f t="shared" si="0"/>
        <v>#DIV/0!</v>
      </c>
    </row>
    <row r="65" spans="1:17" ht="18.75" customHeight="1">
      <c r="A65" s="122"/>
      <c r="B65" s="123"/>
      <c r="C65" s="122"/>
      <c r="D65" s="124"/>
      <c r="E65" s="132"/>
      <c r="F65" s="122"/>
      <c r="G65" s="132"/>
      <c r="H65" s="125"/>
      <c r="I65" s="125"/>
      <c r="J65" s="126"/>
      <c r="K65" s="125"/>
      <c r="L65" s="95"/>
      <c r="M65" s="95">
        <f t="shared" si="1"/>
        <v>0</v>
      </c>
      <c r="N65" s="56"/>
      <c r="O65" s="49"/>
      <c r="P65" s="59"/>
      <c r="Q65" s="67" t="e">
        <f t="shared" si="0"/>
        <v>#DIV/0!</v>
      </c>
    </row>
    <row r="66" spans="1:17" ht="18.75" customHeight="1">
      <c r="A66" s="122"/>
      <c r="B66" s="123"/>
      <c r="C66" s="122"/>
      <c r="D66" s="124"/>
      <c r="E66" s="96"/>
      <c r="F66" s="122"/>
      <c r="G66" s="96"/>
      <c r="H66" s="125"/>
      <c r="I66" s="125"/>
      <c r="J66" s="126"/>
      <c r="K66" s="125"/>
      <c r="L66" s="95"/>
      <c r="M66" s="95">
        <f t="shared" si="1"/>
        <v>0</v>
      </c>
      <c r="N66" s="56"/>
      <c r="O66" s="49"/>
      <c r="P66" s="59"/>
      <c r="Q66" s="67" t="e">
        <f t="shared" si="0"/>
        <v>#DIV/0!</v>
      </c>
    </row>
    <row r="67" spans="1:17" ht="18.75" customHeight="1">
      <c r="A67" s="122"/>
      <c r="B67" s="123"/>
      <c r="C67" s="122"/>
      <c r="D67" s="124"/>
      <c r="E67" s="96"/>
      <c r="F67" s="122"/>
      <c r="G67" s="96"/>
      <c r="H67" s="125"/>
      <c r="I67" s="125"/>
      <c r="J67" s="126"/>
      <c r="K67" s="125"/>
      <c r="L67" s="95"/>
      <c r="M67" s="95">
        <f t="shared" si="1"/>
        <v>0</v>
      </c>
      <c r="N67" s="56"/>
      <c r="O67" s="49"/>
      <c r="P67" s="59"/>
      <c r="Q67" s="67" t="e">
        <f t="shared" si="0"/>
        <v>#DIV/0!</v>
      </c>
    </row>
    <row r="68" spans="1:17" ht="18.75" customHeight="1">
      <c r="A68" s="12"/>
      <c r="B68" s="68"/>
      <c r="C68" s="12"/>
      <c r="D68" s="69"/>
      <c r="E68" s="12"/>
      <c r="F68" s="12"/>
      <c r="G68" s="70"/>
      <c r="H68" s="71"/>
      <c r="I68" s="71"/>
      <c r="J68" s="72"/>
      <c r="K68" s="71"/>
      <c r="L68" s="73"/>
      <c r="M68" s="67"/>
      <c r="N68" s="74"/>
      <c r="O68" s="11"/>
      <c r="P68" s="75"/>
      <c r="Q68" s="74" t="e">
        <f t="shared" ref="Q68" si="2">(M68+N68*1.1)/(I68*J68)</f>
        <v>#DIV/0!</v>
      </c>
    </row>
    <row r="69" spans="1:17" ht="18.75" customHeight="1">
      <c r="A69" s="12"/>
      <c r="B69" s="68"/>
      <c r="C69" s="12"/>
      <c r="D69" s="69"/>
      <c r="E69" s="12"/>
      <c r="F69" s="12"/>
      <c r="G69" s="70"/>
      <c r="H69" s="71"/>
      <c r="I69" s="71"/>
      <c r="J69" s="72"/>
      <c r="K69" s="71"/>
      <c r="L69" s="73"/>
      <c r="M69" s="73"/>
      <c r="N69" s="74"/>
      <c r="O69" s="11"/>
      <c r="P69" s="75"/>
      <c r="Q69" s="74"/>
    </row>
    <row r="70" spans="1:17" ht="18.75" customHeight="1">
      <c r="A70" s="151" t="s">
        <v>150</v>
      </c>
      <c r="B70" s="123"/>
      <c r="C70" s="122"/>
      <c r="D70" s="124">
        <v>45921</v>
      </c>
      <c r="E70" s="132" t="s">
        <v>22</v>
      </c>
      <c r="F70" s="122"/>
      <c r="G70" s="132" t="s">
        <v>151</v>
      </c>
      <c r="H70" s="125">
        <v>920</v>
      </c>
      <c r="I70" s="125">
        <v>72</v>
      </c>
      <c r="J70" s="126">
        <v>2</v>
      </c>
      <c r="K70" s="125" t="s">
        <v>56</v>
      </c>
      <c r="L70" s="95">
        <f>H70*I70*J70</f>
        <v>132480</v>
      </c>
      <c r="M70" s="95">
        <f>L70*1.1</f>
        <v>145728</v>
      </c>
      <c r="N70" s="56"/>
      <c r="O70" s="49"/>
      <c r="P70" s="59"/>
      <c r="Q70" s="67">
        <f t="shared" ref="Q70:Q85" si="3">(M70+N70*1.1)/(I70*J70)</f>
        <v>1012</v>
      </c>
    </row>
    <row r="71" spans="1:17" ht="18.75" customHeight="1">
      <c r="A71" s="122"/>
      <c r="B71" s="123"/>
      <c r="C71" s="122"/>
      <c r="D71" s="124">
        <v>45921</v>
      </c>
      <c r="E71" s="132" t="s">
        <v>19</v>
      </c>
      <c r="F71" s="122"/>
      <c r="G71" s="132" t="s">
        <v>151</v>
      </c>
      <c r="H71" s="125">
        <v>920</v>
      </c>
      <c r="I71" s="125">
        <v>72</v>
      </c>
      <c r="J71" s="126">
        <v>2</v>
      </c>
      <c r="K71" s="125" t="s">
        <v>56</v>
      </c>
      <c r="L71" s="95">
        <f t="shared" ref="L71:L74" si="4">H71*I71*J71</f>
        <v>132480</v>
      </c>
      <c r="M71" s="95">
        <f>L71*1.1</f>
        <v>145728</v>
      </c>
      <c r="N71" s="56"/>
      <c r="O71" s="49"/>
      <c r="P71" s="59"/>
      <c r="Q71" s="67">
        <f t="shared" si="3"/>
        <v>1012</v>
      </c>
    </row>
    <row r="72" spans="1:17" ht="18.75" customHeight="1">
      <c r="A72" s="122"/>
      <c r="B72" s="123"/>
      <c r="C72" s="122"/>
      <c r="D72" s="124">
        <v>45921</v>
      </c>
      <c r="E72" s="96" t="s">
        <v>23</v>
      </c>
      <c r="F72" s="122"/>
      <c r="G72" s="132" t="s">
        <v>152</v>
      </c>
      <c r="H72" s="125">
        <v>920</v>
      </c>
      <c r="I72" s="125">
        <v>72</v>
      </c>
      <c r="J72" s="126">
        <v>2</v>
      </c>
      <c r="K72" s="125" t="s">
        <v>56</v>
      </c>
      <c r="L72" s="95">
        <f t="shared" si="4"/>
        <v>132480</v>
      </c>
      <c r="M72" s="95">
        <f>L72*1.1</f>
        <v>145728</v>
      </c>
      <c r="N72" s="56"/>
      <c r="O72" s="49"/>
      <c r="P72" s="59"/>
      <c r="Q72" s="67">
        <f t="shared" si="3"/>
        <v>1012</v>
      </c>
    </row>
    <row r="73" spans="1:17" ht="18.75" customHeight="1">
      <c r="A73" s="122"/>
      <c r="B73" s="123"/>
      <c r="C73" s="122"/>
      <c r="D73" s="124">
        <v>45921</v>
      </c>
      <c r="E73" s="132" t="s">
        <v>24</v>
      </c>
      <c r="F73" s="122"/>
      <c r="G73" s="132" t="s">
        <v>152</v>
      </c>
      <c r="H73" s="125">
        <v>920</v>
      </c>
      <c r="I73" s="125">
        <v>72</v>
      </c>
      <c r="J73" s="126">
        <v>2</v>
      </c>
      <c r="K73" s="125" t="s">
        <v>56</v>
      </c>
      <c r="L73" s="95">
        <f t="shared" si="4"/>
        <v>132480</v>
      </c>
      <c r="M73" s="95">
        <f t="shared" ref="M73:M74" si="5">L73*1.1</f>
        <v>145728</v>
      </c>
      <c r="N73" s="56"/>
      <c r="O73" s="49"/>
      <c r="P73" s="59"/>
      <c r="Q73" s="67">
        <f t="shared" si="3"/>
        <v>1012</v>
      </c>
    </row>
    <row r="74" spans="1:17" ht="18.75" customHeight="1">
      <c r="A74" s="122"/>
      <c r="B74" s="123"/>
      <c r="C74" s="122"/>
      <c r="D74" s="124">
        <v>45921</v>
      </c>
      <c r="E74" s="132" t="s">
        <v>22</v>
      </c>
      <c r="F74" s="122"/>
      <c r="G74" s="132" t="s">
        <v>153</v>
      </c>
      <c r="H74" s="125">
        <v>54</v>
      </c>
      <c r="I74" s="125">
        <v>768</v>
      </c>
      <c r="J74" s="126">
        <v>1</v>
      </c>
      <c r="K74" s="125" t="s">
        <v>56</v>
      </c>
      <c r="L74" s="95">
        <f t="shared" si="4"/>
        <v>41472</v>
      </c>
      <c r="M74" s="95">
        <f t="shared" si="5"/>
        <v>45619.200000000004</v>
      </c>
      <c r="N74" s="56"/>
      <c r="O74" s="49"/>
      <c r="P74" s="59"/>
      <c r="Q74" s="67">
        <f t="shared" si="3"/>
        <v>59.400000000000006</v>
      </c>
    </row>
    <row r="75" spans="1:17" ht="18.75" customHeight="1">
      <c r="A75" s="122"/>
      <c r="B75" s="123"/>
      <c r="C75" s="122"/>
      <c r="D75" s="124"/>
      <c r="E75" s="132"/>
      <c r="F75" s="122"/>
      <c r="G75" s="96"/>
      <c r="H75" s="125"/>
      <c r="I75" s="125"/>
      <c r="J75" s="126"/>
      <c r="K75" s="125"/>
      <c r="L75" s="95"/>
      <c r="M75" s="95">
        <f>L75*1.1</f>
        <v>0</v>
      </c>
      <c r="N75" s="56"/>
      <c r="O75" s="49"/>
      <c r="P75" s="59"/>
      <c r="Q75" s="67" t="e">
        <f t="shared" ref="Q75:Q78" si="6">(M75+N75*1.1)/(I75*J75)</f>
        <v>#DIV/0!</v>
      </c>
    </row>
    <row r="76" spans="1:17" ht="18.75" customHeight="1">
      <c r="A76" s="122"/>
      <c r="B76" s="123"/>
      <c r="C76" s="122"/>
      <c r="D76" s="124"/>
      <c r="E76" s="132"/>
      <c r="F76" s="122"/>
      <c r="G76" s="132"/>
      <c r="H76" s="125"/>
      <c r="I76" s="125"/>
      <c r="J76" s="126"/>
      <c r="K76" s="125"/>
      <c r="L76" s="95"/>
      <c r="M76" s="95">
        <f>L76*1.1</f>
        <v>0</v>
      </c>
      <c r="N76" s="56"/>
      <c r="O76" s="49"/>
      <c r="P76" s="59"/>
      <c r="Q76" s="67" t="e">
        <f t="shared" si="6"/>
        <v>#DIV/0!</v>
      </c>
    </row>
    <row r="77" spans="1:17" ht="18.75" customHeight="1">
      <c r="A77" s="122"/>
      <c r="B77" s="123"/>
      <c r="C77" s="122"/>
      <c r="D77" s="124"/>
      <c r="E77" s="96"/>
      <c r="F77" s="122"/>
      <c r="G77" s="96"/>
      <c r="H77" s="125"/>
      <c r="I77" s="125"/>
      <c r="J77" s="126"/>
      <c r="K77" s="125"/>
      <c r="L77" s="95"/>
      <c r="M77" s="95">
        <f t="shared" ref="M77:M78" si="7">L77*1.1</f>
        <v>0</v>
      </c>
      <c r="N77" s="56"/>
      <c r="O77" s="49"/>
      <c r="P77" s="59"/>
      <c r="Q77" s="67" t="e">
        <f t="shared" si="6"/>
        <v>#DIV/0!</v>
      </c>
    </row>
    <row r="78" spans="1:17" ht="18.75" customHeight="1">
      <c r="A78" s="122"/>
      <c r="B78" s="123"/>
      <c r="C78" s="122"/>
      <c r="D78" s="124"/>
      <c r="E78" s="96"/>
      <c r="F78" s="122"/>
      <c r="G78" s="96"/>
      <c r="H78" s="125"/>
      <c r="I78" s="125"/>
      <c r="J78" s="126"/>
      <c r="K78" s="125"/>
      <c r="L78" s="95"/>
      <c r="M78" s="95">
        <f t="shared" si="7"/>
        <v>0</v>
      </c>
      <c r="N78" s="56"/>
      <c r="O78" s="49"/>
      <c r="P78" s="59"/>
      <c r="Q78" s="67" t="e">
        <f t="shared" si="6"/>
        <v>#DIV/0!</v>
      </c>
    </row>
    <row r="79" spans="1:17" ht="18.75" customHeight="1">
      <c r="A79" s="122"/>
      <c r="B79" s="123"/>
      <c r="C79" s="122"/>
      <c r="D79" s="124"/>
      <c r="E79" s="132"/>
      <c r="F79" s="122"/>
      <c r="G79" s="96"/>
      <c r="H79" s="125"/>
      <c r="I79" s="125"/>
      <c r="J79" s="126"/>
      <c r="K79" s="125"/>
      <c r="L79" s="95"/>
      <c r="M79" s="95">
        <f>L79*1.1</f>
        <v>0</v>
      </c>
      <c r="N79" s="56"/>
      <c r="O79" s="49"/>
      <c r="P79" s="59"/>
      <c r="Q79" s="67" t="e">
        <f t="shared" ref="Q79:Q82" si="8">(M79+N79*1.1)/(I79*J79)</f>
        <v>#DIV/0!</v>
      </c>
    </row>
    <row r="80" spans="1:17" ht="18.75" customHeight="1">
      <c r="A80" s="122"/>
      <c r="B80" s="123"/>
      <c r="C80" s="122"/>
      <c r="D80" s="124"/>
      <c r="E80" s="132"/>
      <c r="F80" s="122"/>
      <c r="G80" s="132"/>
      <c r="H80" s="125"/>
      <c r="I80" s="125"/>
      <c r="J80" s="126"/>
      <c r="K80" s="125"/>
      <c r="L80" s="95"/>
      <c r="M80" s="95">
        <f>L80*1.1</f>
        <v>0</v>
      </c>
      <c r="N80" s="56"/>
      <c r="O80" s="49"/>
      <c r="P80" s="59"/>
      <c r="Q80" s="67" t="e">
        <f t="shared" si="8"/>
        <v>#DIV/0!</v>
      </c>
    </row>
    <row r="81" spans="1:17" ht="18.75" customHeight="1">
      <c r="A81" s="122"/>
      <c r="B81" s="123"/>
      <c r="C81" s="122"/>
      <c r="D81" s="124"/>
      <c r="E81" s="96"/>
      <c r="F81" s="122"/>
      <c r="G81" s="96"/>
      <c r="H81" s="125"/>
      <c r="I81" s="125"/>
      <c r="J81" s="126"/>
      <c r="K81" s="125"/>
      <c r="L81" s="95"/>
      <c r="M81" s="95">
        <f t="shared" ref="M81:M82" si="9">L81*1.1</f>
        <v>0</v>
      </c>
      <c r="N81" s="56"/>
      <c r="O81" s="49"/>
      <c r="P81" s="59"/>
      <c r="Q81" s="67" t="e">
        <f t="shared" si="8"/>
        <v>#DIV/0!</v>
      </c>
    </row>
    <row r="82" spans="1:17" ht="18.75" customHeight="1">
      <c r="A82" s="122"/>
      <c r="B82" s="123"/>
      <c r="C82" s="122"/>
      <c r="D82" s="124"/>
      <c r="E82" s="96"/>
      <c r="F82" s="122"/>
      <c r="G82" s="96"/>
      <c r="H82" s="125"/>
      <c r="I82" s="125"/>
      <c r="J82" s="126"/>
      <c r="K82" s="125"/>
      <c r="L82" s="95"/>
      <c r="M82" s="95">
        <f t="shared" si="9"/>
        <v>0</v>
      </c>
      <c r="N82" s="56"/>
      <c r="O82" s="49"/>
      <c r="P82" s="59"/>
      <c r="Q82" s="67" t="e">
        <f t="shared" si="8"/>
        <v>#DIV/0!</v>
      </c>
    </row>
    <row r="83" spans="1:17" ht="18.75" customHeight="1">
      <c r="A83" s="122"/>
      <c r="B83" s="123"/>
      <c r="C83" s="122"/>
      <c r="D83" s="124"/>
      <c r="E83" s="132"/>
      <c r="F83" s="122"/>
      <c r="G83" s="96"/>
      <c r="H83" s="125"/>
      <c r="I83" s="125"/>
      <c r="J83" s="126"/>
      <c r="K83" s="125"/>
      <c r="L83" s="95"/>
      <c r="M83" s="95">
        <f>L83*1.1</f>
        <v>0</v>
      </c>
      <c r="N83" s="56"/>
      <c r="O83" s="49"/>
      <c r="P83" s="59"/>
      <c r="Q83" s="67" t="e">
        <f t="shared" si="3"/>
        <v>#DIV/0!</v>
      </c>
    </row>
    <row r="84" spans="1:17" ht="18.75" customHeight="1">
      <c r="A84" s="122"/>
      <c r="B84" s="123"/>
      <c r="C84" s="122"/>
      <c r="D84" s="124"/>
      <c r="E84" s="132"/>
      <c r="F84" s="122"/>
      <c r="G84" s="132"/>
      <c r="H84" s="125"/>
      <c r="I84" s="125"/>
      <c r="J84" s="126"/>
      <c r="K84" s="125"/>
      <c r="L84" s="95"/>
      <c r="M84" s="95">
        <f>L84*1.1</f>
        <v>0</v>
      </c>
      <c r="N84" s="56"/>
      <c r="O84" s="49"/>
      <c r="P84" s="59"/>
      <c r="Q84" s="67" t="e">
        <f t="shared" si="3"/>
        <v>#DIV/0!</v>
      </c>
    </row>
    <row r="85" spans="1:17" ht="18.75" customHeight="1">
      <c r="A85" s="122"/>
      <c r="B85" s="123"/>
      <c r="C85" s="122"/>
      <c r="D85" s="124"/>
      <c r="E85" s="96"/>
      <c r="F85" s="122"/>
      <c r="G85" s="96"/>
      <c r="H85" s="125"/>
      <c r="I85" s="125"/>
      <c r="J85" s="126"/>
      <c r="K85" s="125"/>
      <c r="L85" s="95"/>
      <c r="M85" s="95">
        <f t="shared" ref="M85" si="10">L85*1.1</f>
        <v>0</v>
      </c>
      <c r="N85" s="56"/>
      <c r="O85" s="49"/>
      <c r="P85" s="59"/>
      <c r="Q85" s="67" t="e">
        <f t="shared" si="3"/>
        <v>#DIV/0!</v>
      </c>
    </row>
    <row r="86" spans="1:17" ht="18.75" customHeight="1">
      <c r="A86" s="206"/>
      <c r="B86" s="207"/>
      <c r="C86" s="206"/>
      <c r="D86" s="208"/>
      <c r="E86" s="209"/>
      <c r="F86" s="206"/>
      <c r="G86" s="210"/>
      <c r="H86" s="211"/>
      <c r="I86" s="211"/>
      <c r="J86" s="212"/>
      <c r="K86" s="211"/>
      <c r="L86" s="213"/>
      <c r="M86" s="213">
        <f>L86*1.1</f>
        <v>0</v>
      </c>
      <c r="N86" s="214"/>
      <c r="O86" s="215"/>
      <c r="P86" s="216"/>
      <c r="Q86" s="217" t="e">
        <f t="shared" ref="Q86:Q90" si="11">(M86+N86*1.1)/(I86*J86)</f>
        <v>#DIV/0!</v>
      </c>
    </row>
    <row r="87" spans="1:17" ht="18.75" customHeight="1">
      <c r="A87" s="122"/>
      <c r="B87" s="123"/>
      <c r="C87" s="122"/>
      <c r="D87" s="124"/>
      <c r="E87" s="132"/>
      <c r="F87" s="122"/>
      <c r="G87" s="132"/>
      <c r="H87" s="125"/>
      <c r="I87" s="125"/>
      <c r="J87" s="126"/>
      <c r="K87" s="125"/>
      <c r="L87" s="95"/>
      <c r="M87" s="95">
        <f>L87*1.1</f>
        <v>0</v>
      </c>
      <c r="N87" s="56"/>
      <c r="O87" s="49"/>
      <c r="P87" s="59"/>
      <c r="Q87" s="67" t="e">
        <f t="shared" si="11"/>
        <v>#DIV/0!</v>
      </c>
    </row>
    <row r="88" spans="1:17" ht="18.75" customHeight="1">
      <c r="A88" s="122"/>
      <c r="B88" s="123"/>
      <c r="C88" s="122"/>
      <c r="D88" s="124"/>
      <c r="E88" s="96"/>
      <c r="F88" s="122"/>
      <c r="G88" s="96"/>
      <c r="H88" s="125"/>
      <c r="I88" s="125"/>
      <c r="J88" s="126"/>
      <c r="K88" s="125"/>
      <c r="L88" s="95"/>
      <c r="M88" s="95">
        <f t="shared" ref="M88:M89" si="12">L88*1.1</f>
        <v>0</v>
      </c>
      <c r="N88" s="56"/>
      <c r="O88" s="49"/>
      <c r="P88" s="59"/>
      <c r="Q88" s="67" t="e">
        <f t="shared" si="11"/>
        <v>#DIV/0!</v>
      </c>
    </row>
    <row r="89" spans="1:17" ht="18.75" customHeight="1">
      <c r="A89" s="122"/>
      <c r="B89" s="123"/>
      <c r="C89" s="122"/>
      <c r="D89" s="124"/>
      <c r="E89" s="96"/>
      <c r="F89" s="122"/>
      <c r="G89" s="96"/>
      <c r="H89" s="125"/>
      <c r="I89" s="125"/>
      <c r="J89" s="126"/>
      <c r="K89" s="125"/>
      <c r="L89" s="95"/>
      <c r="M89" s="95">
        <f t="shared" si="12"/>
        <v>0</v>
      </c>
      <c r="N89" s="56"/>
      <c r="O89" s="49"/>
      <c r="P89" s="59"/>
      <c r="Q89" s="67" t="e">
        <f t="shared" si="11"/>
        <v>#DIV/0!</v>
      </c>
    </row>
    <row r="90" spans="1:17" ht="18.75" customHeight="1">
      <c r="A90" s="11"/>
      <c r="B90" s="68"/>
      <c r="C90" s="12"/>
      <c r="D90" s="69"/>
      <c r="E90" s="12"/>
      <c r="F90" s="12"/>
      <c r="G90" s="70"/>
      <c r="H90" s="71"/>
      <c r="I90" s="71"/>
      <c r="J90" s="72"/>
      <c r="K90" s="71"/>
      <c r="L90" s="73"/>
      <c r="M90" s="73">
        <f>SUM(M86:N89)</f>
        <v>0</v>
      </c>
      <c r="N90" s="74"/>
      <c r="O90" s="11"/>
      <c r="P90" s="75"/>
      <c r="Q90" s="74" t="e">
        <f t="shared" si="11"/>
        <v>#DIV/0!</v>
      </c>
    </row>
    <row r="91" spans="1:17" ht="18.75" customHeight="1">
      <c r="A91" s="151" t="s">
        <v>154</v>
      </c>
      <c r="B91" s="123"/>
      <c r="C91" s="122"/>
      <c r="D91" s="124"/>
      <c r="E91" s="96"/>
      <c r="F91" s="122"/>
      <c r="G91" s="96"/>
      <c r="H91" s="125"/>
      <c r="I91" s="125"/>
      <c r="J91" s="126"/>
      <c r="K91" s="125"/>
      <c r="L91" s="95"/>
      <c r="M91" s="95">
        <f>L91*1.1</f>
        <v>0</v>
      </c>
      <c r="N91" s="56"/>
      <c r="O91" s="49"/>
      <c r="P91" s="59"/>
      <c r="Q91" s="97"/>
    </row>
    <row r="92" spans="1:17" ht="18.75" customHeight="1">
      <c r="A92" s="122"/>
      <c r="B92" s="123"/>
      <c r="C92" s="122"/>
      <c r="D92" s="124"/>
      <c r="E92" s="96"/>
      <c r="F92" s="122"/>
      <c r="G92" s="96"/>
      <c r="H92" s="125"/>
      <c r="I92" s="125"/>
      <c r="J92" s="126"/>
      <c r="K92" s="125"/>
      <c r="L92" s="95"/>
      <c r="M92" s="95">
        <f>L92*1.1</f>
        <v>0</v>
      </c>
      <c r="N92" s="56"/>
      <c r="O92" s="49"/>
      <c r="P92" s="59"/>
      <c r="Q92" s="97"/>
    </row>
    <row r="93" spans="1:17" ht="18.75" customHeight="1">
      <c r="A93" s="122"/>
      <c r="B93" s="123"/>
      <c r="C93" s="122"/>
      <c r="D93" s="124"/>
      <c r="E93" s="96"/>
      <c r="F93" s="122"/>
      <c r="G93" s="96"/>
      <c r="H93" s="125"/>
      <c r="I93" s="125"/>
      <c r="J93" s="126"/>
      <c r="K93" s="125"/>
      <c r="L93" s="95"/>
      <c r="M93" s="95">
        <f>L93*1.1</f>
        <v>0</v>
      </c>
      <c r="N93" s="56"/>
      <c r="O93" s="49"/>
      <c r="P93" s="59"/>
      <c r="Q93" s="97"/>
    </row>
    <row r="94" spans="1:17" ht="18.75" customHeight="1">
      <c r="A94" s="122"/>
      <c r="B94" s="123"/>
      <c r="C94" s="122"/>
      <c r="D94" s="124"/>
      <c r="E94" s="96"/>
      <c r="F94" s="122"/>
      <c r="G94" s="96"/>
      <c r="H94" s="125"/>
      <c r="I94" s="125"/>
      <c r="J94" s="126"/>
      <c r="K94" s="125"/>
      <c r="L94" s="95"/>
      <c r="M94" s="95">
        <f t="shared" ref="M94:M95" si="13">L94*1.1</f>
        <v>0</v>
      </c>
      <c r="N94" s="56"/>
      <c r="O94" s="49"/>
      <c r="P94" s="59"/>
      <c r="Q94" s="97"/>
    </row>
    <row r="95" spans="1:17" ht="18.75" customHeight="1">
      <c r="A95" s="122"/>
      <c r="B95" s="123"/>
      <c r="C95" s="122"/>
      <c r="D95" s="124"/>
      <c r="E95" s="96"/>
      <c r="F95" s="122"/>
      <c r="G95" s="96"/>
      <c r="H95" s="125"/>
      <c r="I95" s="125"/>
      <c r="J95" s="126"/>
      <c r="K95" s="125"/>
      <c r="L95" s="95"/>
      <c r="M95" s="95">
        <f t="shared" si="13"/>
        <v>0</v>
      </c>
      <c r="N95" s="56"/>
      <c r="O95" s="49"/>
      <c r="P95" s="59"/>
      <c r="Q95" s="97"/>
    </row>
    <row r="96" spans="1:17" ht="18.75" customHeight="1">
      <c r="A96" s="11"/>
      <c r="B96" s="68"/>
      <c r="C96" s="12"/>
      <c r="D96" s="69"/>
      <c r="E96" s="12"/>
      <c r="F96" s="12"/>
      <c r="G96" s="70"/>
      <c r="H96" s="71"/>
      <c r="I96" s="71"/>
      <c r="J96" s="72"/>
      <c r="K96" s="71"/>
      <c r="L96" s="73"/>
      <c r="M96" s="73"/>
      <c r="N96" s="74"/>
      <c r="O96" s="11"/>
      <c r="P96" s="75"/>
      <c r="Q96" s="74"/>
    </row>
    <row r="97" spans="1:17" ht="18.75" customHeight="1">
      <c r="A97" s="122" t="s">
        <v>29</v>
      </c>
      <c r="B97" s="123"/>
      <c r="C97" s="122"/>
      <c r="D97" s="124"/>
      <c r="E97" s="96"/>
      <c r="F97" s="122"/>
      <c r="G97" s="96"/>
      <c r="H97" s="125"/>
      <c r="I97" s="125"/>
      <c r="J97" s="126"/>
      <c r="K97" s="125"/>
      <c r="L97" s="95"/>
      <c r="M97" s="95">
        <f>L97*1.1</f>
        <v>0</v>
      </c>
      <c r="N97" s="56"/>
      <c r="O97" s="49"/>
      <c r="P97" s="59"/>
      <c r="Q97" s="97"/>
    </row>
    <row r="98" spans="1:17" ht="18.75" customHeight="1">
      <c r="A98" s="122"/>
      <c r="B98" s="123"/>
      <c r="C98" s="122"/>
      <c r="D98" s="124"/>
      <c r="E98" s="96"/>
      <c r="F98" s="122"/>
      <c r="G98" s="96"/>
      <c r="H98" s="125"/>
      <c r="I98" s="125"/>
      <c r="J98" s="126"/>
      <c r="K98" s="125"/>
      <c r="L98" s="95"/>
      <c r="M98" s="95">
        <f>L98*1.1</f>
        <v>0</v>
      </c>
      <c r="N98" s="56"/>
      <c r="O98" s="49"/>
      <c r="P98" s="59"/>
      <c r="Q98" s="97"/>
    </row>
    <row r="99" spans="1:17" ht="18.75" customHeight="1">
      <c r="A99" s="122"/>
      <c r="B99" s="123"/>
      <c r="C99" s="122"/>
      <c r="D99" s="124"/>
      <c r="E99" s="96"/>
      <c r="F99" s="122"/>
      <c r="G99" s="96"/>
      <c r="H99" s="125"/>
      <c r="I99" s="125"/>
      <c r="J99" s="126"/>
      <c r="K99" s="125"/>
      <c r="L99" s="95"/>
      <c r="M99" s="95">
        <f>L99*1.1</f>
        <v>0</v>
      </c>
      <c r="N99" s="56"/>
      <c r="O99" s="49"/>
      <c r="P99" s="59"/>
      <c r="Q99" s="97"/>
    </row>
    <row r="100" spans="1:17" ht="18.75" customHeight="1">
      <c r="A100" s="122"/>
      <c r="B100" s="123"/>
      <c r="C100" s="122"/>
      <c r="D100" s="124"/>
      <c r="E100" s="96"/>
      <c r="F100" s="122"/>
      <c r="G100" s="96"/>
      <c r="H100" s="125"/>
      <c r="I100" s="125"/>
      <c r="J100" s="126"/>
      <c r="K100" s="125"/>
      <c r="L100" s="95"/>
      <c r="M100" s="95">
        <f t="shared" ref="M100:M101" si="14">L100*1.1</f>
        <v>0</v>
      </c>
      <c r="N100" s="56"/>
      <c r="O100" s="49"/>
      <c r="P100" s="59"/>
      <c r="Q100" s="97"/>
    </row>
    <row r="101" spans="1:17" ht="18.75" customHeight="1">
      <c r="A101" s="122"/>
      <c r="B101" s="123"/>
      <c r="C101" s="122"/>
      <c r="D101" s="124"/>
      <c r="E101" s="96"/>
      <c r="F101" s="122"/>
      <c r="G101" s="96"/>
      <c r="H101" s="125"/>
      <c r="I101" s="125"/>
      <c r="J101" s="126"/>
      <c r="K101" s="125"/>
      <c r="L101" s="95"/>
      <c r="M101" s="95">
        <f t="shared" si="14"/>
        <v>0</v>
      </c>
      <c r="N101" s="56"/>
      <c r="O101" s="49"/>
      <c r="P101" s="59"/>
      <c r="Q101" s="97"/>
    </row>
    <row r="102" spans="1:17" ht="18.75" customHeight="1">
      <c r="A102" s="12"/>
      <c r="B102" s="68"/>
      <c r="C102" s="12"/>
      <c r="D102" s="69"/>
      <c r="E102" s="12"/>
      <c r="F102" s="12"/>
      <c r="G102" s="70"/>
      <c r="H102" s="71"/>
      <c r="I102" s="71"/>
      <c r="J102" s="72"/>
      <c r="K102" s="71"/>
      <c r="L102" s="73"/>
      <c r="M102" s="73">
        <f>SUM(M97:N101)</f>
        <v>0</v>
      </c>
      <c r="N102" s="74"/>
      <c r="O102" s="11"/>
      <c r="P102" s="75"/>
      <c r="Q102" s="74"/>
    </row>
    <row r="103" spans="1:17" ht="18.75" customHeight="1">
      <c r="A103" s="12"/>
      <c r="B103" s="68"/>
      <c r="C103" s="12"/>
      <c r="D103" s="69"/>
      <c r="E103" s="12"/>
      <c r="F103" s="12"/>
      <c r="G103" s="70"/>
      <c r="H103" s="71"/>
      <c r="I103" s="71"/>
      <c r="J103" s="72"/>
      <c r="K103" s="71"/>
      <c r="L103" s="73"/>
      <c r="M103" s="73"/>
      <c r="N103" s="74"/>
      <c r="O103" s="11"/>
      <c r="P103" s="75"/>
      <c r="Q103" s="74"/>
    </row>
    <row r="104" spans="1:17" ht="18.75" customHeight="1">
      <c r="A104" s="151" t="s">
        <v>30</v>
      </c>
      <c r="B104" s="123"/>
      <c r="C104" s="122"/>
      <c r="D104" s="124"/>
      <c r="E104" s="96"/>
      <c r="F104" s="122"/>
      <c r="G104" s="96"/>
      <c r="H104" s="125"/>
      <c r="I104" s="125"/>
      <c r="J104" s="126"/>
      <c r="K104" s="125"/>
      <c r="L104" s="95"/>
      <c r="M104" s="95">
        <f>L104*1.1</f>
        <v>0</v>
      </c>
      <c r="N104" s="56"/>
      <c r="O104" s="49"/>
      <c r="P104" s="59"/>
      <c r="Q104" s="97"/>
    </row>
    <row r="105" spans="1:17" ht="18.75" customHeight="1">
      <c r="A105" s="122"/>
      <c r="B105" s="123"/>
      <c r="C105" s="122"/>
      <c r="D105" s="124"/>
      <c r="E105" s="96"/>
      <c r="F105" s="122"/>
      <c r="G105" s="96"/>
      <c r="H105" s="125"/>
      <c r="I105" s="125"/>
      <c r="J105" s="126"/>
      <c r="K105" s="125"/>
      <c r="L105" s="95"/>
      <c r="M105" s="95">
        <f>L105*1.1</f>
        <v>0</v>
      </c>
      <c r="N105" s="56"/>
      <c r="O105" s="49"/>
      <c r="P105" s="59"/>
      <c r="Q105" s="97"/>
    </row>
    <row r="106" spans="1:17" ht="18.75" customHeight="1">
      <c r="A106" s="122"/>
      <c r="B106" s="123"/>
      <c r="C106" s="122"/>
      <c r="D106" s="124"/>
      <c r="E106" s="96"/>
      <c r="F106" s="122"/>
      <c r="G106" s="96"/>
      <c r="H106" s="125"/>
      <c r="I106" s="125"/>
      <c r="J106" s="126"/>
      <c r="K106" s="125"/>
      <c r="L106" s="95"/>
      <c r="M106" s="95">
        <f>L106*1.1</f>
        <v>0</v>
      </c>
      <c r="N106" s="56"/>
      <c r="O106" s="49"/>
      <c r="P106" s="59"/>
      <c r="Q106" s="97"/>
    </row>
    <row r="107" spans="1:17" ht="18.75" customHeight="1">
      <c r="A107" s="122"/>
      <c r="B107" s="123"/>
      <c r="C107" s="122"/>
      <c r="D107" s="124"/>
      <c r="E107" s="96"/>
      <c r="F107" s="122"/>
      <c r="G107" s="96"/>
      <c r="H107" s="125"/>
      <c r="I107" s="125"/>
      <c r="J107" s="126"/>
      <c r="K107" s="125"/>
      <c r="L107" s="95"/>
      <c r="M107" s="95">
        <f t="shared" ref="M107:M108" si="15">L107*1.1</f>
        <v>0</v>
      </c>
      <c r="N107" s="56"/>
      <c r="O107" s="49"/>
      <c r="P107" s="59"/>
      <c r="Q107" s="97"/>
    </row>
    <row r="108" spans="1:17" ht="18.75" customHeight="1">
      <c r="A108" s="122"/>
      <c r="B108" s="123"/>
      <c r="C108" s="122"/>
      <c r="D108" s="124"/>
      <c r="E108" s="96"/>
      <c r="F108" s="122"/>
      <c r="G108" s="96"/>
      <c r="H108" s="125"/>
      <c r="I108" s="125"/>
      <c r="J108" s="126"/>
      <c r="K108" s="125"/>
      <c r="L108" s="95"/>
      <c r="M108" s="95">
        <f t="shared" si="15"/>
        <v>0</v>
      </c>
      <c r="N108" s="56"/>
      <c r="O108" s="49"/>
      <c r="P108" s="59"/>
      <c r="Q108" s="97"/>
    </row>
    <row r="109" spans="1:17" ht="18.75" customHeight="1">
      <c r="A109" s="11"/>
      <c r="B109" s="127"/>
      <c r="C109" s="11"/>
      <c r="D109" s="128"/>
      <c r="E109" s="11"/>
      <c r="F109" s="11"/>
      <c r="G109" s="70"/>
      <c r="H109" s="11"/>
      <c r="I109" s="11"/>
      <c r="J109" s="129"/>
      <c r="K109" s="11"/>
      <c r="L109" s="74"/>
      <c r="M109" s="73">
        <f>SUM(M104:N108)</f>
        <v>0</v>
      </c>
      <c r="N109" s="74"/>
      <c r="O109" s="11"/>
      <c r="P109" s="75"/>
      <c r="Q109" s="74"/>
    </row>
    <row r="110" spans="1:17" s="40" customFormat="1" ht="18.75" customHeight="1">
      <c r="A110"/>
      <c r="B110" s="31"/>
      <c r="C110"/>
      <c r="D110" s="25"/>
      <c r="E110"/>
      <c r="F110"/>
      <c r="G110" s="33"/>
      <c r="H110"/>
      <c r="I110"/>
      <c r="J110" s="65"/>
      <c r="K110"/>
      <c r="O110"/>
      <c r="P110" s="58"/>
    </row>
    <row r="111" spans="1:17" ht="18.75" customHeight="1">
      <c r="A111" s="151" t="s">
        <v>31</v>
      </c>
      <c r="B111" s="123"/>
      <c r="C111" s="122"/>
      <c r="D111" s="124"/>
      <c r="E111" s="96" t="s">
        <v>32</v>
      </c>
      <c r="F111" s="122"/>
      <c r="G111" s="96" t="s">
        <v>33</v>
      </c>
      <c r="H111" s="125">
        <v>350</v>
      </c>
      <c r="I111" s="125">
        <v>120</v>
      </c>
      <c r="J111" s="126">
        <v>1</v>
      </c>
      <c r="K111" s="175" t="s">
        <v>21</v>
      </c>
      <c r="L111" s="95">
        <v>42000</v>
      </c>
      <c r="M111" s="95">
        <f>L111*1.1</f>
        <v>46200.000000000007</v>
      </c>
      <c r="N111" s="56"/>
      <c r="O111" s="49"/>
      <c r="P111" s="59"/>
      <c r="Q111" s="67">
        <f t="shared" ref="Q111:Q116" si="16">(M111+N111*1.1)/(I111*J111)</f>
        <v>385.00000000000006</v>
      </c>
    </row>
    <row r="112" spans="1:17" ht="18.75" customHeight="1">
      <c r="A112" s="122"/>
      <c r="B112" s="123"/>
      <c r="C112" s="122"/>
      <c r="D112" s="124"/>
      <c r="E112" s="132" t="s">
        <v>34</v>
      </c>
      <c r="F112" s="122"/>
      <c r="G112" s="96" t="s">
        <v>35</v>
      </c>
      <c r="H112" s="125">
        <v>950</v>
      </c>
      <c r="I112" s="125">
        <v>36</v>
      </c>
      <c r="J112" s="126">
        <v>1</v>
      </c>
      <c r="K112" s="175" t="s">
        <v>21</v>
      </c>
      <c r="L112" s="95">
        <v>34200</v>
      </c>
      <c r="M112" s="95">
        <f>L112*1.1</f>
        <v>37620</v>
      </c>
      <c r="N112" s="56">
        <v>1600</v>
      </c>
      <c r="O112" s="49"/>
      <c r="P112" s="59"/>
      <c r="Q112" s="67">
        <f t="shared" si="16"/>
        <v>1093.8888888888889</v>
      </c>
    </row>
    <row r="113" spans="1:17" ht="18.75" customHeight="1">
      <c r="A113" s="122"/>
      <c r="B113" s="123"/>
      <c r="C113" s="122"/>
      <c r="D113" s="124"/>
      <c r="E113" s="132" t="s">
        <v>34</v>
      </c>
      <c r="F113" s="122"/>
      <c r="G113" s="96" t="s">
        <v>36</v>
      </c>
      <c r="H113" s="125">
        <v>950</v>
      </c>
      <c r="I113" s="125">
        <v>36</v>
      </c>
      <c r="J113" s="126">
        <v>1</v>
      </c>
      <c r="K113" s="175" t="s">
        <v>21</v>
      </c>
      <c r="L113" s="95">
        <v>34200</v>
      </c>
      <c r="M113" s="95">
        <f>L113*1.1</f>
        <v>37620</v>
      </c>
      <c r="N113" s="56">
        <v>2400</v>
      </c>
      <c r="O113" s="49"/>
      <c r="P113" s="59"/>
      <c r="Q113" s="67">
        <f t="shared" si="16"/>
        <v>1118.3333333333333</v>
      </c>
    </row>
    <row r="114" spans="1:17" ht="18.75" customHeight="1">
      <c r="A114" s="122"/>
      <c r="B114" s="123"/>
      <c r="C114" s="122"/>
      <c r="D114" s="124"/>
      <c r="E114" s="132" t="s">
        <v>34</v>
      </c>
      <c r="F114" s="122"/>
      <c r="G114" s="96" t="s">
        <v>33</v>
      </c>
      <c r="H114" s="125">
        <v>350</v>
      </c>
      <c r="I114" s="125">
        <v>120</v>
      </c>
      <c r="J114" s="126">
        <v>1</v>
      </c>
      <c r="K114" s="175" t="s">
        <v>21</v>
      </c>
      <c r="L114" s="95">
        <v>42000</v>
      </c>
      <c r="M114" s="95">
        <f t="shared" ref="M114:M115" si="17">L114*1.1</f>
        <v>46200.000000000007</v>
      </c>
      <c r="N114" s="56"/>
      <c r="O114" s="49"/>
      <c r="P114" s="59"/>
      <c r="Q114" s="67">
        <f t="shared" si="16"/>
        <v>385.00000000000006</v>
      </c>
    </row>
    <row r="115" spans="1:17" ht="18.75" customHeight="1">
      <c r="A115" s="122"/>
      <c r="B115" s="123"/>
      <c r="C115" s="122"/>
      <c r="D115" s="124"/>
      <c r="E115" s="96"/>
      <c r="F115" s="122"/>
      <c r="G115" s="96"/>
      <c r="H115" s="125"/>
      <c r="I115" s="125"/>
      <c r="J115" s="126"/>
      <c r="K115" s="125"/>
      <c r="L115" s="95"/>
      <c r="M115" s="95">
        <f t="shared" si="17"/>
        <v>0</v>
      </c>
      <c r="N115" s="56"/>
      <c r="O115" s="49"/>
      <c r="P115" s="59"/>
      <c r="Q115" s="67" t="e">
        <f t="shared" si="16"/>
        <v>#DIV/0!</v>
      </c>
    </row>
    <row r="116" spans="1:17" s="40" customFormat="1" ht="18.75" customHeight="1">
      <c r="A116"/>
      <c r="B116" s="31"/>
      <c r="C116"/>
      <c r="D116" s="25"/>
      <c r="E116"/>
      <c r="F116"/>
      <c r="G116" s="33"/>
      <c r="H116"/>
      <c r="I116"/>
      <c r="J116" s="65"/>
      <c r="K116"/>
      <c r="M116" s="73">
        <f>SUM(M111:N115)</f>
        <v>171640</v>
      </c>
      <c r="O116"/>
      <c r="P116" s="58"/>
      <c r="Q116" s="40" t="e">
        <f t="shared" si="16"/>
        <v>#DIV/0!</v>
      </c>
    </row>
    <row r="117" spans="1:17" s="40" customFormat="1" ht="18.75" customHeight="1">
      <c r="A117"/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  <c r="O117"/>
      <c r="P117" s="58"/>
    </row>
    <row r="118" spans="1:17" s="40" customFormat="1" ht="18.75" customHeight="1">
      <c r="A118"/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O118"/>
      <c r="P118" s="58"/>
    </row>
    <row r="119" spans="1:17" s="40" customFormat="1" ht="18.75" customHeight="1">
      <c r="A119"/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  <c r="O119"/>
      <c r="P119" s="58"/>
    </row>
    <row r="120" spans="1:17" s="40" customFormat="1" ht="18.75" customHeight="1">
      <c r="A120"/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149">
        <f>M47+M68+M90+M102+M109+M116</f>
        <v>373600</v>
      </c>
      <c r="O120"/>
      <c r="P120" s="58"/>
    </row>
    <row r="121" spans="1:17" s="40" customFormat="1" ht="18.75" customHeight="1">
      <c r="A121"/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  <c r="O121"/>
      <c r="P121" s="58"/>
    </row>
    <row r="122" spans="1:17" s="40" customFormat="1" ht="18.75" customHeight="1">
      <c r="A122"/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  <c r="N122" s="176"/>
      <c r="O122"/>
      <c r="P122" s="58"/>
    </row>
    <row r="123" spans="1:17" s="40" customFormat="1" ht="18.75" customHeight="1">
      <c r="A123"/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  <c r="O123"/>
      <c r="P123" s="58"/>
    </row>
    <row r="124" spans="1:17" s="40" customFormat="1" ht="18.75" customHeight="1">
      <c r="A124"/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  <c r="N124" s="176"/>
      <c r="O124"/>
      <c r="P124" s="58"/>
    </row>
    <row r="125" spans="1:17" s="40" customFormat="1" ht="18.75" customHeight="1">
      <c r="A125"/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  <c r="O125"/>
      <c r="P125" s="58"/>
    </row>
    <row r="126" spans="1:17" s="40" customFormat="1" ht="18.75" customHeight="1">
      <c r="A126"/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  <c r="N126" s="176"/>
      <c r="O126"/>
      <c r="P126" s="58"/>
    </row>
    <row r="127" spans="1:17" s="40" customFormat="1" ht="18.75" customHeight="1">
      <c r="A127"/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  <c r="O127"/>
      <c r="P127" s="58"/>
    </row>
    <row r="128" spans="1:17" s="40" customFormat="1" ht="18.75" customHeight="1">
      <c r="A128"/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  <c r="O128"/>
      <c r="P128" s="58"/>
    </row>
    <row r="129" spans="1:16" s="40" customFormat="1" ht="18.75" customHeight="1">
      <c r="A129"/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  <c r="O129"/>
      <c r="P129" s="58"/>
    </row>
    <row r="130" spans="1:16" s="40" customFormat="1" ht="18.75" customHeight="1">
      <c r="A130"/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  <c r="O130"/>
      <c r="P130" s="58"/>
    </row>
    <row r="131" spans="1:16" s="40" customFormat="1" ht="18.75" customHeight="1">
      <c r="A131"/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  <c r="O131"/>
      <c r="P131" s="58"/>
    </row>
    <row r="132" spans="1:16" s="40" customFormat="1" ht="18.75" customHeight="1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6" s="40" customFormat="1" ht="18.75" customHeight="1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6" s="40" customFormat="1" ht="18.75" customHeight="1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6" s="40" customFormat="1" ht="18.75" customHeight="1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  <c r="O135"/>
      <c r="P135" s="58"/>
    </row>
    <row r="136" spans="1:16" s="40" customFormat="1" ht="18.75" customHeight="1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6" s="40" customFormat="1" ht="18.75" customHeight="1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6" s="40" customFormat="1" ht="18.75" customHeight="1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6" s="40" customFormat="1" ht="18.75" customHeight="1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6" s="40" customFormat="1" ht="18.75" customHeight="1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6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6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6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6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8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8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8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8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8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8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8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8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8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8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8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8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8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8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8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8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5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5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5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5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5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5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5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5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5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5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5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5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5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5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5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5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5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5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5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5.75" customHeight="1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5.75" customHeight="1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5.75" customHeight="1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5.75" customHeight="1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5.75" customHeight="1">
      <c r="A291"/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  <c r="O291"/>
      <c r="P291" s="58"/>
    </row>
    <row r="292" spans="1:16" s="40" customFormat="1" ht="15.75" customHeight="1">
      <c r="A292"/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  <c r="O292"/>
      <c r="P292" s="58"/>
    </row>
    <row r="293" spans="1:16" s="40" customFormat="1" ht="15.75" customHeight="1">
      <c r="A293"/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  <c r="O293"/>
      <c r="P293" s="58"/>
    </row>
    <row r="294" spans="1:16" s="40" customFormat="1" ht="15.75" customHeight="1">
      <c r="A294"/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  <c r="O294"/>
      <c r="P294" s="58"/>
    </row>
    <row r="295" spans="1:16" s="40" customFormat="1" ht="15.75" customHeight="1">
      <c r="A295"/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  <c r="O295"/>
      <c r="P295" s="58"/>
    </row>
    <row r="296" spans="1:16" s="40" customFormat="1" ht="15.75" customHeight="1">
      <c r="A296"/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  <c r="O296"/>
      <c r="P296" s="58"/>
    </row>
    <row r="297" spans="1:16" s="40" customFormat="1" ht="15.75" customHeight="1">
      <c r="A297"/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  <c r="O297"/>
      <c r="P297" s="58"/>
    </row>
    <row r="298" spans="1:16" s="40" customFormat="1" ht="15.75" customHeight="1">
      <c r="A298"/>
      <c r="B298" s="26"/>
      <c r="C298" s="1"/>
      <c r="D298" s="20"/>
      <c r="E298" s="1"/>
      <c r="F298" s="1"/>
      <c r="G298" s="32"/>
      <c r="H298" s="2"/>
      <c r="I298" s="2"/>
      <c r="J298" s="60"/>
      <c r="K298" s="2"/>
      <c r="L298" s="34"/>
      <c r="M298" s="34"/>
      <c r="O298"/>
      <c r="P298" s="58"/>
    </row>
    <row r="299" spans="1:16" s="40" customFormat="1" ht="15.75" customHeight="1">
      <c r="A299"/>
      <c r="B299" s="26"/>
      <c r="C299" s="1"/>
      <c r="D299" s="20"/>
      <c r="E299" s="1"/>
      <c r="F299" s="1"/>
      <c r="G299" s="32"/>
      <c r="H299" s="2"/>
      <c r="I299" s="2"/>
      <c r="J299" s="60"/>
      <c r="K299" s="2"/>
      <c r="L299" s="34"/>
      <c r="M299" s="34"/>
      <c r="O299"/>
      <c r="P299" s="58"/>
    </row>
    <row r="300" spans="1:16" s="40" customFormat="1" ht="15.75" customHeight="1">
      <c r="A300"/>
      <c r="B300" s="26"/>
      <c r="C300" s="1"/>
      <c r="D300" s="20"/>
      <c r="E300" s="1"/>
      <c r="F300" s="1"/>
      <c r="G300" s="32"/>
      <c r="H300" s="2"/>
      <c r="I300" s="2"/>
      <c r="J300" s="60"/>
      <c r="K300" s="2"/>
      <c r="L300" s="34"/>
      <c r="M300" s="34"/>
      <c r="O300"/>
      <c r="P300" s="58"/>
    </row>
    <row r="301" spans="1:16" s="40" customFormat="1" ht="15.75" customHeight="1">
      <c r="A301"/>
      <c r="B301" s="26"/>
      <c r="C301" s="1"/>
      <c r="D301" s="20"/>
      <c r="E301" s="1"/>
      <c r="F301" s="1"/>
      <c r="G301" s="32"/>
      <c r="H301" s="2"/>
      <c r="I301" s="2"/>
      <c r="J301" s="60"/>
      <c r="K301" s="2"/>
      <c r="L301" s="34"/>
      <c r="M301" s="34"/>
      <c r="O301"/>
      <c r="P301" s="58"/>
    </row>
    <row r="302" spans="1:16" s="40" customFormat="1" ht="15.75" customHeight="1">
      <c r="A302"/>
      <c r="B302" s="26"/>
      <c r="C302" s="1"/>
      <c r="D302" s="20"/>
      <c r="E302" s="1"/>
      <c r="F302" s="1"/>
      <c r="G302" s="32"/>
      <c r="H302" s="2"/>
      <c r="I302" s="2"/>
      <c r="J302" s="60"/>
      <c r="K302" s="2"/>
      <c r="L302" s="34"/>
      <c r="M302" s="34"/>
      <c r="O302"/>
      <c r="P302" s="58"/>
    </row>
    <row r="303" spans="1:16" s="40" customFormat="1" ht="15.75" customHeight="1">
      <c r="A303"/>
      <c r="B303" s="26"/>
      <c r="C303" s="1"/>
      <c r="D303" s="20"/>
      <c r="E303" s="1"/>
      <c r="F303" s="1"/>
      <c r="G303" s="32"/>
      <c r="H303" s="2"/>
      <c r="I303" s="2"/>
      <c r="J303" s="60"/>
      <c r="K303" s="2"/>
      <c r="L303" s="34"/>
      <c r="M303" s="34"/>
      <c r="O303"/>
      <c r="P303" s="58"/>
    </row>
    <row r="304" spans="1:16" s="40" customFormat="1" ht="15.75" customHeight="1">
      <c r="A304"/>
      <c r="B304" s="26"/>
      <c r="C304" s="1"/>
      <c r="D304" s="20"/>
      <c r="E304" s="1"/>
      <c r="F304" s="1"/>
      <c r="G304" s="32"/>
      <c r="H304" s="2"/>
      <c r="I304" s="2"/>
      <c r="J304" s="60"/>
      <c r="K304" s="2"/>
      <c r="L304" s="34"/>
      <c r="M304" s="34"/>
      <c r="O304"/>
      <c r="P304" s="58"/>
    </row>
    <row r="305" spans="1:16" s="40" customFormat="1" ht="15.75" customHeight="1">
      <c r="A305"/>
      <c r="B305" s="26"/>
      <c r="C305" s="1"/>
      <c r="D305" s="20"/>
      <c r="E305" s="1"/>
      <c r="F305" s="1"/>
      <c r="G305" s="32"/>
      <c r="H305" s="2"/>
      <c r="I305" s="2"/>
      <c r="J305" s="60"/>
      <c r="K305" s="2"/>
      <c r="L305" s="34"/>
      <c r="M305" s="34"/>
      <c r="O305"/>
      <c r="P305" s="58"/>
    </row>
    <row r="306" spans="1:16" s="40" customFormat="1" ht="15.75" customHeight="1">
      <c r="A306"/>
      <c r="B306" s="26"/>
      <c r="C306" s="1"/>
      <c r="D306" s="20"/>
      <c r="E306" s="1"/>
      <c r="F306" s="1"/>
      <c r="G306" s="32"/>
      <c r="H306" s="2"/>
      <c r="I306" s="2"/>
      <c r="J306" s="60"/>
      <c r="K306" s="2"/>
      <c r="L306" s="34"/>
      <c r="M306" s="34"/>
      <c r="O306"/>
      <c r="P306" s="58"/>
    </row>
    <row r="307" spans="1:16" s="40" customFormat="1" ht="15.75" customHeight="1">
      <c r="A307"/>
      <c r="B307" s="31"/>
      <c r="C307"/>
      <c r="D307" s="25"/>
      <c r="E307"/>
      <c r="F307"/>
      <c r="G307" s="33"/>
      <c r="H307"/>
      <c r="I307"/>
      <c r="J307" s="65"/>
      <c r="K307"/>
      <c r="O307"/>
      <c r="P307" s="58"/>
    </row>
    <row r="308" spans="1:16" s="40" customFormat="1" ht="15.75" customHeight="1">
      <c r="A308"/>
      <c r="B308" s="31"/>
      <c r="C308"/>
      <c r="D308" s="25"/>
      <c r="E308"/>
      <c r="F308"/>
      <c r="G308" s="33"/>
      <c r="H308"/>
      <c r="I308"/>
      <c r="J308" s="65"/>
      <c r="K308"/>
      <c r="O308"/>
      <c r="P308" s="58"/>
    </row>
    <row r="309" spans="1:16" s="40" customFormat="1" ht="15.75" customHeight="1">
      <c r="A309"/>
      <c r="B309" s="31"/>
      <c r="C309"/>
      <c r="D309" s="25"/>
      <c r="E309"/>
      <c r="F309"/>
      <c r="G309" s="33"/>
      <c r="H309"/>
      <c r="I309"/>
      <c r="J309" s="65"/>
      <c r="K309"/>
      <c r="O309"/>
      <c r="P309" s="58"/>
    </row>
    <row r="310" spans="1:16" s="40" customFormat="1" ht="15.75" customHeight="1">
      <c r="A310"/>
      <c r="B310" s="31"/>
      <c r="C310"/>
      <c r="D310" s="25"/>
      <c r="E310"/>
      <c r="F310"/>
      <c r="G310" s="33"/>
      <c r="H310"/>
      <c r="I310"/>
      <c r="J310" s="65"/>
      <c r="K310"/>
      <c r="O310"/>
      <c r="P310" s="58"/>
    </row>
    <row r="311" spans="1:16" s="40" customFormat="1" ht="15.75" customHeight="1">
      <c r="A311"/>
      <c r="B311" s="31"/>
      <c r="C311"/>
      <c r="D311" s="25"/>
      <c r="E311"/>
      <c r="F311"/>
      <c r="G311" s="33"/>
      <c r="H311"/>
      <c r="I311"/>
      <c r="J311" s="65"/>
      <c r="K311"/>
      <c r="O311"/>
      <c r="P311" s="58"/>
    </row>
    <row r="312" spans="1:16" s="40" customFormat="1" ht="15.75" customHeight="1">
      <c r="A312"/>
      <c r="B312" s="31"/>
      <c r="C312"/>
      <c r="D312" s="25"/>
      <c r="E312"/>
      <c r="F312"/>
      <c r="G312" s="33"/>
      <c r="H312"/>
      <c r="I312"/>
      <c r="J312" s="65"/>
      <c r="K312"/>
      <c r="O312"/>
      <c r="P312" s="58"/>
    </row>
    <row r="313" spans="1:16" s="40" customFormat="1" ht="15.75" customHeight="1">
      <c r="A313"/>
      <c r="B313" s="31"/>
      <c r="C313"/>
      <c r="D313" s="25"/>
      <c r="E313"/>
      <c r="F313"/>
      <c r="G313" s="33"/>
      <c r="H313"/>
      <c r="I313"/>
      <c r="J313" s="65"/>
      <c r="K313"/>
      <c r="O313"/>
      <c r="P313" s="58"/>
    </row>
    <row r="314" spans="1:16" s="40" customFormat="1" ht="15.75" customHeight="1">
      <c r="A314"/>
      <c r="B314" s="31"/>
      <c r="C314"/>
      <c r="D314" s="25"/>
      <c r="E314"/>
      <c r="F314"/>
      <c r="G314" s="33"/>
      <c r="H314"/>
      <c r="I314"/>
      <c r="J314" s="65"/>
      <c r="K314"/>
      <c r="O314"/>
      <c r="P314" s="58"/>
    </row>
    <row r="315" spans="1:16" s="40" customFormat="1" ht="15.75" customHeight="1">
      <c r="A315"/>
      <c r="B315" s="31"/>
      <c r="C315"/>
      <c r="D315" s="25"/>
      <c r="E315"/>
      <c r="F315"/>
      <c r="G315" s="33"/>
      <c r="H315"/>
      <c r="I315"/>
      <c r="J315" s="65"/>
      <c r="K315"/>
      <c r="O315"/>
      <c r="P315" s="58"/>
    </row>
    <row r="316" spans="1:16" s="40" customFormat="1" ht="15.75" customHeight="1">
      <c r="A316"/>
      <c r="B316" s="31"/>
      <c r="C316"/>
      <c r="D316" s="25"/>
      <c r="E316"/>
      <c r="F316"/>
      <c r="G316" s="33"/>
      <c r="H316"/>
      <c r="I316"/>
      <c r="J316" s="65"/>
      <c r="K316"/>
      <c r="O316"/>
      <c r="P316" s="58"/>
    </row>
    <row r="317" spans="1:16" s="40" customFormat="1" ht="15.75" customHeight="1">
      <c r="A317"/>
      <c r="B317" s="31"/>
      <c r="C317"/>
      <c r="D317" s="25"/>
      <c r="E317"/>
      <c r="F317"/>
      <c r="G317" s="33"/>
      <c r="H317"/>
      <c r="I317"/>
      <c r="J317" s="65"/>
      <c r="K317"/>
      <c r="O317"/>
      <c r="P317" s="58"/>
    </row>
    <row r="318" spans="1:16" s="40" customFormat="1" ht="15.75" customHeight="1">
      <c r="A318"/>
      <c r="B318" s="31"/>
      <c r="C318"/>
      <c r="D318" s="25"/>
      <c r="E318"/>
      <c r="F318"/>
      <c r="G318" s="33"/>
      <c r="H318"/>
      <c r="I318"/>
      <c r="J318" s="65"/>
      <c r="K318"/>
      <c r="O318"/>
      <c r="P318" s="58"/>
    </row>
    <row r="319" spans="1:16" s="40" customFormat="1" ht="15.75" customHeight="1">
      <c r="A319"/>
      <c r="B319" s="31"/>
      <c r="C319"/>
      <c r="D319" s="25"/>
      <c r="E319"/>
      <c r="F319"/>
      <c r="G319" s="33"/>
      <c r="H319"/>
      <c r="I319"/>
      <c r="J319" s="65"/>
      <c r="K319"/>
      <c r="O319"/>
      <c r="P319" s="58"/>
    </row>
    <row r="320" spans="1:16" s="40" customFormat="1" ht="15.75" customHeight="1">
      <c r="A320"/>
      <c r="B320" s="31"/>
      <c r="C320"/>
      <c r="D320" s="25"/>
      <c r="E320"/>
      <c r="F320"/>
      <c r="G320" s="33"/>
      <c r="H320"/>
      <c r="I320"/>
      <c r="J320" s="65"/>
      <c r="K320"/>
      <c r="O320"/>
      <c r="P320" s="58"/>
    </row>
    <row r="321" spans="1:16" s="40" customFormat="1" ht="15.75" customHeight="1">
      <c r="A321"/>
      <c r="B321" s="31"/>
      <c r="C321"/>
      <c r="D321" s="25"/>
      <c r="E321"/>
      <c r="F321"/>
      <c r="G321" s="33"/>
      <c r="H321"/>
      <c r="I321"/>
      <c r="J321" s="65"/>
      <c r="K321"/>
      <c r="O321"/>
      <c r="P321" s="58"/>
    </row>
    <row r="322" spans="1:16" s="40" customFormat="1" ht="15.75" customHeight="1">
      <c r="A322"/>
      <c r="B322" s="31"/>
      <c r="C322"/>
      <c r="D322" s="25"/>
      <c r="E322"/>
      <c r="F322"/>
      <c r="G322" s="33"/>
      <c r="H322"/>
      <c r="I322"/>
      <c r="J322" s="65"/>
      <c r="K322"/>
      <c r="O322"/>
      <c r="P322" s="58"/>
    </row>
    <row r="323" spans="1:16" s="40" customFormat="1" ht="15.75" customHeight="1">
      <c r="A323"/>
      <c r="B323" s="31"/>
      <c r="C323"/>
      <c r="D323" s="25"/>
      <c r="E323"/>
      <c r="F323"/>
      <c r="G323" s="33"/>
      <c r="H323"/>
      <c r="I323"/>
      <c r="J323" s="65"/>
      <c r="K323"/>
      <c r="O323"/>
      <c r="P323" s="58"/>
    </row>
    <row r="324" spans="1:16" s="40" customFormat="1" ht="15.75" customHeight="1">
      <c r="A324"/>
      <c r="B324" s="31"/>
      <c r="C324"/>
      <c r="D324" s="25"/>
      <c r="E324"/>
      <c r="F324"/>
      <c r="G324" s="33"/>
      <c r="H324"/>
      <c r="I324"/>
      <c r="J324" s="65"/>
      <c r="K324"/>
      <c r="O324"/>
      <c r="P324" s="58"/>
    </row>
    <row r="325" spans="1:16" ht="15.75" customHeight="1"/>
    <row r="326" spans="1:16" ht="15.75" customHeight="1"/>
    <row r="327" spans="1:16" ht="15.75" customHeight="1"/>
    <row r="328" spans="1:16" ht="15.75" customHeight="1"/>
    <row r="329" spans="1:16" ht="15.75" customHeight="1"/>
    <row r="330" spans="1:16" ht="15.75" customHeight="1"/>
    <row r="331" spans="1:16" ht="15.75" customHeight="1"/>
    <row r="332" spans="1:16" ht="15.75" customHeight="1"/>
    <row r="333" spans="1:16" ht="15.75" customHeight="1"/>
    <row r="334" spans="1:16" ht="15.75" customHeight="1"/>
    <row r="335" spans="1:16" ht="15.75" customHeight="1"/>
    <row r="336" spans="1:1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honeticPr fontId="5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8198-C624-4C40-B172-61FDD92802DD}">
  <dimension ref="A1:Q972"/>
  <sheetViews>
    <sheetView topLeftCell="E1" zoomScale="80" zoomScaleNormal="80" workbookViewId="0">
      <pane ySplit="2" topLeftCell="A79" activePane="bottomLeft" state="frozen"/>
      <selection pane="bottomLeft" activeCell="I43" sqref="I43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4.14062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155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>
        <v>1223745</v>
      </c>
      <c r="B3" s="28">
        <v>141770</v>
      </c>
      <c r="C3" s="5" t="s">
        <v>53</v>
      </c>
      <c r="D3" s="22">
        <v>45923.636111111111</v>
      </c>
      <c r="E3" s="17" t="s">
        <v>19</v>
      </c>
      <c r="F3" s="5" t="s">
        <v>156</v>
      </c>
      <c r="G3" s="17" t="s">
        <v>157</v>
      </c>
      <c r="H3" s="6">
        <v>220</v>
      </c>
      <c r="I3" s="6">
        <v>240</v>
      </c>
      <c r="J3" s="62">
        <v>1</v>
      </c>
      <c r="K3" s="6" t="s">
        <v>56</v>
      </c>
      <c r="L3" s="36">
        <v>52800</v>
      </c>
      <c r="M3" s="42">
        <v>58080</v>
      </c>
      <c r="N3" s="56">
        <v>0</v>
      </c>
      <c r="O3" s="48" t="s">
        <v>71</v>
      </c>
      <c r="P3" s="59" t="s">
        <v>158</v>
      </c>
      <c r="Q3" s="67">
        <f>(M3+N3*1.1)/(I3*J3)</f>
        <v>242</v>
      </c>
    </row>
    <row r="4" spans="1:17" ht="18.75" customHeight="1">
      <c r="A4" s="5">
        <v>1216194</v>
      </c>
      <c r="B4" s="28">
        <v>140354</v>
      </c>
      <c r="C4" s="5" t="s">
        <v>59</v>
      </c>
      <c r="D4" s="22">
        <v>45917.613888888889</v>
      </c>
      <c r="E4" s="17" t="s">
        <v>19</v>
      </c>
      <c r="F4" s="5" t="s">
        <v>159</v>
      </c>
      <c r="G4" s="17" t="s">
        <v>160</v>
      </c>
      <c r="H4" s="6">
        <v>9000</v>
      </c>
      <c r="I4" s="6">
        <v>1</v>
      </c>
      <c r="J4" s="62">
        <v>1</v>
      </c>
      <c r="K4" s="6" t="s">
        <v>56</v>
      </c>
      <c r="L4" s="36">
        <v>9000</v>
      </c>
      <c r="M4" s="42">
        <v>9900</v>
      </c>
      <c r="N4" s="53">
        <v>1000</v>
      </c>
      <c r="O4" s="48" t="s">
        <v>161</v>
      </c>
      <c r="P4" s="51" t="s">
        <v>63</v>
      </c>
      <c r="Q4" s="67">
        <f t="shared" ref="Q4:Q67" si="0">(M4+N4*1.1)/(I4*J4)</f>
        <v>11000</v>
      </c>
    </row>
    <row r="5" spans="1:17" ht="18.75" customHeight="1">
      <c r="A5" s="5">
        <v>1216195</v>
      </c>
      <c r="B5" s="28">
        <v>140354</v>
      </c>
      <c r="C5" s="5" t="s">
        <v>59</v>
      </c>
      <c r="D5" s="22">
        <v>45917.613888888889</v>
      </c>
      <c r="E5" s="17" t="s">
        <v>19</v>
      </c>
      <c r="F5" s="5" t="s">
        <v>162</v>
      </c>
      <c r="G5" s="17" t="s">
        <v>163</v>
      </c>
      <c r="H5" s="6">
        <v>9000</v>
      </c>
      <c r="I5" s="6">
        <v>1</v>
      </c>
      <c r="J5" s="62">
        <v>1</v>
      </c>
      <c r="K5" s="6" t="s">
        <v>56</v>
      </c>
      <c r="L5" s="36">
        <v>9000</v>
      </c>
      <c r="M5" s="42">
        <v>9900</v>
      </c>
      <c r="N5" s="53">
        <v>1000</v>
      </c>
      <c r="O5" s="48" t="s">
        <v>161</v>
      </c>
      <c r="P5" s="51" t="s">
        <v>63</v>
      </c>
      <c r="Q5" s="67">
        <f t="shared" si="0"/>
        <v>11000</v>
      </c>
    </row>
    <row r="6" spans="1:17" ht="18.75" customHeight="1">
      <c r="A6" s="5">
        <v>1216197</v>
      </c>
      <c r="B6" s="28">
        <v>140354</v>
      </c>
      <c r="C6" s="5" t="s">
        <v>59</v>
      </c>
      <c r="D6" s="22">
        <v>45917.613888888889</v>
      </c>
      <c r="E6" s="17" t="s">
        <v>19</v>
      </c>
      <c r="F6" s="5" t="s">
        <v>164</v>
      </c>
      <c r="G6" s="17" t="s">
        <v>165</v>
      </c>
      <c r="H6" s="6">
        <v>9000</v>
      </c>
      <c r="I6" s="6">
        <v>1</v>
      </c>
      <c r="J6" s="62">
        <v>1</v>
      </c>
      <c r="K6" s="6" t="s">
        <v>56</v>
      </c>
      <c r="L6" s="36">
        <v>9000</v>
      </c>
      <c r="M6" s="42">
        <v>9900</v>
      </c>
      <c r="N6" s="53">
        <v>1000</v>
      </c>
      <c r="O6" s="48" t="s">
        <v>161</v>
      </c>
      <c r="P6" s="51" t="s">
        <v>63</v>
      </c>
      <c r="Q6" s="67">
        <f t="shared" si="0"/>
        <v>11000</v>
      </c>
    </row>
    <row r="7" spans="1:17" ht="18.75" customHeight="1">
      <c r="A7" s="5">
        <v>1209867</v>
      </c>
      <c r="B7" s="28">
        <v>140096</v>
      </c>
      <c r="C7" s="5" t="s">
        <v>59</v>
      </c>
      <c r="D7" s="22">
        <v>45912.34375</v>
      </c>
      <c r="E7" s="17" t="s">
        <v>22</v>
      </c>
      <c r="F7" s="5" t="s">
        <v>166</v>
      </c>
      <c r="G7" s="17" t="s">
        <v>167</v>
      </c>
      <c r="H7" s="6">
        <v>520</v>
      </c>
      <c r="I7" s="6">
        <v>144</v>
      </c>
      <c r="J7" s="62">
        <v>0.5</v>
      </c>
      <c r="K7" s="6" t="s">
        <v>56</v>
      </c>
      <c r="L7" s="36">
        <v>37440</v>
      </c>
      <c r="M7" s="42">
        <v>40435</v>
      </c>
      <c r="N7" s="53">
        <v>0</v>
      </c>
      <c r="O7" s="48" t="s">
        <v>168</v>
      </c>
      <c r="P7" s="51" t="s">
        <v>169</v>
      </c>
      <c r="Q7" s="67">
        <f t="shared" si="0"/>
        <v>561.59722222222217</v>
      </c>
    </row>
    <row r="8" spans="1:17" ht="18.75" customHeight="1">
      <c r="A8" s="5">
        <v>1209863</v>
      </c>
      <c r="B8" s="28">
        <v>140096</v>
      </c>
      <c r="C8" s="5" t="s">
        <v>59</v>
      </c>
      <c r="D8" s="22">
        <v>45912.34375</v>
      </c>
      <c r="E8" s="17" t="s">
        <v>22</v>
      </c>
      <c r="F8" s="5" t="s">
        <v>170</v>
      </c>
      <c r="G8" s="17" t="s">
        <v>171</v>
      </c>
      <c r="H8" s="6">
        <v>300</v>
      </c>
      <c r="I8" s="6">
        <v>144</v>
      </c>
      <c r="J8" s="62">
        <v>0.5</v>
      </c>
      <c r="K8" s="6" t="s">
        <v>56</v>
      </c>
      <c r="L8" s="36">
        <v>21600</v>
      </c>
      <c r="M8" s="42">
        <v>23328</v>
      </c>
      <c r="N8" s="53">
        <v>0</v>
      </c>
      <c r="O8" s="48" t="s">
        <v>172</v>
      </c>
      <c r="P8" s="51" t="s">
        <v>63</v>
      </c>
      <c r="Q8" s="67">
        <f t="shared" si="0"/>
        <v>324</v>
      </c>
    </row>
    <row r="9" spans="1:17" ht="18.75" customHeight="1">
      <c r="A9" s="5">
        <v>1209847</v>
      </c>
      <c r="B9" s="28">
        <v>140093</v>
      </c>
      <c r="C9" s="5" t="s">
        <v>59</v>
      </c>
      <c r="D9" s="22">
        <v>45911.941666666666</v>
      </c>
      <c r="E9" s="17" t="s">
        <v>22</v>
      </c>
      <c r="F9" s="5" t="s">
        <v>173</v>
      </c>
      <c r="G9" s="17" t="s">
        <v>174</v>
      </c>
      <c r="H9" s="6">
        <v>360</v>
      </c>
      <c r="I9" s="6">
        <v>120</v>
      </c>
      <c r="J9" s="62">
        <v>1</v>
      </c>
      <c r="K9" s="6" t="s">
        <v>56</v>
      </c>
      <c r="L9" s="36">
        <v>43200</v>
      </c>
      <c r="M9" s="42">
        <v>46656</v>
      </c>
      <c r="N9" s="53">
        <v>0</v>
      </c>
      <c r="O9" s="48" t="s">
        <v>175</v>
      </c>
      <c r="P9" s="51" t="s">
        <v>145</v>
      </c>
      <c r="Q9" s="67">
        <f t="shared" si="0"/>
        <v>388.8</v>
      </c>
    </row>
    <row r="10" spans="1:17" ht="18.75" customHeight="1">
      <c r="A10" s="5">
        <v>1209844</v>
      </c>
      <c r="B10" s="28">
        <v>140092</v>
      </c>
      <c r="C10" s="5" t="s">
        <v>59</v>
      </c>
      <c r="D10" s="22">
        <v>45911.94027777778</v>
      </c>
      <c r="E10" s="17" t="s">
        <v>23</v>
      </c>
      <c r="F10" s="5" t="s">
        <v>176</v>
      </c>
      <c r="G10" s="17" t="s">
        <v>177</v>
      </c>
      <c r="H10" s="6">
        <v>360</v>
      </c>
      <c r="I10" s="6">
        <v>72</v>
      </c>
      <c r="J10" s="62">
        <v>1</v>
      </c>
      <c r="K10" s="6" t="s">
        <v>56</v>
      </c>
      <c r="L10" s="36">
        <v>25920</v>
      </c>
      <c r="M10" s="42">
        <v>27994</v>
      </c>
      <c r="N10" s="53">
        <v>0</v>
      </c>
      <c r="O10" s="48" t="s">
        <v>71</v>
      </c>
      <c r="P10" s="51" t="s">
        <v>178</v>
      </c>
      <c r="Q10" s="67">
        <f t="shared" si="0"/>
        <v>388.80555555555554</v>
      </c>
    </row>
    <row r="11" spans="1:17" ht="18.75" customHeight="1">
      <c r="A11" s="5">
        <v>1209842</v>
      </c>
      <c r="B11" s="28">
        <v>140092</v>
      </c>
      <c r="C11" s="5" t="s">
        <v>59</v>
      </c>
      <c r="D11" s="22">
        <v>45911.94027777778</v>
      </c>
      <c r="E11" s="17" t="s">
        <v>23</v>
      </c>
      <c r="F11" s="5" t="s">
        <v>179</v>
      </c>
      <c r="G11" s="17" t="s">
        <v>180</v>
      </c>
      <c r="H11" s="6">
        <v>270</v>
      </c>
      <c r="I11" s="6">
        <v>192</v>
      </c>
      <c r="J11" s="62">
        <v>0.5</v>
      </c>
      <c r="K11" s="6" t="s">
        <v>56</v>
      </c>
      <c r="L11" s="36">
        <v>25920</v>
      </c>
      <c r="M11" s="42">
        <v>27994</v>
      </c>
      <c r="N11" s="53">
        <v>0</v>
      </c>
      <c r="O11" s="48" t="s">
        <v>168</v>
      </c>
      <c r="P11" s="51" t="s">
        <v>181</v>
      </c>
      <c r="Q11" s="67">
        <f t="shared" si="0"/>
        <v>291.60416666666669</v>
      </c>
    </row>
    <row r="12" spans="1:17" ht="18.75" customHeight="1">
      <c r="A12" s="5">
        <v>1209843</v>
      </c>
      <c r="B12" s="28">
        <v>140092</v>
      </c>
      <c r="C12" s="5" t="s">
        <v>59</v>
      </c>
      <c r="D12" s="22">
        <v>45911.94027777778</v>
      </c>
      <c r="E12" s="17" t="s">
        <v>23</v>
      </c>
      <c r="F12" s="5" t="s">
        <v>173</v>
      </c>
      <c r="G12" s="17" t="s">
        <v>174</v>
      </c>
      <c r="H12" s="6">
        <v>360</v>
      </c>
      <c r="I12" s="6">
        <v>120</v>
      </c>
      <c r="J12" s="62">
        <v>1</v>
      </c>
      <c r="K12" s="6" t="s">
        <v>56</v>
      </c>
      <c r="L12" s="36">
        <v>43200</v>
      </c>
      <c r="M12" s="42">
        <v>46656</v>
      </c>
      <c r="N12" s="53">
        <v>0</v>
      </c>
      <c r="O12" s="48" t="s">
        <v>175</v>
      </c>
      <c r="P12" s="51" t="s">
        <v>145</v>
      </c>
      <c r="Q12" s="67">
        <f t="shared" si="0"/>
        <v>388.8</v>
      </c>
    </row>
    <row r="13" spans="1:17" ht="18.75" customHeight="1">
      <c r="A13" s="5">
        <v>1208285</v>
      </c>
      <c r="B13" s="28">
        <v>139960</v>
      </c>
      <c r="C13" s="5" t="s">
        <v>59</v>
      </c>
      <c r="D13" s="22">
        <v>45910.832638888889</v>
      </c>
      <c r="E13" s="17" t="s">
        <v>19</v>
      </c>
      <c r="F13" s="5" t="s">
        <v>182</v>
      </c>
      <c r="G13" s="17" t="s">
        <v>183</v>
      </c>
      <c r="H13" s="6">
        <v>850</v>
      </c>
      <c r="I13" s="6">
        <v>64</v>
      </c>
      <c r="J13" s="62">
        <v>0.5</v>
      </c>
      <c r="K13" s="6" t="s">
        <v>56</v>
      </c>
      <c r="L13" s="36">
        <v>27200</v>
      </c>
      <c r="M13" s="42">
        <v>29920</v>
      </c>
      <c r="N13" s="53">
        <v>0</v>
      </c>
      <c r="O13" s="48" t="s">
        <v>184</v>
      </c>
      <c r="P13" s="51" t="s">
        <v>185</v>
      </c>
      <c r="Q13" s="67">
        <f t="shared" si="0"/>
        <v>935</v>
      </c>
    </row>
    <row r="14" spans="1:17" ht="18.75" customHeight="1">
      <c r="A14" s="5">
        <v>1208284</v>
      </c>
      <c r="B14" s="28">
        <v>139959</v>
      </c>
      <c r="C14" s="5" t="s">
        <v>59</v>
      </c>
      <c r="D14" s="22">
        <v>45910.823611111111</v>
      </c>
      <c r="E14" s="17" t="s">
        <v>19</v>
      </c>
      <c r="F14" s="5" t="s">
        <v>186</v>
      </c>
      <c r="G14" s="17" t="s">
        <v>187</v>
      </c>
      <c r="H14" s="6">
        <v>1000</v>
      </c>
      <c r="I14" s="6">
        <v>48</v>
      </c>
      <c r="J14" s="62">
        <v>0.5</v>
      </c>
      <c r="K14" s="6" t="s">
        <v>56</v>
      </c>
      <c r="L14" s="36">
        <v>24000</v>
      </c>
      <c r="M14" s="42">
        <v>26400</v>
      </c>
      <c r="N14" s="53">
        <v>2000</v>
      </c>
      <c r="O14" s="48" t="s">
        <v>188</v>
      </c>
      <c r="P14" s="51" t="s">
        <v>189</v>
      </c>
      <c r="Q14" s="67">
        <f t="shared" si="0"/>
        <v>1191.6666666666667</v>
      </c>
    </row>
    <row r="15" spans="1:17" ht="18.75" customHeight="1">
      <c r="A15" s="5">
        <v>1208283</v>
      </c>
      <c r="B15" s="28">
        <v>139959</v>
      </c>
      <c r="C15" s="5" t="s">
        <v>59</v>
      </c>
      <c r="D15" s="22">
        <v>45910.823611111111</v>
      </c>
      <c r="E15" s="17" t="s">
        <v>19</v>
      </c>
      <c r="F15" s="5" t="s">
        <v>190</v>
      </c>
      <c r="G15" s="17" t="s">
        <v>191</v>
      </c>
      <c r="H15" s="6">
        <v>1000</v>
      </c>
      <c r="I15" s="6">
        <v>48</v>
      </c>
      <c r="J15" s="62">
        <v>0.5</v>
      </c>
      <c r="K15" s="6" t="s">
        <v>56</v>
      </c>
      <c r="L15" s="36">
        <v>24000</v>
      </c>
      <c r="M15" s="42">
        <v>26400</v>
      </c>
      <c r="N15" s="53">
        <v>1500</v>
      </c>
      <c r="O15" s="48" t="s">
        <v>192</v>
      </c>
      <c r="P15" s="51" t="s">
        <v>185</v>
      </c>
      <c r="Q15" s="67">
        <f t="shared" si="0"/>
        <v>1168.75</v>
      </c>
    </row>
    <row r="16" spans="1:17" ht="18.75" customHeight="1">
      <c r="A16" s="5">
        <v>1199241</v>
      </c>
      <c r="B16" s="28">
        <v>139244</v>
      </c>
      <c r="C16" s="5" t="s">
        <v>59</v>
      </c>
      <c r="D16" s="22">
        <v>45907.015972222223</v>
      </c>
      <c r="E16" s="17" t="s">
        <v>19</v>
      </c>
      <c r="F16" s="5" t="s">
        <v>193</v>
      </c>
      <c r="G16" s="17" t="s">
        <v>194</v>
      </c>
      <c r="H16" s="6">
        <v>889</v>
      </c>
      <c r="I16" s="6">
        <v>30</v>
      </c>
      <c r="J16" s="62">
        <v>1</v>
      </c>
      <c r="K16" s="6" t="s">
        <v>56</v>
      </c>
      <c r="L16" s="36">
        <v>26670</v>
      </c>
      <c r="M16" s="42">
        <v>29337</v>
      </c>
      <c r="N16" s="53">
        <v>0</v>
      </c>
      <c r="O16" s="48" t="s">
        <v>71</v>
      </c>
      <c r="P16" s="51" t="s">
        <v>195</v>
      </c>
      <c r="Q16" s="67">
        <f t="shared" si="0"/>
        <v>977.9</v>
      </c>
    </row>
    <row r="17" spans="1:17" ht="18.75" customHeight="1">
      <c r="A17" s="5">
        <v>1198738</v>
      </c>
      <c r="B17" s="28">
        <v>139152</v>
      </c>
      <c r="C17" s="5" t="s">
        <v>59</v>
      </c>
      <c r="D17" s="22">
        <v>45906.897222222222</v>
      </c>
      <c r="E17" s="17" t="s">
        <v>19</v>
      </c>
      <c r="F17" s="5" t="s">
        <v>196</v>
      </c>
      <c r="G17" s="17" t="s">
        <v>197</v>
      </c>
      <c r="H17" s="6">
        <v>9000</v>
      </c>
      <c r="I17" s="6">
        <v>1</v>
      </c>
      <c r="J17" s="62">
        <v>1</v>
      </c>
      <c r="K17" s="6" t="s">
        <v>56</v>
      </c>
      <c r="L17" s="36">
        <v>9000</v>
      </c>
      <c r="M17" s="42">
        <v>9900</v>
      </c>
      <c r="N17" s="56">
        <v>1000</v>
      </c>
      <c r="O17" s="48" t="s">
        <v>198</v>
      </c>
      <c r="P17" s="51" t="s">
        <v>63</v>
      </c>
      <c r="Q17" s="67">
        <f t="shared" si="0"/>
        <v>11000</v>
      </c>
    </row>
    <row r="18" spans="1:17" ht="18.75" customHeight="1">
      <c r="A18" s="5">
        <v>1190034</v>
      </c>
      <c r="B18" s="28">
        <v>138881</v>
      </c>
      <c r="C18" s="5" t="s">
        <v>59</v>
      </c>
      <c r="D18" s="22">
        <v>45904.856944444444</v>
      </c>
      <c r="E18" s="17" t="s">
        <v>19</v>
      </c>
      <c r="F18" s="5" t="s">
        <v>199</v>
      </c>
      <c r="G18" s="17" t="s">
        <v>200</v>
      </c>
      <c r="H18" s="6">
        <v>43400</v>
      </c>
      <c r="I18" s="6">
        <v>448</v>
      </c>
      <c r="J18" s="62">
        <v>0.5</v>
      </c>
      <c r="K18" s="6" t="s">
        <v>56</v>
      </c>
      <c r="L18" s="36">
        <v>21700</v>
      </c>
      <c r="M18" s="42">
        <v>23870</v>
      </c>
      <c r="N18" s="53">
        <v>1000</v>
      </c>
      <c r="O18" s="48" t="s">
        <v>201</v>
      </c>
      <c r="P18" s="51" t="s">
        <v>63</v>
      </c>
      <c r="Q18" s="67">
        <f t="shared" si="0"/>
        <v>111.47321428571429</v>
      </c>
    </row>
    <row r="19" spans="1:17" ht="18.75" customHeight="1">
      <c r="A19" s="5">
        <v>1192382</v>
      </c>
      <c r="B19" s="28">
        <v>138881</v>
      </c>
      <c r="C19" s="5" t="s">
        <v>59</v>
      </c>
      <c r="D19" s="22">
        <v>45904.856944444444</v>
      </c>
      <c r="E19" s="17" t="s">
        <v>19</v>
      </c>
      <c r="F19" s="5" t="s">
        <v>202</v>
      </c>
      <c r="G19" s="17" t="s">
        <v>203</v>
      </c>
      <c r="H19" s="6">
        <v>140</v>
      </c>
      <c r="I19" s="6">
        <v>288</v>
      </c>
      <c r="J19" s="62">
        <v>1</v>
      </c>
      <c r="K19" s="6" t="s">
        <v>56</v>
      </c>
      <c r="L19" s="36">
        <v>40320</v>
      </c>
      <c r="M19" s="42">
        <v>44352</v>
      </c>
      <c r="N19" s="53">
        <v>0</v>
      </c>
      <c r="O19" s="48" t="s">
        <v>71</v>
      </c>
      <c r="P19" s="51" t="s">
        <v>63</v>
      </c>
      <c r="Q19" s="67">
        <f t="shared" si="0"/>
        <v>154</v>
      </c>
    </row>
    <row r="20" spans="1:17" ht="18.75" customHeight="1">
      <c r="A20" s="5">
        <v>1192381</v>
      </c>
      <c r="B20" s="28">
        <v>138881</v>
      </c>
      <c r="C20" s="5" t="s">
        <v>59</v>
      </c>
      <c r="D20" s="22">
        <v>45904.856944444444</v>
      </c>
      <c r="E20" s="17" t="s">
        <v>19</v>
      </c>
      <c r="F20" s="5" t="s">
        <v>204</v>
      </c>
      <c r="G20" s="17" t="s">
        <v>205</v>
      </c>
      <c r="H20" s="6">
        <v>220</v>
      </c>
      <c r="I20" s="6">
        <v>216</v>
      </c>
      <c r="J20" s="62">
        <v>1</v>
      </c>
      <c r="K20" s="6" t="s">
        <v>56</v>
      </c>
      <c r="L20" s="36">
        <v>47520</v>
      </c>
      <c r="M20" s="42">
        <v>52272</v>
      </c>
      <c r="N20" s="53">
        <v>0</v>
      </c>
      <c r="O20" s="48" t="s">
        <v>206</v>
      </c>
      <c r="P20" s="51" t="s">
        <v>207</v>
      </c>
      <c r="Q20" s="67">
        <f t="shared" si="0"/>
        <v>242</v>
      </c>
    </row>
    <row r="21" spans="1:17" ht="18.75" customHeight="1">
      <c r="A21" s="5">
        <v>1190036</v>
      </c>
      <c r="B21" s="28">
        <v>138881</v>
      </c>
      <c r="C21" s="5" t="s">
        <v>59</v>
      </c>
      <c r="D21" s="22">
        <v>45904.856944444444</v>
      </c>
      <c r="E21" s="17" t="s">
        <v>19</v>
      </c>
      <c r="F21" s="5" t="s">
        <v>208</v>
      </c>
      <c r="G21" s="17" t="s">
        <v>209</v>
      </c>
      <c r="H21" s="6">
        <v>61000</v>
      </c>
      <c r="I21" s="6">
        <v>432</v>
      </c>
      <c r="J21" s="62">
        <v>0.5</v>
      </c>
      <c r="K21" s="6" t="s">
        <v>56</v>
      </c>
      <c r="L21" s="36">
        <v>30500</v>
      </c>
      <c r="M21" s="42">
        <v>33550</v>
      </c>
      <c r="N21" s="53">
        <v>1000</v>
      </c>
      <c r="O21" s="48" t="s">
        <v>201</v>
      </c>
      <c r="P21" s="51" t="s">
        <v>63</v>
      </c>
      <c r="Q21" s="67">
        <f t="shared" si="0"/>
        <v>160.41666666666666</v>
      </c>
    </row>
    <row r="22" spans="1:17" ht="18.75" customHeight="1">
      <c r="A22" s="5">
        <v>1188243</v>
      </c>
      <c r="B22" s="28">
        <v>138758</v>
      </c>
      <c r="C22" s="5" t="s">
        <v>59</v>
      </c>
      <c r="D22" s="22">
        <v>45903.484027777777</v>
      </c>
      <c r="E22" s="17" t="s">
        <v>19</v>
      </c>
      <c r="F22" s="5" t="s">
        <v>162</v>
      </c>
      <c r="G22" s="17" t="s">
        <v>163</v>
      </c>
      <c r="H22" s="6">
        <v>9000</v>
      </c>
      <c r="I22" s="6">
        <v>1</v>
      </c>
      <c r="J22" s="62">
        <v>1</v>
      </c>
      <c r="K22" s="6" t="s">
        <v>56</v>
      </c>
      <c r="L22" s="36">
        <v>9000</v>
      </c>
      <c r="M22" s="42">
        <v>9900</v>
      </c>
      <c r="N22" s="53">
        <v>1000</v>
      </c>
      <c r="O22" s="48" t="s">
        <v>210</v>
      </c>
      <c r="P22" s="51" t="s">
        <v>63</v>
      </c>
      <c r="Q22" s="67">
        <f t="shared" si="0"/>
        <v>11000</v>
      </c>
    </row>
    <row r="23" spans="1:17" ht="18.75" customHeight="1">
      <c r="A23" s="5">
        <v>1188242</v>
      </c>
      <c r="B23" s="28">
        <v>138758</v>
      </c>
      <c r="C23" s="5" t="s">
        <v>59</v>
      </c>
      <c r="D23" s="22">
        <v>45903.484027777777</v>
      </c>
      <c r="E23" s="17" t="s">
        <v>19</v>
      </c>
      <c r="F23" s="5" t="s">
        <v>159</v>
      </c>
      <c r="G23" s="17" t="s">
        <v>160</v>
      </c>
      <c r="H23" s="6">
        <v>9000</v>
      </c>
      <c r="I23" s="6">
        <v>1</v>
      </c>
      <c r="J23" s="62">
        <v>1</v>
      </c>
      <c r="K23" s="6" t="s">
        <v>56</v>
      </c>
      <c r="L23" s="36">
        <v>9000</v>
      </c>
      <c r="M23" s="42">
        <v>9900</v>
      </c>
      <c r="N23" s="53">
        <v>1000</v>
      </c>
      <c r="O23" s="48" t="s">
        <v>210</v>
      </c>
      <c r="P23" s="51" t="s">
        <v>63</v>
      </c>
      <c r="Q23" s="67">
        <f t="shared" si="0"/>
        <v>11000</v>
      </c>
    </row>
    <row r="24" spans="1:17" ht="18.75" customHeight="1">
      <c r="A24" s="5">
        <v>1188187</v>
      </c>
      <c r="B24" s="28">
        <v>138749</v>
      </c>
      <c r="C24" s="5" t="s">
        <v>59</v>
      </c>
      <c r="D24" s="22">
        <v>45903.463194444441</v>
      </c>
      <c r="E24" s="17" t="s">
        <v>19</v>
      </c>
      <c r="F24" s="5" t="s">
        <v>211</v>
      </c>
      <c r="G24" s="17" t="s">
        <v>212</v>
      </c>
      <c r="H24" s="6">
        <v>325</v>
      </c>
      <c r="I24" s="6">
        <v>96</v>
      </c>
      <c r="J24" s="62">
        <v>1</v>
      </c>
      <c r="K24" s="6" t="s">
        <v>56</v>
      </c>
      <c r="L24" s="36">
        <v>31200</v>
      </c>
      <c r="M24" s="42">
        <v>34320</v>
      </c>
      <c r="N24" s="53">
        <v>0</v>
      </c>
      <c r="O24" s="48" t="s">
        <v>161</v>
      </c>
      <c r="P24" s="51" t="s">
        <v>145</v>
      </c>
      <c r="Q24" s="67">
        <f t="shared" si="0"/>
        <v>357.5</v>
      </c>
    </row>
    <row r="25" spans="1:17" ht="18.75" customHeight="1">
      <c r="A25" s="5">
        <v>1187874</v>
      </c>
      <c r="B25" s="28">
        <v>138721</v>
      </c>
      <c r="C25" s="5" t="s">
        <v>59</v>
      </c>
      <c r="D25" s="22">
        <v>45902.84375</v>
      </c>
      <c r="E25" s="17" t="s">
        <v>23</v>
      </c>
      <c r="F25" s="5" t="s">
        <v>213</v>
      </c>
      <c r="G25" s="17" t="s">
        <v>214</v>
      </c>
      <c r="H25" s="6">
        <v>62500</v>
      </c>
      <c r="I25" s="6">
        <v>64</v>
      </c>
      <c r="J25" s="62">
        <v>1</v>
      </c>
      <c r="K25" s="6" t="s">
        <v>56</v>
      </c>
      <c r="L25" s="36">
        <v>62500</v>
      </c>
      <c r="M25" s="42">
        <v>68750</v>
      </c>
      <c r="N25" s="53">
        <v>0</v>
      </c>
      <c r="O25" s="48" t="s">
        <v>215</v>
      </c>
      <c r="P25" s="51" t="s">
        <v>145</v>
      </c>
      <c r="Q25" s="67">
        <f t="shared" si="0"/>
        <v>1074.21875</v>
      </c>
    </row>
    <row r="26" spans="1:17" ht="18.75" customHeight="1">
      <c r="A26" s="5">
        <v>1187873</v>
      </c>
      <c r="B26" s="28">
        <v>138720</v>
      </c>
      <c r="C26" s="5" t="s">
        <v>59</v>
      </c>
      <c r="D26" s="22">
        <v>45902.84375</v>
      </c>
      <c r="E26" s="17" t="s">
        <v>19</v>
      </c>
      <c r="F26" s="5" t="s">
        <v>213</v>
      </c>
      <c r="G26" s="17" t="s">
        <v>214</v>
      </c>
      <c r="H26" s="6">
        <v>62500</v>
      </c>
      <c r="I26" s="6">
        <v>64</v>
      </c>
      <c r="J26" s="62">
        <v>4</v>
      </c>
      <c r="K26" s="6" t="s">
        <v>56</v>
      </c>
      <c r="L26" s="36">
        <v>250000</v>
      </c>
      <c r="M26" s="42">
        <v>275000</v>
      </c>
      <c r="N26" s="53">
        <v>0</v>
      </c>
      <c r="O26" s="48" t="s">
        <v>215</v>
      </c>
      <c r="P26" s="51" t="s">
        <v>145</v>
      </c>
      <c r="Q26" s="67">
        <f t="shared" si="0"/>
        <v>1074.21875</v>
      </c>
    </row>
    <row r="27" spans="1:17" ht="18.75" customHeight="1">
      <c r="A27" s="5">
        <v>1187869</v>
      </c>
      <c r="B27" s="28">
        <v>138718</v>
      </c>
      <c r="C27" s="5" t="s">
        <v>59</v>
      </c>
      <c r="D27" s="22">
        <v>45902.842361111114</v>
      </c>
      <c r="E27" s="17" t="s">
        <v>22</v>
      </c>
      <c r="F27" s="5" t="s">
        <v>213</v>
      </c>
      <c r="G27" s="17" t="s">
        <v>214</v>
      </c>
      <c r="H27" s="6">
        <v>62500</v>
      </c>
      <c r="I27" s="6">
        <v>64</v>
      </c>
      <c r="J27" s="62">
        <v>2</v>
      </c>
      <c r="K27" s="6" t="s">
        <v>56</v>
      </c>
      <c r="L27" s="36">
        <v>125000</v>
      </c>
      <c r="M27" s="42">
        <v>137500</v>
      </c>
      <c r="N27" s="53">
        <v>0</v>
      </c>
      <c r="O27" s="48" t="s">
        <v>216</v>
      </c>
      <c r="P27" s="51" t="s">
        <v>145</v>
      </c>
      <c r="Q27" s="67">
        <f t="shared" si="0"/>
        <v>1074.21875</v>
      </c>
    </row>
    <row r="28" spans="1:17" ht="18.75" customHeight="1">
      <c r="A28" s="5">
        <v>1187867</v>
      </c>
      <c r="B28" s="28">
        <v>138715</v>
      </c>
      <c r="C28" s="5" t="s">
        <v>59</v>
      </c>
      <c r="D28" s="22">
        <v>45902.837500000001</v>
      </c>
      <c r="E28" s="17" t="s">
        <v>19</v>
      </c>
      <c r="F28" s="5" t="s">
        <v>54</v>
      </c>
      <c r="G28" s="17" t="s">
        <v>55</v>
      </c>
      <c r="H28" s="6">
        <v>340</v>
      </c>
      <c r="I28" s="6">
        <v>144</v>
      </c>
      <c r="J28" s="62">
        <v>1</v>
      </c>
      <c r="K28" s="6" t="s">
        <v>56</v>
      </c>
      <c r="L28" s="36">
        <v>48960</v>
      </c>
      <c r="M28" s="42">
        <v>53856</v>
      </c>
      <c r="N28" s="53">
        <v>0</v>
      </c>
      <c r="O28" s="50" t="s">
        <v>217</v>
      </c>
      <c r="P28" s="51" t="s">
        <v>58</v>
      </c>
      <c r="Q28" s="67">
        <f t="shared" si="0"/>
        <v>374</v>
      </c>
    </row>
    <row r="29" spans="1:17" ht="18.75" customHeight="1">
      <c r="A29" s="5">
        <v>1187865</v>
      </c>
      <c r="B29" s="28">
        <v>138715</v>
      </c>
      <c r="C29" s="5" t="s">
        <v>59</v>
      </c>
      <c r="D29" s="22">
        <v>45902.837500000001</v>
      </c>
      <c r="E29" s="17" t="s">
        <v>19</v>
      </c>
      <c r="F29" s="5" t="s">
        <v>67</v>
      </c>
      <c r="G29" s="17" t="s">
        <v>68</v>
      </c>
      <c r="H29" s="6">
        <v>52500</v>
      </c>
      <c r="I29" s="6">
        <v>240</v>
      </c>
      <c r="J29" s="62">
        <v>1</v>
      </c>
      <c r="K29" s="6" t="s">
        <v>56</v>
      </c>
      <c r="L29" s="36">
        <v>52500</v>
      </c>
      <c r="M29" s="42">
        <v>57750</v>
      </c>
      <c r="N29" s="53">
        <v>0</v>
      </c>
      <c r="O29" s="50" t="s">
        <v>218</v>
      </c>
      <c r="P29" s="51" t="s">
        <v>63</v>
      </c>
      <c r="Q29" s="67">
        <f t="shared" si="0"/>
        <v>240.625</v>
      </c>
    </row>
    <row r="30" spans="1:17" ht="18.75" customHeight="1">
      <c r="A30" s="5">
        <v>1187840</v>
      </c>
      <c r="B30" s="28">
        <v>138713</v>
      </c>
      <c r="C30" s="5" t="s">
        <v>59</v>
      </c>
      <c r="D30" s="22">
        <v>45902.819444444445</v>
      </c>
      <c r="E30" s="17" t="s">
        <v>22</v>
      </c>
      <c r="F30" s="5" t="s">
        <v>219</v>
      </c>
      <c r="G30" s="17" t="s">
        <v>220</v>
      </c>
      <c r="H30" s="6">
        <v>180</v>
      </c>
      <c r="I30" s="6">
        <v>288</v>
      </c>
      <c r="J30" s="62">
        <v>1</v>
      </c>
      <c r="K30" s="6" t="s">
        <v>56</v>
      </c>
      <c r="L30" s="36">
        <v>51840</v>
      </c>
      <c r="M30" s="42">
        <v>57024</v>
      </c>
      <c r="N30" s="53">
        <v>0</v>
      </c>
      <c r="O30" s="50" t="s">
        <v>221</v>
      </c>
      <c r="P30" s="51" t="s">
        <v>222</v>
      </c>
      <c r="Q30" s="67">
        <f t="shared" si="0"/>
        <v>198</v>
      </c>
    </row>
    <row r="31" spans="1:17" ht="18.75" customHeight="1">
      <c r="A31" s="5">
        <v>1187762</v>
      </c>
      <c r="B31" s="28">
        <v>138700</v>
      </c>
      <c r="C31" s="5" t="s">
        <v>59</v>
      </c>
      <c r="D31" s="22">
        <v>45902.814583333333</v>
      </c>
      <c r="E31" s="17" t="s">
        <v>19</v>
      </c>
      <c r="F31" s="5" t="s">
        <v>223</v>
      </c>
      <c r="G31" s="17" t="s">
        <v>224</v>
      </c>
      <c r="H31" s="6">
        <v>33</v>
      </c>
      <c r="I31" s="6">
        <v>960</v>
      </c>
      <c r="J31" s="62">
        <v>0.5</v>
      </c>
      <c r="K31" s="6" t="s">
        <v>56</v>
      </c>
      <c r="L31" s="36">
        <v>15840</v>
      </c>
      <c r="M31" s="42">
        <v>17424</v>
      </c>
      <c r="N31" s="53">
        <v>1000</v>
      </c>
      <c r="O31" s="48" t="s">
        <v>218</v>
      </c>
      <c r="P31" s="51" t="s">
        <v>207</v>
      </c>
      <c r="Q31" s="67">
        <f t="shared" si="0"/>
        <v>38.591666666666669</v>
      </c>
    </row>
    <row r="32" spans="1:17" ht="18.75" customHeight="1">
      <c r="A32" s="5">
        <v>1187752</v>
      </c>
      <c r="B32" s="28">
        <v>138700</v>
      </c>
      <c r="C32" s="5" t="s">
        <v>59</v>
      </c>
      <c r="D32" s="22">
        <v>45902.814583333333</v>
      </c>
      <c r="E32" s="17" t="s">
        <v>19</v>
      </c>
      <c r="F32" s="5" t="s">
        <v>225</v>
      </c>
      <c r="G32" s="17" t="s">
        <v>226</v>
      </c>
      <c r="H32" s="6">
        <v>58100</v>
      </c>
      <c r="I32" s="6">
        <v>182</v>
      </c>
      <c r="J32" s="62">
        <v>0.5</v>
      </c>
      <c r="K32" s="6" t="s">
        <v>56</v>
      </c>
      <c r="L32" s="36">
        <v>29050</v>
      </c>
      <c r="M32" s="42">
        <v>31955</v>
      </c>
      <c r="N32" s="53">
        <v>1000</v>
      </c>
      <c r="O32" s="48" t="s">
        <v>218</v>
      </c>
      <c r="P32" s="51" t="s">
        <v>63</v>
      </c>
      <c r="Q32" s="67">
        <f t="shared" si="0"/>
        <v>363.24175824175825</v>
      </c>
    </row>
    <row r="33" spans="1:17" ht="18.75" customHeight="1">
      <c r="A33" s="5">
        <v>1185480</v>
      </c>
      <c r="B33" s="28">
        <v>138521</v>
      </c>
      <c r="C33" s="5" t="s">
        <v>59</v>
      </c>
      <c r="D33" s="22">
        <v>45901.674305555556</v>
      </c>
      <c r="E33" s="17" t="s">
        <v>22</v>
      </c>
      <c r="F33" s="5" t="s">
        <v>227</v>
      </c>
      <c r="G33" s="17" t="s">
        <v>228</v>
      </c>
      <c r="H33" s="6">
        <v>180</v>
      </c>
      <c r="I33" s="6">
        <v>270</v>
      </c>
      <c r="J33" s="62">
        <v>2</v>
      </c>
      <c r="K33" s="6" t="s">
        <v>56</v>
      </c>
      <c r="L33" s="36">
        <v>97200</v>
      </c>
      <c r="M33" s="42">
        <v>106920</v>
      </c>
      <c r="N33" s="53">
        <v>0</v>
      </c>
      <c r="O33" s="48" t="s">
        <v>229</v>
      </c>
      <c r="P33" s="51" t="s">
        <v>230</v>
      </c>
      <c r="Q33" s="67">
        <f t="shared" si="0"/>
        <v>198</v>
      </c>
    </row>
    <row r="34" spans="1:17" ht="18.75" customHeight="1">
      <c r="A34" s="5">
        <v>1185478</v>
      </c>
      <c r="B34" s="28">
        <v>138520</v>
      </c>
      <c r="C34" s="5" t="s">
        <v>59</v>
      </c>
      <c r="D34" s="22">
        <v>45901.674305555556</v>
      </c>
      <c r="E34" s="17" t="s">
        <v>19</v>
      </c>
      <c r="F34" s="5" t="s">
        <v>227</v>
      </c>
      <c r="G34" s="17" t="s">
        <v>228</v>
      </c>
      <c r="H34" s="6">
        <v>180</v>
      </c>
      <c r="I34" s="6">
        <v>270</v>
      </c>
      <c r="J34" s="62">
        <v>5</v>
      </c>
      <c r="K34" s="6" t="s">
        <v>56</v>
      </c>
      <c r="L34" s="36">
        <v>243000</v>
      </c>
      <c r="M34" s="42">
        <v>267300</v>
      </c>
      <c r="N34" s="53">
        <v>0</v>
      </c>
      <c r="O34" s="48" t="s">
        <v>229</v>
      </c>
      <c r="P34" s="51" t="s">
        <v>230</v>
      </c>
      <c r="Q34" s="67">
        <f t="shared" si="0"/>
        <v>198</v>
      </c>
    </row>
    <row r="35" spans="1:17" ht="18.75" customHeight="1">
      <c r="A35" s="14">
        <v>1185050</v>
      </c>
      <c r="B35" s="29">
        <v>138480</v>
      </c>
      <c r="C35" s="14" t="s">
        <v>59</v>
      </c>
      <c r="D35" s="23">
        <v>45901.563194444447</v>
      </c>
      <c r="E35" s="18" t="s">
        <v>23</v>
      </c>
      <c r="F35" s="14" t="s">
        <v>211</v>
      </c>
      <c r="G35" s="18" t="s">
        <v>212</v>
      </c>
      <c r="H35" s="15">
        <v>325</v>
      </c>
      <c r="I35" s="15">
        <v>96</v>
      </c>
      <c r="J35" s="63">
        <v>2</v>
      </c>
      <c r="K35" s="15" t="s">
        <v>56</v>
      </c>
      <c r="L35" s="38">
        <v>62400</v>
      </c>
      <c r="M35" s="44">
        <v>68640</v>
      </c>
      <c r="N35" s="55">
        <v>0</v>
      </c>
      <c r="O35" s="48" t="s">
        <v>161</v>
      </c>
      <c r="P35" s="51" t="s">
        <v>145</v>
      </c>
      <c r="Q35" s="67">
        <f t="shared" si="0"/>
        <v>357.5</v>
      </c>
    </row>
    <row r="36" spans="1:17" ht="18.75" customHeight="1">
      <c r="A36" s="5">
        <v>1171679</v>
      </c>
      <c r="B36" s="28">
        <v>136762</v>
      </c>
      <c r="C36" s="5" t="s">
        <v>59</v>
      </c>
      <c r="D36" s="22">
        <v>45889.500694444447</v>
      </c>
      <c r="E36" s="17" t="s">
        <v>23</v>
      </c>
      <c r="F36" s="5" t="s">
        <v>231</v>
      </c>
      <c r="G36" s="17" t="s">
        <v>232</v>
      </c>
      <c r="H36" s="6">
        <v>115</v>
      </c>
      <c r="I36" s="6">
        <v>480</v>
      </c>
      <c r="J36" s="62">
        <v>0.5</v>
      </c>
      <c r="K36" s="6" t="s">
        <v>56</v>
      </c>
      <c r="L36" s="36">
        <v>27600</v>
      </c>
      <c r="M36" s="42">
        <v>30360</v>
      </c>
      <c r="N36" s="56">
        <v>1000</v>
      </c>
      <c r="O36" s="48" t="s">
        <v>71</v>
      </c>
      <c r="P36" s="51" t="s">
        <v>233</v>
      </c>
      <c r="Q36" s="67">
        <f t="shared" si="0"/>
        <v>131.08333333333334</v>
      </c>
    </row>
    <row r="37" spans="1:17" ht="18.75" customHeight="1">
      <c r="A37" s="134">
        <v>1170769</v>
      </c>
      <c r="B37" s="28">
        <v>136691</v>
      </c>
      <c r="C37" s="5" t="s">
        <v>59</v>
      </c>
      <c r="D37" s="22">
        <v>45888.720833333333</v>
      </c>
      <c r="E37" s="135" t="s">
        <v>23</v>
      </c>
      <c r="F37" s="134" t="s">
        <v>67</v>
      </c>
      <c r="G37" s="17" t="s">
        <v>68</v>
      </c>
      <c r="H37" s="16">
        <v>52500</v>
      </c>
      <c r="I37" s="16">
        <v>240</v>
      </c>
      <c r="J37" s="136">
        <v>1</v>
      </c>
      <c r="K37" s="16" t="s">
        <v>56</v>
      </c>
      <c r="L37" s="36">
        <v>52500</v>
      </c>
      <c r="M37" s="45">
        <v>57750</v>
      </c>
      <c r="N37" s="53">
        <v>0</v>
      </c>
      <c r="O37" s="50" t="s">
        <v>234</v>
      </c>
      <c r="P37" s="51" t="s">
        <v>63</v>
      </c>
      <c r="Q37" s="67">
        <f>(M37+N37*1.1)/(I37*J37)</f>
        <v>240.625</v>
      </c>
    </row>
    <row r="38" spans="1:17" ht="18.75" customHeight="1">
      <c r="A38" s="5">
        <v>1168178</v>
      </c>
      <c r="B38" s="28">
        <v>136353</v>
      </c>
      <c r="C38" s="5" t="s">
        <v>59</v>
      </c>
      <c r="D38" s="22">
        <v>45886.875</v>
      </c>
      <c r="E38" s="17" t="s">
        <v>19</v>
      </c>
      <c r="F38" s="5" t="s">
        <v>235</v>
      </c>
      <c r="G38" s="17" t="s">
        <v>212</v>
      </c>
      <c r="H38" s="6">
        <v>325</v>
      </c>
      <c r="I38" s="16">
        <v>96</v>
      </c>
      <c r="J38" s="62">
        <v>2</v>
      </c>
      <c r="K38" s="6" t="s">
        <v>56</v>
      </c>
      <c r="L38" s="36">
        <v>62400</v>
      </c>
      <c r="M38" s="42">
        <v>68640</v>
      </c>
      <c r="N38" s="53">
        <v>0</v>
      </c>
      <c r="O38" s="48" t="s">
        <v>236</v>
      </c>
      <c r="P38" s="51" t="s">
        <v>237</v>
      </c>
      <c r="Q38" s="67">
        <f>(M38+N38*1.1)/(H39*J38)</f>
        <v>357.5</v>
      </c>
    </row>
    <row r="39" spans="1:17" ht="18.75" customHeight="1">
      <c r="A39" s="5">
        <v>1168177</v>
      </c>
      <c r="B39" s="28">
        <v>136352</v>
      </c>
      <c r="C39" s="5" t="s">
        <v>59</v>
      </c>
      <c r="D39" s="22">
        <v>45886.875</v>
      </c>
      <c r="E39" s="17" t="s">
        <v>122</v>
      </c>
      <c r="F39" s="5" t="s">
        <v>235</v>
      </c>
      <c r="G39" s="17" t="s">
        <v>212</v>
      </c>
      <c r="H39" s="6">
        <v>96</v>
      </c>
      <c r="I39" s="6">
        <v>96</v>
      </c>
      <c r="J39" s="62">
        <v>2</v>
      </c>
      <c r="K39" s="6" t="s">
        <v>56</v>
      </c>
      <c r="L39" s="36">
        <v>62400</v>
      </c>
      <c r="M39" s="42">
        <v>68640</v>
      </c>
      <c r="N39" s="53">
        <v>0</v>
      </c>
      <c r="O39" s="48" t="s">
        <v>236</v>
      </c>
      <c r="P39" s="51" t="s">
        <v>237</v>
      </c>
      <c r="Q39" s="67">
        <f t="shared" si="0"/>
        <v>357.5</v>
      </c>
    </row>
    <row r="40" spans="1:17" ht="18.75" customHeight="1">
      <c r="A40" s="5">
        <v>1168175</v>
      </c>
      <c r="B40" s="30">
        <v>136351</v>
      </c>
      <c r="C40" s="5" t="s">
        <v>59</v>
      </c>
      <c r="D40" s="22">
        <v>45886.874305555553</v>
      </c>
      <c r="E40" s="17" t="s">
        <v>22</v>
      </c>
      <c r="F40" s="5" t="s">
        <v>235</v>
      </c>
      <c r="G40" s="17" t="s">
        <v>212</v>
      </c>
      <c r="H40" s="6">
        <v>325</v>
      </c>
      <c r="I40" s="6">
        <v>96</v>
      </c>
      <c r="J40" s="62">
        <v>3</v>
      </c>
      <c r="K40" s="6" t="s">
        <v>56</v>
      </c>
      <c r="L40" s="36">
        <v>93600</v>
      </c>
      <c r="M40" s="42">
        <v>102960</v>
      </c>
      <c r="N40" s="53">
        <v>0</v>
      </c>
      <c r="O40" s="48" t="s">
        <v>236</v>
      </c>
      <c r="P40" s="51" t="s">
        <v>237</v>
      </c>
      <c r="Q40" s="67">
        <f t="shared" si="0"/>
        <v>357.5</v>
      </c>
    </row>
    <row r="41" spans="1:17" ht="18.75" customHeight="1">
      <c r="A41" s="7">
        <v>1125389</v>
      </c>
      <c r="B41" s="30">
        <v>132098</v>
      </c>
      <c r="C41" s="8" t="s">
        <v>53</v>
      </c>
      <c r="D41" s="24">
        <v>45853.615972222222</v>
      </c>
      <c r="E41" s="19" t="s">
        <v>22</v>
      </c>
      <c r="F41" s="8" t="s">
        <v>238</v>
      </c>
      <c r="G41" s="19" t="s">
        <v>239</v>
      </c>
      <c r="H41" s="9">
        <v>840</v>
      </c>
      <c r="I41" s="9">
        <v>48</v>
      </c>
      <c r="J41" s="64">
        <v>0.5</v>
      </c>
      <c r="K41" s="9" t="s">
        <v>56</v>
      </c>
      <c r="L41" s="39">
        <v>20160</v>
      </c>
      <c r="M41" s="46">
        <v>22176</v>
      </c>
      <c r="N41" s="53">
        <v>1000</v>
      </c>
      <c r="O41" s="48" t="s">
        <v>240</v>
      </c>
      <c r="P41" s="51" t="s">
        <v>241</v>
      </c>
      <c r="Q41" s="67">
        <f t="shared" si="0"/>
        <v>969.83333333333337</v>
      </c>
    </row>
    <row r="42" spans="1:17" ht="18.75" customHeight="1">
      <c r="A42" s="137">
        <v>1125166</v>
      </c>
      <c r="B42" s="28">
        <v>132086</v>
      </c>
      <c r="C42" s="5" t="s">
        <v>59</v>
      </c>
      <c r="D42" s="22">
        <v>45853.542361111111</v>
      </c>
      <c r="E42" s="17" t="s">
        <v>122</v>
      </c>
      <c r="F42" s="5" t="s">
        <v>242</v>
      </c>
      <c r="G42" s="17" t="s">
        <v>243</v>
      </c>
      <c r="H42" s="6">
        <v>59480</v>
      </c>
      <c r="I42" s="6">
        <v>96</v>
      </c>
      <c r="J42" s="62">
        <v>0.25</v>
      </c>
      <c r="K42" s="6" t="s">
        <v>56</v>
      </c>
      <c r="L42" s="36">
        <v>14870</v>
      </c>
      <c r="M42" s="46">
        <v>16357</v>
      </c>
      <c r="N42" s="53">
        <v>1000</v>
      </c>
      <c r="O42" s="48" t="s">
        <v>218</v>
      </c>
      <c r="P42" s="51" t="s">
        <v>63</v>
      </c>
      <c r="Q42" s="67">
        <f t="shared" si="0"/>
        <v>727.375</v>
      </c>
    </row>
    <row r="43" spans="1:17" ht="18.75" customHeight="1">
      <c r="A43" s="137">
        <v>1106800</v>
      </c>
      <c r="B43" s="28">
        <v>130705</v>
      </c>
      <c r="C43" s="5" t="s">
        <v>59</v>
      </c>
      <c r="D43" s="22">
        <v>45842.62777777778</v>
      </c>
      <c r="E43" s="17" t="s">
        <v>22</v>
      </c>
      <c r="F43" s="5" t="s">
        <v>125</v>
      </c>
      <c r="G43" s="17" t="s">
        <v>126</v>
      </c>
      <c r="H43" s="6">
        <v>935</v>
      </c>
      <c r="I43" s="6">
        <v>48</v>
      </c>
      <c r="J43" s="62">
        <v>2</v>
      </c>
      <c r="K43" s="6" t="s">
        <v>56</v>
      </c>
      <c r="L43" s="36">
        <v>89760</v>
      </c>
      <c r="M43" s="46">
        <v>98736</v>
      </c>
      <c r="N43" s="53">
        <v>0</v>
      </c>
      <c r="O43" s="48" t="s">
        <v>244</v>
      </c>
      <c r="P43" s="51" t="s">
        <v>118</v>
      </c>
      <c r="Q43" s="67">
        <f t="shared" si="0"/>
        <v>1028.5</v>
      </c>
    </row>
    <row r="44" spans="1:17" ht="18.75" customHeight="1">
      <c r="A44" s="137">
        <v>1106718</v>
      </c>
      <c r="B44" s="28">
        <v>130697</v>
      </c>
      <c r="C44" s="5" t="s">
        <v>53</v>
      </c>
      <c r="D44" s="22">
        <v>45842.589583333334</v>
      </c>
      <c r="E44" s="17" t="s">
        <v>22</v>
      </c>
      <c r="F44" s="5" t="s">
        <v>245</v>
      </c>
      <c r="G44" s="17" t="s">
        <v>246</v>
      </c>
      <c r="H44" s="6">
        <v>917</v>
      </c>
      <c r="I44" s="6">
        <v>48</v>
      </c>
      <c r="J44" s="62">
        <v>1</v>
      </c>
      <c r="K44" s="6" t="s">
        <v>56</v>
      </c>
      <c r="L44" s="36">
        <v>44016</v>
      </c>
      <c r="M44" s="46">
        <v>48418</v>
      </c>
      <c r="N44" s="53">
        <v>0</v>
      </c>
      <c r="O44" s="48" t="s">
        <v>247</v>
      </c>
      <c r="P44" s="51" t="s">
        <v>237</v>
      </c>
      <c r="Q44" s="67">
        <f t="shared" si="0"/>
        <v>1008.7083333333334</v>
      </c>
    </row>
    <row r="45" spans="1:17" ht="18.75" customHeight="1">
      <c r="A45" s="10">
        <v>1106716</v>
      </c>
      <c r="B45" s="138">
        <v>130697</v>
      </c>
      <c r="C45" s="134" t="s">
        <v>59</v>
      </c>
      <c r="D45" s="139">
        <v>45842.589583333334</v>
      </c>
      <c r="E45" s="135" t="s">
        <v>22</v>
      </c>
      <c r="F45" s="134" t="s">
        <v>248</v>
      </c>
      <c r="G45" s="135" t="s">
        <v>249</v>
      </c>
      <c r="H45" s="16">
        <v>870</v>
      </c>
      <c r="I45" s="16">
        <v>48</v>
      </c>
      <c r="J45" s="136">
        <v>1</v>
      </c>
      <c r="K45" s="16" t="s">
        <v>56</v>
      </c>
      <c r="L45" s="140">
        <v>41760</v>
      </c>
      <c r="M45" s="45">
        <v>45936</v>
      </c>
      <c r="N45" s="53">
        <v>0</v>
      </c>
      <c r="O45" s="48" t="s">
        <v>250</v>
      </c>
      <c r="P45" s="51" t="s">
        <v>251</v>
      </c>
      <c r="Q45" s="67">
        <f t="shared" si="0"/>
        <v>957</v>
      </c>
    </row>
    <row r="46" spans="1:17" ht="18.75" customHeight="1">
      <c r="A46" s="134">
        <v>1090455</v>
      </c>
      <c r="B46" s="138">
        <v>129000</v>
      </c>
      <c r="C46" s="134" t="s">
        <v>59</v>
      </c>
      <c r="D46" s="139">
        <v>45826.98333333333</v>
      </c>
      <c r="E46" s="135" t="s">
        <v>122</v>
      </c>
      <c r="F46" s="134" t="s">
        <v>252</v>
      </c>
      <c r="G46" s="135" t="s">
        <v>253</v>
      </c>
      <c r="H46" s="16">
        <v>905</v>
      </c>
      <c r="I46" s="16">
        <v>54</v>
      </c>
      <c r="J46" s="136">
        <v>1</v>
      </c>
      <c r="K46" s="16" t="s">
        <v>56</v>
      </c>
      <c r="L46" s="140">
        <v>48870</v>
      </c>
      <c r="M46" s="45">
        <v>53757</v>
      </c>
      <c r="N46" s="195">
        <v>0</v>
      </c>
      <c r="O46" s="196" t="s">
        <v>254</v>
      </c>
      <c r="P46" s="197" t="s">
        <v>118</v>
      </c>
      <c r="Q46" s="67">
        <f t="shared" si="0"/>
        <v>995.5</v>
      </c>
    </row>
    <row r="47" spans="1:17" ht="18.75" customHeight="1">
      <c r="A47" s="198">
        <v>1090456</v>
      </c>
      <c r="B47" s="204">
        <v>129000</v>
      </c>
      <c r="C47" s="198" t="s">
        <v>59</v>
      </c>
      <c r="D47" s="205">
        <v>45826.98333333333</v>
      </c>
      <c r="E47" s="198" t="s">
        <v>122</v>
      </c>
      <c r="F47" s="198" t="s">
        <v>255</v>
      </c>
      <c r="G47" s="199" t="s">
        <v>253</v>
      </c>
      <c r="H47" s="200">
        <v>905</v>
      </c>
      <c r="I47" s="200">
        <v>54</v>
      </c>
      <c r="J47" s="201">
        <v>1</v>
      </c>
      <c r="K47" s="200" t="s">
        <v>56</v>
      </c>
      <c r="L47" s="202">
        <v>48870</v>
      </c>
      <c r="M47" s="202">
        <v>53757</v>
      </c>
      <c r="N47" s="202">
        <v>0</v>
      </c>
      <c r="O47" s="203" t="s">
        <v>254</v>
      </c>
      <c r="P47" s="51" t="s">
        <v>118</v>
      </c>
      <c r="Q47" s="67">
        <f t="shared" si="0"/>
        <v>995.5</v>
      </c>
    </row>
    <row r="48" spans="1:17" ht="18.75" customHeight="1">
      <c r="A48" s="198">
        <v>1090453</v>
      </c>
      <c r="B48" s="204">
        <v>128999</v>
      </c>
      <c r="C48" s="198" t="s">
        <v>59</v>
      </c>
      <c r="D48" s="205">
        <v>45826.98333333333</v>
      </c>
      <c r="E48" s="198" t="s">
        <v>23</v>
      </c>
      <c r="F48" s="198" t="s">
        <v>255</v>
      </c>
      <c r="G48" s="199" t="s">
        <v>253</v>
      </c>
      <c r="H48" s="200">
        <v>905</v>
      </c>
      <c r="I48" s="200">
        <v>54</v>
      </c>
      <c r="J48" s="201">
        <v>1</v>
      </c>
      <c r="K48" s="200" t="s">
        <v>56</v>
      </c>
      <c r="L48" s="202">
        <v>48870</v>
      </c>
      <c r="M48" s="202">
        <v>53757</v>
      </c>
      <c r="N48" s="53">
        <v>0</v>
      </c>
      <c r="O48" s="48" t="s">
        <v>254</v>
      </c>
      <c r="P48" s="51" t="s">
        <v>118</v>
      </c>
      <c r="Q48" s="67">
        <f t="shared" si="0"/>
        <v>995.5</v>
      </c>
    </row>
    <row r="49" spans="1:17" ht="18.75" customHeight="1">
      <c r="A49" s="122">
        <v>1090454</v>
      </c>
      <c r="B49" s="123">
        <v>128999</v>
      </c>
      <c r="C49" s="122" t="s">
        <v>59</v>
      </c>
      <c r="D49" s="124">
        <v>45826.98333333333</v>
      </c>
      <c r="E49" s="132" t="s">
        <v>23</v>
      </c>
      <c r="F49" s="122" t="s">
        <v>252</v>
      </c>
      <c r="G49" s="132" t="s">
        <v>253</v>
      </c>
      <c r="H49" s="125">
        <v>905</v>
      </c>
      <c r="I49" s="125">
        <v>54</v>
      </c>
      <c r="J49" s="126">
        <v>1</v>
      </c>
      <c r="K49" s="125" t="s">
        <v>56</v>
      </c>
      <c r="L49" s="95">
        <v>48870</v>
      </c>
      <c r="M49" s="95">
        <v>53757</v>
      </c>
      <c r="N49" s="56">
        <v>0</v>
      </c>
      <c r="O49" s="49" t="s">
        <v>254</v>
      </c>
      <c r="P49" s="59" t="s">
        <v>118</v>
      </c>
      <c r="Q49" s="67">
        <f t="shared" si="0"/>
        <v>995.5</v>
      </c>
    </row>
    <row r="50" spans="1:17" ht="18.75" customHeight="1">
      <c r="A50" s="122">
        <v>1090451</v>
      </c>
      <c r="B50" s="123">
        <v>128998</v>
      </c>
      <c r="C50" s="122" t="s">
        <v>59</v>
      </c>
      <c r="D50" s="124">
        <v>45826.982638888891</v>
      </c>
      <c r="E50" s="96" t="s">
        <v>22</v>
      </c>
      <c r="F50" s="122" t="s">
        <v>252</v>
      </c>
      <c r="G50" s="132" t="s">
        <v>253</v>
      </c>
      <c r="H50" s="125">
        <v>905</v>
      </c>
      <c r="I50" s="125">
        <v>54</v>
      </c>
      <c r="J50" s="126">
        <v>2</v>
      </c>
      <c r="K50" s="125" t="s">
        <v>56</v>
      </c>
      <c r="L50" s="95">
        <v>97740</v>
      </c>
      <c r="M50" s="95">
        <v>107514</v>
      </c>
      <c r="N50" s="56">
        <v>0</v>
      </c>
      <c r="O50" s="49" t="s">
        <v>254</v>
      </c>
      <c r="P50" s="59" t="s">
        <v>118</v>
      </c>
      <c r="Q50" s="67">
        <f t="shared" si="0"/>
        <v>995.5</v>
      </c>
    </row>
    <row r="51" spans="1:17" ht="18.75" customHeight="1">
      <c r="A51" s="122">
        <v>1090452</v>
      </c>
      <c r="B51" s="123">
        <v>128998</v>
      </c>
      <c r="C51" s="122" t="s">
        <v>59</v>
      </c>
      <c r="D51" s="124">
        <v>45826.982638888891</v>
      </c>
      <c r="E51" s="132" t="s">
        <v>22</v>
      </c>
      <c r="F51" s="122" t="s">
        <v>255</v>
      </c>
      <c r="G51" s="132" t="s">
        <v>253</v>
      </c>
      <c r="H51" s="125">
        <v>905</v>
      </c>
      <c r="I51" s="125">
        <v>54</v>
      </c>
      <c r="J51" s="126">
        <v>2</v>
      </c>
      <c r="K51" s="125" t="s">
        <v>56</v>
      </c>
      <c r="L51" s="95">
        <v>97740</v>
      </c>
      <c r="M51" s="95">
        <v>107514</v>
      </c>
      <c r="N51" s="56">
        <v>0</v>
      </c>
      <c r="O51" s="49" t="s">
        <v>254</v>
      </c>
      <c r="P51" s="59" t="s">
        <v>118</v>
      </c>
      <c r="Q51" s="67">
        <f t="shared" si="0"/>
        <v>995.5</v>
      </c>
    </row>
    <row r="52" spans="1:17" ht="18.75" customHeight="1">
      <c r="A52" s="122">
        <v>1090449</v>
      </c>
      <c r="B52" s="123">
        <v>128997</v>
      </c>
      <c r="C52" s="122" t="s">
        <v>59</v>
      </c>
      <c r="D52" s="124">
        <v>45826.981944444444</v>
      </c>
      <c r="E52" s="132" t="s">
        <v>19</v>
      </c>
      <c r="F52" s="122" t="s">
        <v>255</v>
      </c>
      <c r="G52" s="132" t="s">
        <v>253</v>
      </c>
      <c r="H52" s="125">
        <v>905</v>
      </c>
      <c r="I52" s="125">
        <v>54</v>
      </c>
      <c r="J52" s="126">
        <v>3</v>
      </c>
      <c r="K52" s="125" t="s">
        <v>56</v>
      </c>
      <c r="L52" s="95">
        <v>146610</v>
      </c>
      <c r="M52" s="95">
        <v>161271</v>
      </c>
      <c r="N52" s="56">
        <v>0</v>
      </c>
      <c r="O52" s="49" t="s">
        <v>254</v>
      </c>
      <c r="P52" s="59" t="s">
        <v>118</v>
      </c>
      <c r="Q52" s="67">
        <f t="shared" si="0"/>
        <v>995.5</v>
      </c>
    </row>
    <row r="53" spans="1:17" ht="18.75" customHeight="1">
      <c r="A53" s="122">
        <v>1090450</v>
      </c>
      <c r="B53" s="123">
        <v>128997</v>
      </c>
      <c r="C53" s="122" t="s">
        <v>59</v>
      </c>
      <c r="D53" s="124">
        <v>45826.981944444444</v>
      </c>
      <c r="E53" s="132" t="s">
        <v>19</v>
      </c>
      <c r="F53" s="122" t="s">
        <v>252</v>
      </c>
      <c r="G53" s="132" t="s">
        <v>253</v>
      </c>
      <c r="H53" s="125">
        <v>905</v>
      </c>
      <c r="I53" s="125">
        <v>54</v>
      </c>
      <c r="J53" s="126">
        <v>3</v>
      </c>
      <c r="K53" s="125" t="s">
        <v>56</v>
      </c>
      <c r="L53" s="95">
        <v>146610</v>
      </c>
      <c r="M53" s="95">
        <v>161271</v>
      </c>
      <c r="N53" s="56">
        <v>0</v>
      </c>
      <c r="O53" s="49" t="s">
        <v>254</v>
      </c>
      <c r="P53" s="59" t="s">
        <v>118</v>
      </c>
      <c r="Q53" s="67">
        <f t="shared" si="0"/>
        <v>995.5</v>
      </c>
    </row>
    <row r="54" spans="1:17" ht="18.75" customHeight="1">
      <c r="A54" s="122">
        <v>1068186</v>
      </c>
      <c r="B54" s="123">
        <v>127085</v>
      </c>
      <c r="C54" s="122" t="s">
        <v>59</v>
      </c>
      <c r="D54" s="124">
        <v>45810.651388888888</v>
      </c>
      <c r="E54" s="132" t="s">
        <v>22</v>
      </c>
      <c r="F54" s="122" t="s">
        <v>256</v>
      </c>
      <c r="G54" s="132" t="s">
        <v>257</v>
      </c>
      <c r="H54" s="125">
        <v>550</v>
      </c>
      <c r="I54" s="125">
        <v>84</v>
      </c>
      <c r="J54" s="126">
        <v>2</v>
      </c>
      <c r="K54" s="125" t="s">
        <v>56</v>
      </c>
      <c r="L54" s="95">
        <v>92400</v>
      </c>
      <c r="M54" s="95">
        <v>101640</v>
      </c>
      <c r="N54" s="56">
        <v>0</v>
      </c>
      <c r="O54" s="49" t="s">
        <v>258</v>
      </c>
      <c r="P54" s="59" t="s">
        <v>145</v>
      </c>
      <c r="Q54" s="67">
        <f t="shared" si="0"/>
        <v>605</v>
      </c>
    </row>
    <row r="55" spans="1:17" ht="18.75" customHeight="1">
      <c r="A55" s="122">
        <v>1068179</v>
      </c>
      <c r="B55" s="123">
        <v>127084</v>
      </c>
      <c r="C55" s="122" t="s">
        <v>59</v>
      </c>
      <c r="D55" s="124">
        <v>45810.65</v>
      </c>
      <c r="E55" s="132" t="s">
        <v>19</v>
      </c>
      <c r="F55" s="122" t="s">
        <v>256</v>
      </c>
      <c r="G55" s="132" t="s">
        <v>257</v>
      </c>
      <c r="H55" s="125">
        <v>550</v>
      </c>
      <c r="I55" s="125">
        <v>84</v>
      </c>
      <c r="J55" s="126">
        <v>1</v>
      </c>
      <c r="K55" s="125" t="s">
        <v>56</v>
      </c>
      <c r="L55" s="95">
        <v>46200</v>
      </c>
      <c r="M55" s="95">
        <v>50820</v>
      </c>
      <c r="N55" s="56">
        <v>0</v>
      </c>
      <c r="O55" s="49" t="s">
        <v>259</v>
      </c>
      <c r="P55" s="59" t="s">
        <v>145</v>
      </c>
      <c r="Q55" s="67">
        <f t="shared" si="0"/>
        <v>605</v>
      </c>
    </row>
    <row r="56" spans="1:17" ht="18.75" customHeight="1">
      <c r="A56" s="122">
        <v>1066568</v>
      </c>
      <c r="B56" s="123">
        <v>126807</v>
      </c>
      <c r="C56" s="122" t="s">
        <v>59</v>
      </c>
      <c r="D56" s="124">
        <v>45808.640277777777</v>
      </c>
      <c r="E56" s="132" t="s">
        <v>23</v>
      </c>
      <c r="F56" s="122" t="s">
        <v>260</v>
      </c>
      <c r="G56" s="132" t="s">
        <v>261</v>
      </c>
      <c r="H56" s="125">
        <v>1000</v>
      </c>
      <c r="I56" s="125">
        <v>60</v>
      </c>
      <c r="J56" s="126">
        <v>0.5</v>
      </c>
      <c r="K56" s="125" t="s">
        <v>56</v>
      </c>
      <c r="L56" s="95">
        <v>30000</v>
      </c>
      <c r="M56" s="95">
        <v>33000</v>
      </c>
      <c r="N56" s="56">
        <v>1000</v>
      </c>
      <c r="O56" s="49" t="s">
        <v>71</v>
      </c>
      <c r="P56" s="59" t="s">
        <v>262</v>
      </c>
      <c r="Q56" s="67">
        <f t="shared" si="0"/>
        <v>1136.6666666666667</v>
      </c>
    </row>
    <row r="57" spans="1:17" ht="18.75" customHeight="1">
      <c r="A57" s="122">
        <v>1051607</v>
      </c>
      <c r="B57" s="123">
        <v>125030</v>
      </c>
      <c r="C57" s="122" t="s">
        <v>59</v>
      </c>
      <c r="D57" s="124">
        <v>45792.522222222222</v>
      </c>
      <c r="E57" s="132" t="s">
        <v>19</v>
      </c>
      <c r="F57" s="122" t="s">
        <v>263</v>
      </c>
      <c r="G57" s="132" t="s">
        <v>264</v>
      </c>
      <c r="H57" s="125">
        <v>1000</v>
      </c>
      <c r="I57" s="125">
        <v>24</v>
      </c>
      <c r="J57" s="126">
        <v>1</v>
      </c>
      <c r="K57" s="125" t="s">
        <v>56</v>
      </c>
      <c r="L57" s="95">
        <v>24000</v>
      </c>
      <c r="M57" s="95">
        <v>26400</v>
      </c>
      <c r="N57" s="56">
        <v>3000</v>
      </c>
      <c r="O57" s="49" t="s">
        <v>161</v>
      </c>
      <c r="P57" s="59" t="s">
        <v>265</v>
      </c>
      <c r="Q57" s="67">
        <f t="shared" si="0"/>
        <v>1237.5</v>
      </c>
    </row>
    <row r="58" spans="1:17" ht="18.75" customHeight="1">
      <c r="A58" s="122">
        <v>1042615</v>
      </c>
      <c r="B58" s="123">
        <v>124241</v>
      </c>
      <c r="C58" s="122" t="s">
        <v>59</v>
      </c>
      <c r="D58" s="124">
        <v>45785.536111111112</v>
      </c>
      <c r="E58" s="132" t="s">
        <v>22</v>
      </c>
      <c r="F58" s="122" t="s">
        <v>266</v>
      </c>
      <c r="G58" s="132" t="s">
        <v>267</v>
      </c>
      <c r="H58" s="125">
        <v>1000</v>
      </c>
      <c r="I58" s="125">
        <v>60</v>
      </c>
      <c r="J58" s="126">
        <v>4</v>
      </c>
      <c r="K58" s="125" t="s">
        <v>56</v>
      </c>
      <c r="L58" s="95">
        <v>240000</v>
      </c>
      <c r="M58" s="95">
        <v>264000</v>
      </c>
      <c r="N58" s="56">
        <v>0</v>
      </c>
      <c r="O58" s="49" t="s">
        <v>71</v>
      </c>
      <c r="P58" s="59" t="s">
        <v>262</v>
      </c>
      <c r="Q58" s="67">
        <f t="shared" si="0"/>
        <v>1100</v>
      </c>
    </row>
    <row r="59" spans="1:17" ht="18.75" customHeight="1">
      <c r="A59" s="122">
        <v>1042616</v>
      </c>
      <c r="B59" s="123">
        <v>124241</v>
      </c>
      <c r="C59" s="122" t="s">
        <v>59</v>
      </c>
      <c r="D59" s="124">
        <v>45785.536111111112</v>
      </c>
      <c r="E59" s="132" t="s">
        <v>22</v>
      </c>
      <c r="F59" s="122" t="s">
        <v>268</v>
      </c>
      <c r="G59" s="132" t="s">
        <v>269</v>
      </c>
      <c r="H59" s="125">
        <v>1000</v>
      </c>
      <c r="I59" s="125">
        <v>60</v>
      </c>
      <c r="J59" s="126">
        <v>2</v>
      </c>
      <c r="K59" s="125" t="s">
        <v>56</v>
      </c>
      <c r="L59" s="95">
        <v>120000</v>
      </c>
      <c r="M59" s="95">
        <v>132000</v>
      </c>
      <c r="N59" s="56">
        <v>0</v>
      </c>
      <c r="O59" s="49" t="s">
        <v>71</v>
      </c>
      <c r="P59" s="59" t="s">
        <v>262</v>
      </c>
      <c r="Q59" s="67">
        <f t="shared" si="0"/>
        <v>1100</v>
      </c>
    </row>
    <row r="60" spans="1:17" ht="18.75" customHeight="1">
      <c r="A60" s="122">
        <v>1042614</v>
      </c>
      <c r="B60" s="123">
        <v>124240</v>
      </c>
      <c r="C60" s="122" t="s">
        <v>59</v>
      </c>
      <c r="D60" s="124">
        <v>45785.536111111112</v>
      </c>
      <c r="E60" s="132" t="s">
        <v>122</v>
      </c>
      <c r="F60" s="122" t="s">
        <v>266</v>
      </c>
      <c r="G60" s="132" t="s">
        <v>267</v>
      </c>
      <c r="H60" s="125">
        <v>1000</v>
      </c>
      <c r="I60" s="125">
        <v>60</v>
      </c>
      <c r="J60" s="126">
        <v>1</v>
      </c>
      <c r="K60" s="125" t="s">
        <v>56</v>
      </c>
      <c r="L60" s="95">
        <v>60000</v>
      </c>
      <c r="M60" s="95">
        <v>66000</v>
      </c>
      <c r="N60" s="56">
        <v>0</v>
      </c>
      <c r="O60" s="49" t="s">
        <v>71</v>
      </c>
      <c r="P60" s="59" t="s">
        <v>262</v>
      </c>
      <c r="Q60" s="67">
        <f t="shared" si="0"/>
        <v>1100</v>
      </c>
    </row>
    <row r="61" spans="1:17" ht="18.75" customHeight="1">
      <c r="A61" s="122">
        <v>1042613</v>
      </c>
      <c r="B61" s="123">
        <v>124240</v>
      </c>
      <c r="C61" s="122" t="s">
        <v>59</v>
      </c>
      <c r="D61" s="124">
        <v>45785.536111111112</v>
      </c>
      <c r="E61" s="132" t="s">
        <v>122</v>
      </c>
      <c r="F61" s="122" t="s">
        <v>268</v>
      </c>
      <c r="G61" s="132" t="s">
        <v>269</v>
      </c>
      <c r="H61" s="125">
        <v>1000</v>
      </c>
      <c r="I61" s="125">
        <v>60</v>
      </c>
      <c r="J61" s="126">
        <v>1</v>
      </c>
      <c r="K61" s="125" t="s">
        <v>56</v>
      </c>
      <c r="L61" s="95">
        <v>60000</v>
      </c>
      <c r="M61" s="95">
        <v>66000</v>
      </c>
      <c r="N61" s="56">
        <v>0</v>
      </c>
      <c r="O61" s="49" t="s">
        <v>71</v>
      </c>
      <c r="P61" s="59" t="s">
        <v>262</v>
      </c>
      <c r="Q61" s="67">
        <f t="shared" si="0"/>
        <v>1100</v>
      </c>
    </row>
    <row r="62" spans="1:17" ht="18.75" customHeight="1">
      <c r="A62" s="122">
        <v>1042611</v>
      </c>
      <c r="B62" s="123">
        <v>124239</v>
      </c>
      <c r="C62" s="122" t="s">
        <v>59</v>
      </c>
      <c r="D62" s="124">
        <v>45785.535416666666</v>
      </c>
      <c r="E62" s="132" t="s">
        <v>23</v>
      </c>
      <c r="F62" s="122" t="s">
        <v>266</v>
      </c>
      <c r="G62" s="132" t="s">
        <v>267</v>
      </c>
      <c r="H62" s="125">
        <v>1000</v>
      </c>
      <c r="I62" s="125">
        <v>60</v>
      </c>
      <c r="J62" s="126">
        <v>1</v>
      </c>
      <c r="K62" s="125" t="s">
        <v>56</v>
      </c>
      <c r="L62" s="95">
        <v>60000</v>
      </c>
      <c r="M62" s="95">
        <v>66000</v>
      </c>
      <c r="N62" s="56">
        <v>0</v>
      </c>
      <c r="O62" s="49" t="s">
        <v>71</v>
      </c>
      <c r="P62" s="59" t="s">
        <v>262</v>
      </c>
      <c r="Q62" s="67">
        <f t="shared" si="0"/>
        <v>1100</v>
      </c>
    </row>
    <row r="63" spans="1:17" ht="18.75" customHeight="1">
      <c r="A63" s="122">
        <v>1042612</v>
      </c>
      <c r="B63" s="123">
        <v>124239</v>
      </c>
      <c r="C63" s="122" t="s">
        <v>59</v>
      </c>
      <c r="D63" s="124">
        <v>45785.535416666666</v>
      </c>
      <c r="E63" s="132" t="s">
        <v>23</v>
      </c>
      <c r="F63" s="122" t="s">
        <v>268</v>
      </c>
      <c r="G63" s="132" t="s">
        <v>269</v>
      </c>
      <c r="H63" s="125">
        <v>1000</v>
      </c>
      <c r="I63" s="125">
        <v>60</v>
      </c>
      <c r="J63" s="126">
        <v>1</v>
      </c>
      <c r="K63" s="125" t="s">
        <v>56</v>
      </c>
      <c r="L63" s="95">
        <v>60000</v>
      </c>
      <c r="M63" s="95">
        <v>66000</v>
      </c>
      <c r="N63" s="56">
        <v>0</v>
      </c>
      <c r="O63" s="49" t="s">
        <v>71</v>
      </c>
      <c r="P63" s="59" t="s">
        <v>262</v>
      </c>
      <c r="Q63" s="67">
        <f t="shared" si="0"/>
        <v>1100</v>
      </c>
    </row>
    <row r="64" spans="1:17" ht="18.75" customHeight="1">
      <c r="A64" s="122">
        <v>1042610</v>
      </c>
      <c r="B64" s="123">
        <v>124238</v>
      </c>
      <c r="C64" s="122" t="s">
        <v>59</v>
      </c>
      <c r="D64" s="124">
        <v>45785.534722222219</v>
      </c>
      <c r="E64" s="132" t="s">
        <v>19</v>
      </c>
      <c r="F64" s="122" t="s">
        <v>266</v>
      </c>
      <c r="G64" s="132" t="s">
        <v>267</v>
      </c>
      <c r="H64" s="125">
        <v>1000</v>
      </c>
      <c r="I64" s="125">
        <v>60</v>
      </c>
      <c r="J64" s="126">
        <v>4</v>
      </c>
      <c r="K64" s="125" t="s">
        <v>56</v>
      </c>
      <c r="L64" s="95">
        <v>240000</v>
      </c>
      <c r="M64" s="95">
        <v>264000</v>
      </c>
      <c r="N64" s="56">
        <v>0</v>
      </c>
      <c r="O64" s="49" t="s">
        <v>71</v>
      </c>
      <c r="P64" s="59" t="s">
        <v>262</v>
      </c>
      <c r="Q64" s="67">
        <f t="shared" si="0"/>
        <v>1100</v>
      </c>
    </row>
    <row r="65" spans="1:17" ht="18.75" customHeight="1">
      <c r="A65" s="122">
        <v>1042609</v>
      </c>
      <c r="B65" s="123">
        <v>124238</v>
      </c>
      <c r="C65" s="122" t="s">
        <v>59</v>
      </c>
      <c r="D65" s="124">
        <v>45785.534722222219</v>
      </c>
      <c r="E65" s="132" t="s">
        <v>19</v>
      </c>
      <c r="F65" s="122" t="s">
        <v>268</v>
      </c>
      <c r="G65" s="132" t="s">
        <v>269</v>
      </c>
      <c r="H65" s="125">
        <v>1000</v>
      </c>
      <c r="I65" s="125">
        <v>60</v>
      </c>
      <c r="J65" s="126">
        <v>2</v>
      </c>
      <c r="K65" s="125" t="s">
        <v>56</v>
      </c>
      <c r="L65" s="95">
        <v>120000</v>
      </c>
      <c r="M65" s="95">
        <v>132000</v>
      </c>
      <c r="N65" s="56">
        <v>0</v>
      </c>
      <c r="O65" s="49" t="s">
        <v>71</v>
      </c>
      <c r="P65" s="59" t="s">
        <v>262</v>
      </c>
      <c r="Q65" s="67">
        <f t="shared" si="0"/>
        <v>1100</v>
      </c>
    </row>
    <row r="66" spans="1:17" ht="18.75" customHeight="1">
      <c r="A66" s="122">
        <v>1042608</v>
      </c>
      <c r="B66" s="123">
        <v>124238</v>
      </c>
      <c r="C66" s="122" t="s">
        <v>59</v>
      </c>
      <c r="D66" s="124">
        <v>45785.534722222219</v>
      </c>
      <c r="E66" s="96" t="s">
        <v>19</v>
      </c>
      <c r="F66" s="122" t="s">
        <v>270</v>
      </c>
      <c r="G66" s="96" t="s">
        <v>271</v>
      </c>
      <c r="H66" s="125">
        <v>1000</v>
      </c>
      <c r="I66" s="125">
        <v>60</v>
      </c>
      <c r="J66" s="126">
        <v>0.5</v>
      </c>
      <c r="K66" s="125" t="s">
        <v>56</v>
      </c>
      <c r="L66" s="95">
        <v>30000</v>
      </c>
      <c r="M66" s="95">
        <v>33000</v>
      </c>
      <c r="N66" s="56">
        <v>1000</v>
      </c>
      <c r="O66" s="49" t="s">
        <v>71</v>
      </c>
      <c r="P66" s="59" t="s">
        <v>262</v>
      </c>
      <c r="Q66" s="67">
        <f t="shared" si="0"/>
        <v>1136.6666666666667</v>
      </c>
    </row>
    <row r="67" spans="1:17" ht="18.75" customHeight="1">
      <c r="A67" s="122">
        <v>1035549</v>
      </c>
      <c r="B67" s="123">
        <v>123804</v>
      </c>
      <c r="C67" s="122" t="s">
        <v>59</v>
      </c>
      <c r="D67" s="124">
        <v>45781.791666666664</v>
      </c>
      <c r="E67" s="96" t="s">
        <v>22</v>
      </c>
      <c r="F67" s="122" t="s">
        <v>272</v>
      </c>
      <c r="G67" s="96" t="s">
        <v>273</v>
      </c>
      <c r="H67" s="125">
        <v>180</v>
      </c>
      <c r="I67" s="125">
        <v>40</v>
      </c>
      <c r="J67" s="126">
        <v>2</v>
      </c>
      <c r="K67" s="125" t="s">
        <v>107</v>
      </c>
      <c r="L67" s="95">
        <v>14400</v>
      </c>
      <c r="M67" s="95">
        <v>15840</v>
      </c>
      <c r="N67" s="56">
        <v>500</v>
      </c>
      <c r="O67" s="49" t="s">
        <v>274</v>
      </c>
      <c r="P67" s="59" t="s">
        <v>275</v>
      </c>
      <c r="Q67" s="67">
        <f t="shared" si="0"/>
        <v>204.875</v>
      </c>
    </row>
    <row r="68" spans="1:17" ht="18.75" customHeight="1">
      <c r="A68" s="122">
        <v>1022459</v>
      </c>
      <c r="B68" s="123">
        <v>122464</v>
      </c>
      <c r="C68" s="122" t="s">
        <v>59</v>
      </c>
      <c r="D68" s="124">
        <v>45768.943749999999</v>
      </c>
      <c r="E68" s="122" t="s">
        <v>122</v>
      </c>
      <c r="F68" s="122" t="s">
        <v>276</v>
      </c>
      <c r="G68" s="96" t="s">
        <v>277</v>
      </c>
      <c r="H68" s="125">
        <v>1000</v>
      </c>
      <c r="I68" s="125">
        <v>60</v>
      </c>
      <c r="J68" s="126">
        <v>1</v>
      </c>
      <c r="K68" s="125" t="s">
        <v>56</v>
      </c>
      <c r="L68" s="95">
        <v>60000</v>
      </c>
      <c r="M68" s="95">
        <v>66000</v>
      </c>
      <c r="N68" s="56">
        <v>0</v>
      </c>
      <c r="O68" s="49" t="s">
        <v>278</v>
      </c>
      <c r="P68" s="59" t="s">
        <v>279</v>
      </c>
      <c r="Q68" s="67">
        <f t="shared" ref="Q68:Q78" si="1">(M68+N68*1.1)/(I68*J68)</f>
        <v>1100</v>
      </c>
    </row>
    <row r="69" spans="1:17" ht="18.75" customHeight="1">
      <c r="A69" s="122">
        <v>1022458</v>
      </c>
      <c r="B69" s="123">
        <v>122463</v>
      </c>
      <c r="C69" s="122" t="s">
        <v>59</v>
      </c>
      <c r="D69" s="124">
        <v>45768.943749999999</v>
      </c>
      <c r="E69" s="122" t="s">
        <v>23</v>
      </c>
      <c r="F69" s="122" t="s">
        <v>276</v>
      </c>
      <c r="G69" s="96" t="s">
        <v>277</v>
      </c>
      <c r="H69" s="125">
        <v>1000</v>
      </c>
      <c r="I69" s="125">
        <v>60</v>
      </c>
      <c r="J69" s="126">
        <v>1</v>
      </c>
      <c r="K69" s="125" t="s">
        <v>56</v>
      </c>
      <c r="L69" s="95">
        <v>60000</v>
      </c>
      <c r="M69" s="95">
        <v>66000</v>
      </c>
      <c r="N69" s="56">
        <v>0</v>
      </c>
      <c r="O69" s="49" t="s">
        <v>278</v>
      </c>
      <c r="P69" s="59" t="s">
        <v>279</v>
      </c>
      <c r="Q69" s="67">
        <f t="shared" si="1"/>
        <v>1100</v>
      </c>
    </row>
    <row r="70" spans="1:17" ht="18.75" customHeight="1">
      <c r="A70" s="122">
        <v>1022457</v>
      </c>
      <c r="B70" s="123">
        <v>122462</v>
      </c>
      <c r="C70" s="122" t="s">
        <v>59</v>
      </c>
      <c r="D70" s="124">
        <v>45768.943055555559</v>
      </c>
      <c r="E70" s="132" t="s">
        <v>19</v>
      </c>
      <c r="F70" s="122" t="s">
        <v>276</v>
      </c>
      <c r="G70" s="96" t="s">
        <v>277</v>
      </c>
      <c r="H70" s="125">
        <v>1000</v>
      </c>
      <c r="I70" s="125">
        <v>60</v>
      </c>
      <c r="J70" s="126">
        <v>1</v>
      </c>
      <c r="K70" s="125" t="s">
        <v>56</v>
      </c>
      <c r="L70" s="95">
        <v>60000</v>
      </c>
      <c r="M70" s="95">
        <v>66000</v>
      </c>
      <c r="N70" s="56">
        <v>0</v>
      </c>
      <c r="O70" s="49" t="s">
        <v>278</v>
      </c>
      <c r="P70" s="59" t="s">
        <v>279</v>
      </c>
      <c r="Q70" s="67">
        <f t="shared" si="1"/>
        <v>1100</v>
      </c>
    </row>
    <row r="71" spans="1:17" ht="18.75" customHeight="1">
      <c r="A71" s="122">
        <v>1022441</v>
      </c>
      <c r="B71" s="123">
        <v>122459</v>
      </c>
      <c r="C71" s="122" t="s">
        <v>59</v>
      </c>
      <c r="D71" s="124">
        <v>45768.943055555559</v>
      </c>
      <c r="E71" s="132" t="s">
        <v>22</v>
      </c>
      <c r="F71" s="122" t="s">
        <v>276</v>
      </c>
      <c r="G71" s="96" t="s">
        <v>277</v>
      </c>
      <c r="H71" s="125">
        <v>1000</v>
      </c>
      <c r="I71" s="125">
        <v>60</v>
      </c>
      <c r="J71" s="126">
        <v>1</v>
      </c>
      <c r="K71" s="125" t="s">
        <v>56</v>
      </c>
      <c r="L71" s="95">
        <v>60000</v>
      </c>
      <c r="M71" s="95">
        <v>66000</v>
      </c>
      <c r="N71" s="56">
        <v>0</v>
      </c>
      <c r="O71" s="49" t="s">
        <v>278</v>
      </c>
      <c r="P71" s="59" t="s">
        <v>279</v>
      </c>
      <c r="Q71" s="67">
        <f t="shared" si="1"/>
        <v>1100</v>
      </c>
    </row>
    <row r="72" spans="1:17" ht="18.75" customHeight="1">
      <c r="A72" s="122">
        <v>1008545</v>
      </c>
      <c r="B72" s="123">
        <v>120818</v>
      </c>
      <c r="C72" s="122" t="s">
        <v>59</v>
      </c>
      <c r="D72" s="124">
        <v>45754.945833333331</v>
      </c>
      <c r="E72" s="132" t="s">
        <v>22</v>
      </c>
      <c r="F72" s="122" t="s">
        <v>280</v>
      </c>
      <c r="G72" s="132" t="s">
        <v>281</v>
      </c>
      <c r="H72" s="125">
        <v>680</v>
      </c>
      <c r="I72" s="125">
        <v>96</v>
      </c>
      <c r="J72" s="126">
        <v>2</v>
      </c>
      <c r="K72" s="125" t="s">
        <v>56</v>
      </c>
      <c r="L72" s="95">
        <v>130560</v>
      </c>
      <c r="M72" s="95">
        <v>143616</v>
      </c>
      <c r="N72" s="56">
        <v>0</v>
      </c>
      <c r="O72" s="49" t="s">
        <v>71</v>
      </c>
      <c r="P72" s="59" t="s">
        <v>282</v>
      </c>
      <c r="Q72" s="67">
        <f t="shared" si="1"/>
        <v>748</v>
      </c>
    </row>
    <row r="73" spans="1:17" ht="18.75" customHeight="1">
      <c r="A73" s="122"/>
      <c r="B73" s="123"/>
      <c r="C73" s="122"/>
      <c r="D73" s="124"/>
      <c r="E73" s="96"/>
      <c r="F73" s="122"/>
      <c r="G73" s="96"/>
      <c r="H73" s="125"/>
      <c r="I73" s="125"/>
      <c r="J73" s="126"/>
      <c r="K73" s="125"/>
      <c r="L73" s="95"/>
      <c r="M73" s="95">
        <f t="shared" ref="M73:M76" si="2">L73*1.1</f>
        <v>0</v>
      </c>
      <c r="N73" s="56"/>
      <c r="O73" s="49"/>
      <c r="P73" s="59"/>
      <c r="Q73" s="67" t="e">
        <f t="shared" ref="Q73:Q76" si="3">(M73+N73*1.1)/(I73*J73)</f>
        <v>#DIV/0!</v>
      </c>
    </row>
    <row r="74" spans="1:17" ht="18.75" customHeight="1">
      <c r="A74" s="122"/>
      <c r="B74" s="123"/>
      <c r="C74" s="122"/>
      <c r="D74" s="124"/>
      <c r="E74" s="96"/>
      <c r="F74" s="122"/>
      <c r="G74" s="96"/>
      <c r="H74" s="125"/>
      <c r="I74" s="125"/>
      <c r="J74" s="126"/>
      <c r="K74" s="125"/>
      <c r="L74" s="95"/>
      <c r="M74" s="95">
        <f t="shared" si="2"/>
        <v>0</v>
      </c>
      <c r="N74" s="56"/>
      <c r="O74" s="49"/>
      <c r="P74" s="59"/>
      <c r="Q74" s="67" t="e">
        <f t="shared" si="3"/>
        <v>#DIV/0!</v>
      </c>
    </row>
    <row r="75" spans="1:17" ht="18.75" customHeight="1">
      <c r="A75" s="122"/>
      <c r="B75" s="123"/>
      <c r="C75" s="122"/>
      <c r="D75" s="124"/>
      <c r="E75" s="96"/>
      <c r="F75" s="122"/>
      <c r="G75" s="96"/>
      <c r="H75" s="125"/>
      <c r="I75" s="125"/>
      <c r="J75" s="126"/>
      <c r="K75" s="125"/>
      <c r="L75" s="95"/>
      <c r="M75" s="95">
        <f t="shared" si="2"/>
        <v>0</v>
      </c>
      <c r="N75" s="56"/>
      <c r="O75" s="49"/>
      <c r="P75" s="59"/>
      <c r="Q75" s="67" t="e">
        <f t="shared" si="3"/>
        <v>#DIV/0!</v>
      </c>
    </row>
    <row r="76" spans="1:17" ht="18.75" customHeight="1">
      <c r="A76" s="122"/>
      <c r="B76" s="123"/>
      <c r="C76" s="122"/>
      <c r="D76" s="124"/>
      <c r="E76" s="96"/>
      <c r="F76" s="122"/>
      <c r="G76" s="96"/>
      <c r="H76" s="125"/>
      <c r="I76" s="125"/>
      <c r="J76" s="126"/>
      <c r="K76" s="125"/>
      <c r="L76" s="95"/>
      <c r="M76" s="95">
        <f t="shared" si="2"/>
        <v>0</v>
      </c>
      <c r="N76" s="56"/>
      <c r="O76" s="49"/>
      <c r="P76" s="59"/>
      <c r="Q76" s="67" t="e">
        <f t="shared" si="3"/>
        <v>#DIV/0!</v>
      </c>
    </row>
    <row r="77" spans="1:17" ht="18.75" customHeight="1">
      <c r="A77" s="122"/>
      <c r="B77" s="123"/>
      <c r="C77" s="122"/>
      <c r="D77" s="124"/>
      <c r="E77" s="96"/>
      <c r="F77" s="122"/>
      <c r="G77" s="96"/>
      <c r="H77" s="125"/>
      <c r="I77" s="125"/>
      <c r="J77" s="126"/>
      <c r="K77" s="125"/>
      <c r="L77" s="95"/>
      <c r="M77" s="95">
        <f t="shared" ref="M77:M78" si="4">L77*1.1</f>
        <v>0</v>
      </c>
      <c r="N77" s="56"/>
      <c r="O77" s="49"/>
      <c r="P77" s="59"/>
      <c r="Q77" s="67" t="e">
        <f t="shared" si="1"/>
        <v>#DIV/0!</v>
      </c>
    </row>
    <row r="78" spans="1:17" ht="18.75" customHeight="1">
      <c r="A78" s="122"/>
      <c r="B78" s="123"/>
      <c r="C78" s="122"/>
      <c r="D78" s="124"/>
      <c r="E78" s="96"/>
      <c r="F78" s="122"/>
      <c r="G78" s="96"/>
      <c r="H78" s="125"/>
      <c r="I78" s="125"/>
      <c r="J78" s="126"/>
      <c r="K78" s="125"/>
      <c r="L78" s="95"/>
      <c r="M78" s="95">
        <f t="shared" si="4"/>
        <v>0</v>
      </c>
      <c r="N78" s="56"/>
      <c r="O78" s="49"/>
      <c r="P78" s="59"/>
      <c r="Q78" s="67" t="e">
        <f t="shared" si="1"/>
        <v>#DIV/0!</v>
      </c>
    </row>
    <row r="79" spans="1:17" ht="18.75" customHeight="1">
      <c r="A79" s="122"/>
      <c r="B79" s="123"/>
      <c r="C79" s="122"/>
      <c r="D79" s="124"/>
      <c r="E79" s="96"/>
      <c r="F79" s="122"/>
      <c r="G79" s="96"/>
      <c r="H79" s="125"/>
      <c r="I79" s="125"/>
      <c r="J79" s="126"/>
      <c r="K79" s="125"/>
      <c r="L79" s="95"/>
      <c r="M79" s="95">
        <f t="shared" ref="M79:M80" si="5">L79*1.1</f>
        <v>0</v>
      </c>
      <c r="N79" s="56"/>
      <c r="O79" s="49"/>
      <c r="P79" s="59"/>
      <c r="Q79" s="67" t="e">
        <f t="shared" ref="Q79:Q81" si="6">(M79+N79*1.1)/(I79*J79)</f>
        <v>#DIV/0!</v>
      </c>
    </row>
    <row r="80" spans="1:17" ht="18.75" customHeight="1">
      <c r="A80" s="122"/>
      <c r="B80" s="123"/>
      <c r="C80" s="122"/>
      <c r="D80" s="124"/>
      <c r="E80" s="96"/>
      <c r="F80" s="122"/>
      <c r="G80" s="96"/>
      <c r="H80" s="125"/>
      <c r="I80" s="125"/>
      <c r="J80" s="126"/>
      <c r="K80" s="125"/>
      <c r="L80" s="95"/>
      <c r="M80" s="95">
        <f t="shared" si="5"/>
        <v>0</v>
      </c>
      <c r="N80" s="56"/>
      <c r="O80" s="49"/>
      <c r="P80" s="59"/>
      <c r="Q80" s="67" t="e">
        <f t="shared" si="6"/>
        <v>#DIV/0!</v>
      </c>
    </row>
    <row r="81" spans="1:17" ht="18.75" customHeight="1">
      <c r="A81" s="11"/>
      <c r="B81" s="68"/>
      <c r="C81" s="12"/>
      <c r="D81" s="69"/>
      <c r="E81" s="12"/>
      <c r="F81" s="12"/>
      <c r="G81" s="70"/>
      <c r="H81" s="71"/>
      <c r="I81" s="71"/>
      <c r="J81" s="72"/>
      <c r="K81" s="71"/>
      <c r="L81" s="73"/>
      <c r="M81" s="73">
        <f>SUM(M3:N80)</f>
        <v>4831970</v>
      </c>
      <c r="N81" s="74"/>
      <c r="O81" s="11"/>
      <c r="P81" s="75"/>
      <c r="Q81" s="74" t="e">
        <f t="shared" si="6"/>
        <v>#DIV/0!</v>
      </c>
    </row>
    <row r="82" spans="1:17" ht="18.75" customHeight="1">
      <c r="A82" s="151" t="s">
        <v>150</v>
      </c>
      <c r="B82" s="123"/>
      <c r="C82" s="122"/>
      <c r="D82" s="124"/>
      <c r="E82" s="96"/>
      <c r="F82" s="122"/>
      <c r="G82" s="96"/>
      <c r="H82" s="125"/>
      <c r="I82" s="125"/>
      <c r="J82" s="126"/>
      <c r="K82" s="125"/>
      <c r="L82" s="95"/>
      <c r="M82" s="95">
        <f>L82*1.1</f>
        <v>0</v>
      </c>
      <c r="N82" s="56"/>
      <c r="O82" s="49"/>
      <c r="P82" s="59"/>
      <c r="Q82" s="97"/>
    </row>
    <row r="83" spans="1:17" ht="18.75" customHeight="1">
      <c r="A83" s="122"/>
      <c r="B83" s="123"/>
      <c r="C83" s="122"/>
      <c r="D83" s="124"/>
      <c r="E83" s="96"/>
      <c r="F83" s="122"/>
      <c r="G83" s="96"/>
      <c r="H83" s="125"/>
      <c r="I83" s="125"/>
      <c r="J83" s="126"/>
      <c r="K83" s="125"/>
      <c r="L83" s="95"/>
      <c r="M83" s="95">
        <f>L83*1.1</f>
        <v>0</v>
      </c>
      <c r="N83" s="56"/>
      <c r="O83" s="49"/>
      <c r="P83" s="59"/>
      <c r="Q83" s="97"/>
    </row>
    <row r="84" spans="1:17" ht="18.75" customHeight="1">
      <c r="A84" s="122"/>
      <c r="B84" s="123"/>
      <c r="C84" s="122"/>
      <c r="D84" s="124"/>
      <c r="E84" s="96"/>
      <c r="F84" s="122"/>
      <c r="G84" s="96"/>
      <c r="H84" s="125"/>
      <c r="I84" s="125"/>
      <c r="J84" s="126"/>
      <c r="K84" s="125"/>
      <c r="L84" s="95"/>
      <c r="M84" s="95">
        <f>L84*1.1</f>
        <v>0</v>
      </c>
      <c r="N84" s="56"/>
      <c r="O84" s="49"/>
      <c r="P84" s="59"/>
      <c r="Q84" s="97"/>
    </row>
    <row r="85" spans="1:17" ht="18.75" customHeight="1">
      <c r="A85" s="122"/>
      <c r="B85" s="123"/>
      <c r="C85" s="122"/>
      <c r="D85" s="124"/>
      <c r="E85" s="96"/>
      <c r="F85" s="122"/>
      <c r="G85" s="96"/>
      <c r="H85" s="125"/>
      <c r="I85" s="125"/>
      <c r="J85" s="126"/>
      <c r="K85" s="125"/>
      <c r="L85" s="95"/>
      <c r="M85" s="95">
        <f t="shared" ref="M85:M86" si="7">L85*1.1</f>
        <v>0</v>
      </c>
      <c r="N85" s="56"/>
      <c r="O85" s="49"/>
      <c r="P85" s="59"/>
      <c r="Q85" s="97"/>
    </row>
    <row r="86" spans="1:17" ht="18.75" customHeight="1">
      <c r="A86" s="122"/>
      <c r="B86" s="123"/>
      <c r="C86" s="122"/>
      <c r="D86" s="124"/>
      <c r="E86" s="96"/>
      <c r="F86" s="122"/>
      <c r="G86" s="96"/>
      <c r="H86" s="125"/>
      <c r="I86" s="125"/>
      <c r="J86" s="126"/>
      <c r="K86" s="125"/>
      <c r="L86" s="95"/>
      <c r="M86" s="95">
        <f t="shared" si="7"/>
        <v>0</v>
      </c>
      <c r="N86" s="56"/>
      <c r="O86" s="49"/>
      <c r="P86" s="59"/>
      <c r="Q86" s="97"/>
    </row>
    <row r="87" spans="1:17" ht="18.75" customHeight="1">
      <c r="A87" s="11"/>
      <c r="B87" s="68"/>
      <c r="C87" s="12"/>
      <c r="D87" s="69"/>
      <c r="E87" s="12"/>
      <c r="F87" s="12"/>
      <c r="G87" s="70"/>
      <c r="H87" s="71"/>
      <c r="I87" s="71"/>
      <c r="J87" s="72"/>
      <c r="K87" s="71"/>
      <c r="L87" s="73"/>
      <c r="M87" s="73"/>
      <c r="N87" s="74"/>
      <c r="O87" s="11"/>
      <c r="P87" s="75"/>
      <c r="Q87" s="74"/>
    </row>
    <row r="88" spans="1:17" ht="18.75" customHeight="1">
      <c r="A88" s="122" t="s">
        <v>29</v>
      </c>
      <c r="B88" s="123"/>
      <c r="C88" s="122"/>
      <c r="D88" s="124"/>
      <c r="E88" s="96"/>
      <c r="F88" s="122"/>
      <c r="G88" s="96"/>
      <c r="H88" s="125"/>
      <c r="I88" s="125"/>
      <c r="J88" s="126"/>
      <c r="K88" s="125"/>
      <c r="L88" s="95"/>
      <c r="M88" s="95">
        <f>L88*1.1</f>
        <v>0</v>
      </c>
      <c r="N88" s="56"/>
      <c r="O88" s="49"/>
      <c r="P88" s="59"/>
      <c r="Q88" s="97"/>
    </row>
    <row r="89" spans="1:17" ht="18.75" customHeight="1">
      <c r="A89" s="122"/>
      <c r="B89" s="123"/>
      <c r="C89" s="122"/>
      <c r="D89" s="124"/>
      <c r="E89" s="96"/>
      <c r="F89" s="122"/>
      <c r="G89" s="96"/>
      <c r="H89" s="125"/>
      <c r="I89" s="125"/>
      <c r="J89" s="126"/>
      <c r="K89" s="125"/>
      <c r="L89" s="95"/>
      <c r="M89" s="95">
        <f>L89*1.1</f>
        <v>0</v>
      </c>
      <c r="N89" s="56"/>
      <c r="O89" s="49"/>
      <c r="P89" s="59"/>
      <c r="Q89" s="97"/>
    </row>
    <row r="90" spans="1:17" ht="18.75" customHeight="1">
      <c r="A90" s="122"/>
      <c r="B90" s="123"/>
      <c r="C90" s="122"/>
      <c r="D90" s="124"/>
      <c r="E90" s="96"/>
      <c r="F90" s="122"/>
      <c r="G90" s="96"/>
      <c r="H90" s="125"/>
      <c r="I90" s="125"/>
      <c r="J90" s="126"/>
      <c r="K90" s="125"/>
      <c r="L90" s="95"/>
      <c r="M90" s="95">
        <f>L90*1.1</f>
        <v>0</v>
      </c>
      <c r="N90" s="56"/>
      <c r="O90" s="49"/>
      <c r="P90" s="59"/>
      <c r="Q90" s="97"/>
    </row>
    <row r="91" spans="1:17" ht="18.75" customHeight="1">
      <c r="A91" s="122"/>
      <c r="B91" s="123"/>
      <c r="C91" s="122"/>
      <c r="D91" s="124"/>
      <c r="E91" s="96"/>
      <c r="F91" s="122"/>
      <c r="G91" s="96"/>
      <c r="H91" s="125"/>
      <c r="I91" s="125"/>
      <c r="J91" s="126"/>
      <c r="K91" s="125"/>
      <c r="L91" s="95"/>
      <c r="M91" s="95">
        <f t="shared" ref="M91:M92" si="8">L91*1.1</f>
        <v>0</v>
      </c>
      <c r="N91" s="56"/>
      <c r="O91" s="49"/>
      <c r="P91" s="59"/>
      <c r="Q91" s="97"/>
    </row>
    <row r="92" spans="1:17" ht="18.75" customHeight="1">
      <c r="A92" s="122"/>
      <c r="B92" s="123"/>
      <c r="C92" s="122"/>
      <c r="D92" s="124"/>
      <c r="E92" s="96"/>
      <c r="F92" s="122"/>
      <c r="G92" s="96"/>
      <c r="H92" s="125"/>
      <c r="I92" s="125"/>
      <c r="J92" s="126"/>
      <c r="K92" s="125"/>
      <c r="L92" s="95"/>
      <c r="M92" s="95">
        <f t="shared" si="8"/>
        <v>0</v>
      </c>
      <c r="N92" s="56"/>
      <c r="O92" s="49"/>
      <c r="P92" s="59"/>
      <c r="Q92" s="97"/>
    </row>
    <row r="93" spans="1:17" ht="18.75" customHeight="1">
      <c r="A93" s="12"/>
      <c r="B93" s="68"/>
      <c r="C93" s="12"/>
      <c r="D93" s="69"/>
      <c r="E93" s="12"/>
      <c r="F93" s="12"/>
      <c r="G93" s="70"/>
      <c r="H93" s="71"/>
      <c r="I93" s="71"/>
      <c r="J93" s="72"/>
      <c r="K93" s="71"/>
      <c r="L93" s="73"/>
      <c r="M93" s="73">
        <f>SUM(M88:N92)</f>
        <v>0</v>
      </c>
      <c r="N93" s="74"/>
      <c r="O93" s="11"/>
      <c r="P93" s="75"/>
      <c r="Q93" s="74"/>
    </row>
    <row r="94" spans="1:17" ht="18.75" customHeight="1">
      <c r="A94" s="12"/>
      <c r="B94" s="68"/>
      <c r="C94" s="12"/>
      <c r="D94" s="69"/>
      <c r="E94" s="12"/>
      <c r="F94" s="12"/>
      <c r="G94" s="70"/>
      <c r="H94" s="71"/>
      <c r="I94" s="71"/>
      <c r="J94" s="72"/>
      <c r="K94" s="71"/>
      <c r="L94" s="73"/>
      <c r="M94" s="73"/>
      <c r="N94" s="74"/>
      <c r="O94" s="11"/>
      <c r="P94" s="75"/>
      <c r="Q94" s="74"/>
    </row>
    <row r="95" spans="1:17" ht="18.75" customHeight="1">
      <c r="A95" s="151" t="s">
        <v>30</v>
      </c>
      <c r="B95" s="123"/>
      <c r="C95" s="122"/>
      <c r="D95" s="124"/>
      <c r="E95" s="96"/>
      <c r="F95" s="122"/>
      <c r="G95" s="96"/>
      <c r="H95" s="125"/>
      <c r="I95" s="125"/>
      <c r="J95" s="126"/>
      <c r="K95" s="125"/>
      <c r="L95" s="95"/>
      <c r="M95" s="95">
        <f>L95*1.1</f>
        <v>0</v>
      </c>
      <c r="N95" s="56"/>
      <c r="O95" s="49"/>
      <c r="P95" s="59"/>
      <c r="Q95" s="97"/>
    </row>
    <row r="96" spans="1:17" ht="18.75" customHeight="1">
      <c r="A96" s="122"/>
      <c r="B96" s="123"/>
      <c r="C96" s="122"/>
      <c r="D96" s="124"/>
      <c r="E96" s="96"/>
      <c r="F96" s="122"/>
      <c r="G96" s="96"/>
      <c r="H96" s="125"/>
      <c r="I96" s="125"/>
      <c r="J96" s="126"/>
      <c r="K96" s="125"/>
      <c r="L96" s="95"/>
      <c r="M96" s="95">
        <f>L96*1.1</f>
        <v>0</v>
      </c>
      <c r="N96" s="56"/>
      <c r="O96" s="49"/>
      <c r="P96" s="59"/>
      <c r="Q96" s="97"/>
    </row>
    <row r="97" spans="1:17" ht="18.75" customHeight="1">
      <c r="A97" s="122"/>
      <c r="B97" s="123"/>
      <c r="C97" s="122"/>
      <c r="D97" s="124"/>
      <c r="E97" s="96"/>
      <c r="F97" s="122"/>
      <c r="G97" s="96"/>
      <c r="H97" s="125"/>
      <c r="I97" s="125"/>
      <c r="J97" s="126"/>
      <c r="K97" s="125"/>
      <c r="L97" s="95"/>
      <c r="M97" s="95">
        <f>L97*1.1</f>
        <v>0</v>
      </c>
      <c r="N97" s="56"/>
      <c r="O97" s="49"/>
      <c r="P97" s="59"/>
      <c r="Q97" s="97"/>
    </row>
    <row r="98" spans="1:17" ht="18.75" customHeight="1">
      <c r="A98" s="122"/>
      <c r="B98" s="123"/>
      <c r="C98" s="122"/>
      <c r="D98" s="124"/>
      <c r="E98" s="96"/>
      <c r="F98" s="122"/>
      <c r="G98" s="96"/>
      <c r="H98" s="125"/>
      <c r="I98" s="125"/>
      <c r="J98" s="126"/>
      <c r="K98" s="125"/>
      <c r="L98" s="95"/>
      <c r="M98" s="95">
        <f t="shared" ref="M98:M99" si="9">L98*1.1</f>
        <v>0</v>
      </c>
      <c r="N98" s="56"/>
      <c r="O98" s="49"/>
      <c r="P98" s="59"/>
      <c r="Q98" s="97"/>
    </row>
    <row r="99" spans="1:17" ht="18.75" customHeight="1">
      <c r="A99" s="122"/>
      <c r="B99" s="123"/>
      <c r="C99" s="122"/>
      <c r="D99" s="124"/>
      <c r="E99" s="96"/>
      <c r="F99" s="122"/>
      <c r="G99" s="96"/>
      <c r="H99" s="125"/>
      <c r="I99" s="125"/>
      <c r="J99" s="126"/>
      <c r="K99" s="125"/>
      <c r="L99" s="95"/>
      <c r="M99" s="95">
        <f t="shared" si="9"/>
        <v>0</v>
      </c>
      <c r="N99" s="56"/>
      <c r="O99" s="49"/>
      <c r="P99" s="59"/>
      <c r="Q99" s="97"/>
    </row>
    <row r="100" spans="1:17" ht="18.75" customHeight="1">
      <c r="A100" s="11"/>
      <c r="B100" s="127"/>
      <c r="C100" s="11"/>
      <c r="D100" s="128"/>
      <c r="E100" s="11"/>
      <c r="F100" s="11"/>
      <c r="G100" s="70"/>
      <c r="H100" s="11"/>
      <c r="I100" s="11"/>
      <c r="J100" s="129"/>
      <c r="K100" s="11"/>
      <c r="L100" s="74"/>
      <c r="M100" s="73">
        <f>SUM(M95:N99)</f>
        <v>0</v>
      </c>
      <c r="N100" s="74"/>
      <c r="O100" s="11"/>
      <c r="P100" s="75"/>
      <c r="Q100" s="74"/>
    </row>
    <row r="101" spans="1:17" s="40" customFormat="1" ht="18.75" customHeight="1">
      <c r="A101"/>
      <c r="B101" s="31"/>
      <c r="C101"/>
      <c r="D101" s="25"/>
      <c r="E101"/>
      <c r="F101"/>
      <c r="G101" s="33"/>
      <c r="H101"/>
      <c r="I101"/>
      <c r="J101" s="65"/>
      <c r="K101"/>
      <c r="O101"/>
      <c r="P101" s="58"/>
    </row>
    <row r="102" spans="1:17" ht="18.75" customHeight="1">
      <c r="A102" s="151" t="s">
        <v>31</v>
      </c>
      <c r="B102" s="123"/>
      <c r="C102" s="122"/>
      <c r="D102" s="124"/>
      <c r="E102" s="96"/>
      <c r="F102" s="122"/>
      <c r="G102" s="96"/>
      <c r="H102" s="125"/>
      <c r="I102" s="125"/>
      <c r="J102" s="126"/>
      <c r="K102" s="175"/>
      <c r="L102" s="95"/>
      <c r="M102" s="95">
        <f>L102*1.1</f>
        <v>0</v>
      </c>
      <c r="N102" s="56"/>
      <c r="O102" s="49"/>
      <c r="P102" s="59"/>
      <c r="Q102" s="67" t="e">
        <f t="shared" ref="Q102:Q107" si="10">(M102+N102*1.1)/(I102*J102)</f>
        <v>#DIV/0!</v>
      </c>
    </row>
    <row r="103" spans="1:17" ht="18.75" customHeight="1">
      <c r="A103" s="122"/>
      <c r="B103" s="123"/>
      <c r="C103" s="122"/>
      <c r="D103" s="124"/>
      <c r="E103" s="132"/>
      <c r="F103" s="122"/>
      <c r="G103" s="96"/>
      <c r="H103" s="125"/>
      <c r="I103" s="125"/>
      <c r="J103" s="126"/>
      <c r="K103" s="175"/>
      <c r="L103" s="95"/>
      <c r="M103" s="95">
        <f>L103*1.1</f>
        <v>0</v>
      </c>
      <c r="N103" s="56"/>
      <c r="O103" s="49"/>
      <c r="P103" s="59"/>
      <c r="Q103" s="67" t="e">
        <f t="shared" si="10"/>
        <v>#DIV/0!</v>
      </c>
    </row>
    <row r="104" spans="1:17" ht="18.75" customHeight="1">
      <c r="A104" s="122"/>
      <c r="B104" s="123"/>
      <c r="C104" s="122"/>
      <c r="D104" s="124"/>
      <c r="E104" s="132"/>
      <c r="F104" s="122"/>
      <c r="G104" s="96"/>
      <c r="H104" s="125"/>
      <c r="I104" s="125"/>
      <c r="J104" s="126"/>
      <c r="K104" s="175"/>
      <c r="L104" s="95"/>
      <c r="M104" s="95">
        <f>L104*1.1</f>
        <v>0</v>
      </c>
      <c r="N104" s="56"/>
      <c r="O104" s="49"/>
      <c r="P104" s="59"/>
      <c r="Q104" s="67" t="e">
        <f t="shared" si="10"/>
        <v>#DIV/0!</v>
      </c>
    </row>
    <row r="105" spans="1:17" ht="18.75" customHeight="1">
      <c r="A105" s="122"/>
      <c r="B105" s="123"/>
      <c r="C105" s="122"/>
      <c r="D105" s="124"/>
      <c r="F105" s="122"/>
      <c r="G105" s="96"/>
      <c r="H105" s="125"/>
      <c r="I105" s="125"/>
      <c r="J105" s="126"/>
      <c r="K105" s="175"/>
      <c r="L105" s="95"/>
      <c r="M105" s="95">
        <f t="shared" ref="M105:M106" si="11">L105*1.1</f>
        <v>0</v>
      </c>
      <c r="N105" s="56"/>
      <c r="O105" s="49"/>
      <c r="P105" s="59"/>
      <c r="Q105" s="67" t="e">
        <f t="shared" si="10"/>
        <v>#DIV/0!</v>
      </c>
    </row>
    <row r="106" spans="1:17" ht="18.75" customHeight="1">
      <c r="A106" s="122"/>
      <c r="B106" s="123"/>
      <c r="C106" s="122"/>
      <c r="D106" s="124"/>
      <c r="E106" s="96"/>
      <c r="F106" s="122"/>
      <c r="G106" s="96"/>
      <c r="H106" s="125"/>
      <c r="I106" s="125"/>
      <c r="J106" s="126"/>
      <c r="K106" s="125"/>
      <c r="L106" s="95"/>
      <c r="M106" s="95">
        <f t="shared" si="11"/>
        <v>0</v>
      </c>
      <c r="N106" s="56"/>
      <c r="O106" s="49"/>
      <c r="P106" s="59"/>
      <c r="Q106" s="67" t="e">
        <f t="shared" si="10"/>
        <v>#DIV/0!</v>
      </c>
    </row>
    <row r="107" spans="1:17" s="40" customFormat="1" ht="18.75" customHeight="1">
      <c r="A107"/>
      <c r="B107" s="31"/>
      <c r="C107"/>
      <c r="D107" s="25"/>
      <c r="E107"/>
      <c r="F107"/>
      <c r="G107" s="33"/>
      <c r="H107"/>
      <c r="I107"/>
      <c r="J107" s="65"/>
      <c r="K107"/>
      <c r="M107" s="73">
        <f>SUM(M102:N106)</f>
        <v>0</v>
      </c>
      <c r="O107"/>
      <c r="P107" s="58"/>
      <c r="Q107" s="40" t="e">
        <f t="shared" si="10"/>
        <v>#DIV/0!</v>
      </c>
    </row>
    <row r="108" spans="1:17" s="40" customFormat="1" ht="18.75" customHeight="1">
      <c r="A108"/>
      <c r="B108" s="26"/>
      <c r="C108" s="1"/>
      <c r="D108" s="20"/>
      <c r="E108" s="1"/>
      <c r="F108" s="1"/>
      <c r="G108" s="32"/>
      <c r="H108" s="2"/>
      <c r="I108" s="2"/>
      <c r="J108" s="60"/>
      <c r="K108" s="2"/>
      <c r="L108" s="34"/>
      <c r="M108" s="34"/>
      <c r="O108"/>
      <c r="P108" s="58"/>
    </row>
    <row r="109" spans="1:17" s="40" customFormat="1" ht="18.75" customHeight="1">
      <c r="A109"/>
      <c r="B109" s="26"/>
      <c r="C109" s="1"/>
      <c r="D109" s="20"/>
      <c r="E109" s="1"/>
      <c r="F109" s="1"/>
      <c r="G109" s="32"/>
      <c r="H109" s="2"/>
      <c r="I109" s="2"/>
      <c r="J109" s="60"/>
      <c r="K109" s="2"/>
      <c r="L109" s="34"/>
      <c r="O109"/>
      <c r="P109" s="58"/>
    </row>
    <row r="110" spans="1:17" s="40" customFormat="1" ht="18.75" customHeight="1">
      <c r="A110"/>
      <c r="B110" s="26"/>
      <c r="C110" s="1"/>
      <c r="D110" s="20"/>
      <c r="E110" s="1"/>
      <c r="F110" s="1"/>
      <c r="G110" s="32"/>
      <c r="H110" s="2"/>
      <c r="I110" s="2"/>
      <c r="J110" s="60"/>
      <c r="K110" s="2"/>
      <c r="L110" s="34"/>
      <c r="M110" s="34"/>
      <c r="O110"/>
      <c r="P110" s="58"/>
    </row>
    <row r="111" spans="1:17" s="40" customFormat="1" ht="18.75" customHeight="1">
      <c r="A111"/>
      <c r="B111" s="26"/>
      <c r="C111" s="1"/>
      <c r="D111" s="20"/>
      <c r="E111" s="1"/>
      <c r="F111" s="1"/>
      <c r="G111" s="32"/>
      <c r="H111" s="2"/>
      <c r="I111" s="2"/>
      <c r="J111" s="60"/>
      <c r="K111" s="2"/>
      <c r="L111" s="34"/>
      <c r="M111" s="149">
        <f>M47+M68+M81+M93+M100+M107</f>
        <v>4951727</v>
      </c>
      <c r="O111"/>
      <c r="P111" s="58"/>
    </row>
    <row r="112" spans="1:17" s="40" customFormat="1" ht="18.75" customHeight="1">
      <c r="A112"/>
      <c r="B112" s="26"/>
      <c r="C112" s="1"/>
      <c r="D112" s="20"/>
      <c r="E112" s="1"/>
      <c r="F112" s="1"/>
      <c r="G112" s="32"/>
      <c r="H112" s="2"/>
      <c r="I112" s="2"/>
      <c r="J112" s="60"/>
      <c r="K112" s="2"/>
      <c r="L112" s="34"/>
      <c r="M112" s="34"/>
      <c r="O112"/>
      <c r="P112" s="58"/>
    </row>
    <row r="113" spans="1:16" s="40" customFormat="1" ht="18.75" customHeight="1">
      <c r="A113"/>
      <c r="B113" s="26"/>
      <c r="C113" s="1"/>
      <c r="D113" s="20"/>
      <c r="E113" s="1"/>
      <c r="F113" s="1"/>
      <c r="G113" s="32"/>
      <c r="H113" s="2"/>
      <c r="I113" s="2"/>
      <c r="J113" s="60"/>
      <c r="K113" s="2"/>
      <c r="L113" s="34"/>
      <c r="M113" s="34"/>
      <c r="N113" s="176"/>
      <c r="O113"/>
      <c r="P113" s="58"/>
    </row>
    <row r="114" spans="1:16" s="40" customFormat="1" ht="18.75" customHeight="1">
      <c r="A114"/>
      <c r="B114" s="26"/>
      <c r="C114" s="1"/>
      <c r="D114" s="20"/>
      <c r="E114" s="1"/>
      <c r="F114" s="1"/>
      <c r="G114" s="32"/>
      <c r="H114" s="2"/>
      <c r="I114" s="2"/>
      <c r="J114" s="60"/>
      <c r="K114" s="2"/>
      <c r="L114" s="34"/>
      <c r="M114" s="34"/>
      <c r="O114"/>
      <c r="P114" s="58"/>
    </row>
    <row r="115" spans="1:16" s="40" customFormat="1" ht="18.75" customHeight="1">
      <c r="A115"/>
      <c r="B115" s="26"/>
      <c r="C115" s="1"/>
      <c r="D115" s="20"/>
      <c r="E115" s="1"/>
      <c r="F115" s="1"/>
      <c r="G115" s="32"/>
      <c r="H115" s="2"/>
      <c r="I115" s="2"/>
      <c r="J115" s="60"/>
      <c r="K115" s="2"/>
      <c r="L115" s="34"/>
      <c r="M115" s="34"/>
      <c r="N115" s="176"/>
      <c r="O115"/>
      <c r="P115" s="58"/>
    </row>
    <row r="116" spans="1:16" s="40" customFormat="1" ht="18.75" customHeight="1">
      <c r="A116"/>
      <c r="B116" s="26"/>
      <c r="C116" s="1"/>
      <c r="D116" s="20"/>
      <c r="E116" s="1"/>
      <c r="F116" s="1"/>
      <c r="G116" s="32"/>
      <c r="H116" s="2"/>
      <c r="I116" s="2"/>
      <c r="J116" s="60"/>
      <c r="K116" s="2"/>
      <c r="L116" s="34"/>
      <c r="M116" s="34"/>
      <c r="O116"/>
      <c r="P116" s="58"/>
    </row>
    <row r="117" spans="1:16" s="40" customFormat="1" ht="18.75" customHeight="1">
      <c r="A117"/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  <c r="N117" s="176"/>
      <c r="O117"/>
      <c r="P117" s="58"/>
    </row>
    <row r="118" spans="1:16" s="40" customFormat="1" ht="18.75" customHeight="1">
      <c r="A118"/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M118" s="34"/>
      <c r="O118"/>
      <c r="P118" s="58"/>
    </row>
    <row r="119" spans="1:16" s="40" customFormat="1" ht="18.75" customHeight="1">
      <c r="A119"/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  <c r="O119"/>
      <c r="P119" s="58"/>
    </row>
    <row r="120" spans="1:16" s="40" customFormat="1" ht="18.75" customHeight="1">
      <c r="A120"/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34"/>
      <c r="O120"/>
      <c r="P120" s="58"/>
    </row>
    <row r="121" spans="1:16" s="40" customFormat="1" ht="18.75" customHeight="1">
      <c r="A121"/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  <c r="O121"/>
      <c r="P121" s="58"/>
    </row>
    <row r="122" spans="1:16" s="40" customFormat="1" ht="18.75" customHeight="1">
      <c r="A122"/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  <c r="O122"/>
      <c r="P122" s="58"/>
    </row>
    <row r="123" spans="1:16" s="40" customFormat="1" ht="18.75" customHeight="1">
      <c r="A123"/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  <c r="O123"/>
      <c r="P123" s="58"/>
    </row>
    <row r="124" spans="1:16" s="40" customFormat="1" ht="18.75" customHeight="1">
      <c r="A124"/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  <c r="O124"/>
      <c r="P124" s="58"/>
    </row>
    <row r="125" spans="1:16" s="40" customFormat="1" ht="18.75" customHeight="1">
      <c r="A125"/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  <c r="O125"/>
      <c r="P125" s="58"/>
    </row>
    <row r="126" spans="1:16" s="40" customFormat="1" ht="18.75" customHeight="1">
      <c r="A126"/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  <c r="O126"/>
      <c r="P126" s="58"/>
    </row>
    <row r="127" spans="1:16" s="40" customFormat="1" ht="18.75" customHeight="1">
      <c r="A127"/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  <c r="O127"/>
      <c r="P127" s="58"/>
    </row>
    <row r="128" spans="1:16" s="40" customFormat="1" ht="18.75" customHeight="1">
      <c r="A128"/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  <c r="O128"/>
      <c r="P128" s="58"/>
    </row>
    <row r="129" spans="1:16" s="40" customFormat="1" ht="18.75" customHeight="1">
      <c r="A129"/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  <c r="O129"/>
      <c r="P129" s="58"/>
    </row>
    <row r="130" spans="1:16" s="40" customFormat="1" ht="18.75" customHeight="1">
      <c r="A130"/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  <c r="O130"/>
      <c r="P130" s="58"/>
    </row>
    <row r="131" spans="1:16" s="40" customFormat="1" ht="18.75" customHeight="1">
      <c r="A131"/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  <c r="O131"/>
      <c r="P131" s="58"/>
    </row>
    <row r="132" spans="1:16" s="40" customFormat="1" ht="18.75" customHeight="1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6" s="40" customFormat="1" ht="18.75" customHeight="1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6" s="40" customFormat="1" ht="18.75" customHeight="1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6" s="40" customFormat="1" ht="18.75" customHeight="1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  <c r="O135"/>
      <c r="P135" s="58"/>
    </row>
    <row r="136" spans="1:16" s="40" customFormat="1" ht="18.75" customHeight="1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6" s="40" customFormat="1" ht="18.75" customHeight="1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6" s="40" customFormat="1" ht="18.75" customHeight="1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6" s="40" customFormat="1" ht="18.75" customHeight="1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6" s="40" customFormat="1" ht="18.75" customHeight="1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6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6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6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6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8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8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8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8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8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8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8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5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5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5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5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5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5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5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5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5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5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5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5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5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5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5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5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5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5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5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5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5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5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5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5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5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5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5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5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5.75" customHeight="1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5.75" customHeight="1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5.75" customHeight="1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5.75" customHeight="1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5.75" customHeight="1">
      <c r="A291"/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  <c r="O291"/>
      <c r="P291" s="58"/>
    </row>
    <row r="292" spans="1:16" s="40" customFormat="1" ht="15.75" customHeight="1">
      <c r="A292"/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  <c r="O292"/>
      <c r="P292" s="58"/>
    </row>
    <row r="293" spans="1:16" s="40" customFormat="1" ht="15.75" customHeight="1">
      <c r="A293"/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  <c r="O293"/>
      <c r="P293" s="58"/>
    </row>
    <row r="294" spans="1:16" s="40" customFormat="1" ht="15.75" customHeight="1">
      <c r="A294"/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  <c r="O294"/>
      <c r="P294" s="58"/>
    </row>
    <row r="295" spans="1:16" s="40" customFormat="1" ht="15.75" customHeight="1">
      <c r="A295"/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  <c r="O295"/>
      <c r="P295" s="58"/>
    </row>
    <row r="296" spans="1:16" s="40" customFormat="1" ht="15.75" customHeight="1">
      <c r="A296"/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  <c r="O296"/>
      <c r="P296" s="58"/>
    </row>
    <row r="297" spans="1:16" s="40" customFormat="1" ht="15.75" customHeight="1">
      <c r="A297"/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  <c r="O297"/>
      <c r="P297" s="58"/>
    </row>
    <row r="298" spans="1:16" s="40" customFormat="1" ht="15.75" customHeight="1">
      <c r="A298"/>
      <c r="B298" s="31"/>
      <c r="C298"/>
      <c r="D298" s="25"/>
      <c r="E298"/>
      <c r="F298"/>
      <c r="G298" s="33"/>
      <c r="H298"/>
      <c r="I298"/>
      <c r="J298" s="65"/>
      <c r="K298"/>
      <c r="O298"/>
      <c r="P298" s="58"/>
    </row>
    <row r="299" spans="1:16" s="40" customFormat="1" ht="15.75" customHeight="1">
      <c r="A299"/>
      <c r="B299" s="31"/>
      <c r="C299"/>
      <c r="D299" s="25"/>
      <c r="E299"/>
      <c r="F299"/>
      <c r="G299" s="33"/>
      <c r="H299"/>
      <c r="I299"/>
      <c r="J299" s="65"/>
      <c r="K299"/>
      <c r="O299"/>
      <c r="P299" s="58"/>
    </row>
    <row r="300" spans="1:16" s="40" customFormat="1" ht="15.75" customHeight="1">
      <c r="A300"/>
      <c r="B300" s="31"/>
      <c r="C300"/>
      <c r="D300" s="25"/>
      <c r="E300"/>
      <c r="F300"/>
      <c r="G300" s="33"/>
      <c r="H300"/>
      <c r="I300"/>
      <c r="J300" s="65"/>
      <c r="K300"/>
      <c r="O300"/>
      <c r="P300" s="58"/>
    </row>
    <row r="301" spans="1:16" s="40" customFormat="1" ht="15.75" customHeight="1">
      <c r="A301"/>
      <c r="B301" s="31"/>
      <c r="C301"/>
      <c r="D301" s="25"/>
      <c r="E301"/>
      <c r="F301"/>
      <c r="G301" s="33"/>
      <c r="H301"/>
      <c r="I301"/>
      <c r="J301" s="65"/>
      <c r="K301"/>
      <c r="O301"/>
      <c r="P301" s="58"/>
    </row>
    <row r="302" spans="1:16" s="40" customFormat="1" ht="15.75" customHeight="1">
      <c r="A302"/>
      <c r="B302" s="31"/>
      <c r="C302"/>
      <c r="D302" s="25"/>
      <c r="E302"/>
      <c r="F302"/>
      <c r="G302" s="33"/>
      <c r="H302"/>
      <c r="I302"/>
      <c r="J302" s="65"/>
      <c r="K302"/>
      <c r="O302"/>
      <c r="P302" s="58"/>
    </row>
    <row r="303" spans="1:16" s="40" customFormat="1" ht="15.75" customHeight="1">
      <c r="A303"/>
      <c r="B303" s="31"/>
      <c r="C303"/>
      <c r="D303" s="25"/>
      <c r="E303"/>
      <c r="F303"/>
      <c r="G303" s="33"/>
      <c r="H303"/>
      <c r="I303"/>
      <c r="J303" s="65"/>
      <c r="K303"/>
      <c r="O303"/>
      <c r="P303" s="58"/>
    </row>
    <row r="304" spans="1:16" s="40" customFormat="1" ht="15.75" customHeight="1">
      <c r="A304"/>
      <c r="B304" s="31"/>
      <c r="C304"/>
      <c r="D304" s="25"/>
      <c r="E304"/>
      <c r="F304"/>
      <c r="G304" s="33"/>
      <c r="H304"/>
      <c r="I304"/>
      <c r="J304" s="65"/>
      <c r="K304"/>
      <c r="O304"/>
      <c r="P304" s="58"/>
    </row>
    <row r="305" spans="1:16" s="40" customFormat="1" ht="15.75" customHeight="1">
      <c r="A305"/>
      <c r="B305" s="31"/>
      <c r="C305"/>
      <c r="D305" s="25"/>
      <c r="E305"/>
      <c r="F305"/>
      <c r="G305" s="33"/>
      <c r="H305"/>
      <c r="I305"/>
      <c r="J305" s="65"/>
      <c r="K305"/>
      <c r="O305"/>
      <c r="P305" s="58"/>
    </row>
    <row r="306" spans="1:16" s="40" customFormat="1" ht="15.75" customHeight="1">
      <c r="A306"/>
      <c r="B306" s="31"/>
      <c r="C306"/>
      <c r="D306" s="25"/>
      <c r="E306"/>
      <c r="F306"/>
      <c r="G306" s="33"/>
      <c r="H306"/>
      <c r="I306"/>
      <c r="J306" s="65"/>
      <c r="K306"/>
      <c r="O306"/>
      <c r="P306" s="58"/>
    </row>
    <row r="307" spans="1:16" s="40" customFormat="1" ht="15.75" customHeight="1">
      <c r="A307"/>
      <c r="B307" s="31"/>
      <c r="C307"/>
      <c r="D307" s="25"/>
      <c r="E307"/>
      <c r="F307"/>
      <c r="G307" s="33"/>
      <c r="H307"/>
      <c r="I307"/>
      <c r="J307" s="65"/>
      <c r="K307"/>
      <c r="O307"/>
      <c r="P307" s="58"/>
    </row>
    <row r="308" spans="1:16" s="40" customFormat="1" ht="15.75" customHeight="1">
      <c r="A308"/>
      <c r="B308" s="31"/>
      <c r="C308"/>
      <c r="D308" s="25"/>
      <c r="E308"/>
      <c r="F308"/>
      <c r="G308" s="33"/>
      <c r="H308"/>
      <c r="I308"/>
      <c r="J308" s="65"/>
      <c r="K308"/>
      <c r="O308"/>
      <c r="P308" s="58"/>
    </row>
    <row r="309" spans="1:16" s="40" customFormat="1" ht="15.75" customHeight="1">
      <c r="A309"/>
      <c r="B309" s="31"/>
      <c r="C309"/>
      <c r="D309" s="25"/>
      <c r="E309"/>
      <c r="F309"/>
      <c r="G309" s="33"/>
      <c r="H309"/>
      <c r="I309"/>
      <c r="J309" s="65"/>
      <c r="K309"/>
      <c r="O309"/>
      <c r="P309" s="58"/>
    </row>
    <row r="310" spans="1:16" s="40" customFormat="1" ht="15.75" customHeight="1">
      <c r="A310"/>
      <c r="B310" s="31"/>
      <c r="C310"/>
      <c r="D310" s="25"/>
      <c r="E310"/>
      <c r="F310"/>
      <c r="G310" s="33"/>
      <c r="H310"/>
      <c r="I310"/>
      <c r="J310" s="65"/>
      <c r="K310"/>
      <c r="O310"/>
      <c r="P310" s="58"/>
    </row>
    <row r="311" spans="1:16" s="40" customFormat="1" ht="15.75" customHeight="1">
      <c r="A311"/>
      <c r="B311" s="31"/>
      <c r="C311"/>
      <c r="D311" s="25"/>
      <c r="E311"/>
      <c r="F311"/>
      <c r="G311" s="33"/>
      <c r="H311"/>
      <c r="I311"/>
      <c r="J311" s="65"/>
      <c r="K311"/>
      <c r="O311"/>
      <c r="P311" s="58"/>
    </row>
    <row r="312" spans="1:16" s="40" customFormat="1" ht="15.75" customHeight="1">
      <c r="A312"/>
      <c r="B312" s="31"/>
      <c r="C312"/>
      <c r="D312" s="25"/>
      <c r="E312"/>
      <c r="F312"/>
      <c r="G312" s="33"/>
      <c r="H312"/>
      <c r="I312"/>
      <c r="J312" s="65"/>
      <c r="K312"/>
      <c r="O312"/>
      <c r="P312" s="58"/>
    </row>
    <row r="313" spans="1:16" s="40" customFormat="1" ht="15.75" customHeight="1">
      <c r="A313"/>
      <c r="B313" s="31"/>
      <c r="C313"/>
      <c r="D313" s="25"/>
      <c r="E313"/>
      <c r="F313"/>
      <c r="G313" s="33"/>
      <c r="H313"/>
      <c r="I313"/>
      <c r="J313" s="65"/>
      <c r="K313"/>
      <c r="O313"/>
      <c r="P313" s="58"/>
    </row>
    <row r="314" spans="1:16" s="40" customFormat="1" ht="15.75" customHeight="1">
      <c r="A314"/>
      <c r="B314" s="31"/>
      <c r="C314"/>
      <c r="D314" s="25"/>
      <c r="E314"/>
      <c r="F314"/>
      <c r="G314" s="33"/>
      <c r="H314"/>
      <c r="I314"/>
      <c r="J314" s="65"/>
      <c r="K314"/>
      <c r="O314"/>
      <c r="P314" s="58"/>
    </row>
    <row r="315" spans="1:16" s="40" customFormat="1" ht="15.75" customHeight="1">
      <c r="A315"/>
      <c r="B315" s="31"/>
      <c r="C315"/>
      <c r="D315" s="25"/>
      <c r="E315"/>
      <c r="F315"/>
      <c r="G315" s="33"/>
      <c r="H315"/>
      <c r="I315"/>
      <c r="J315" s="65"/>
      <c r="K315"/>
      <c r="O315"/>
      <c r="P315" s="58"/>
    </row>
    <row r="316" spans="1:16" ht="15.75" customHeight="1"/>
    <row r="317" spans="1:16" ht="15.75" customHeight="1"/>
    <row r="318" spans="1:16" ht="15.75" customHeight="1"/>
    <row r="319" spans="1:16" ht="15.75" customHeight="1"/>
    <row r="320" spans="1:1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honeticPr fontId="5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BE66-ADEE-4C7F-B21A-ACA67F2065C6}">
  <dimension ref="A1:Q961"/>
  <sheetViews>
    <sheetView topLeftCell="E1" zoomScale="80" zoomScaleNormal="80" workbookViewId="0">
      <pane ySplit="2" topLeftCell="A72" activePane="bottomLeft" state="frozen"/>
      <selection pane="bottomLeft" activeCell="Q3" sqref="Q3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4.14062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283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>
        <v>1180385</v>
      </c>
      <c r="B3" s="28">
        <v>137890</v>
      </c>
      <c r="C3" s="5" t="s">
        <v>59</v>
      </c>
      <c r="D3" s="22">
        <v>45897.488194444442</v>
      </c>
      <c r="E3" s="17" t="s">
        <v>22</v>
      </c>
      <c r="F3" s="5" t="s">
        <v>284</v>
      </c>
      <c r="G3" s="17" t="s">
        <v>285</v>
      </c>
      <c r="H3" s="6">
        <v>59480</v>
      </c>
      <c r="I3" s="6">
        <v>1</v>
      </c>
      <c r="J3" s="62">
        <v>0.5</v>
      </c>
      <c r="K3" s="6" t="s">
        <v>56</v>
      </c>
      <c r="L3" s="36">
        <v>29740</v>
      </c>
      <c r="M3" s="42">
        <v>32714</v>
      </c>
      <c r="N3" s="56">
        <v>1000</v>
      </c>
      <c r="O3" s="48" t="s">
        <v>286</v>
      </c>
      <c r="P3" s="59" t="s">
        <v>63</v>
      </c>
      <c r="Q3" s="67">
        <f>(M3+N3*1.1)/(I3*J3)</f>
        <v>67628</v>
      </c>
    </row>
    <row r="4" spans="1:17" ht="18.75" customHeight="1">
      <c r="A4" s="5">
        <v>1180382</v>
      </c>
      <c r="B4" s="28">
        <v>137563</v>
      </c>
      <c r="C4" s="5" t="s">
        <v>59</v>
      </c>
      <c r="D4" s="22">
        <v>45897.486805555556</v>
      </c>
      <c r="E4" s="17" t="s">
        <v>23</v>
      </c>
      <c r="F4" s="5" t="s">
        <v>284</v>
      </c>
      <c r="G4" s="17" t="s">
        <v>285</v>
      </c>
      <c r="H4" s="6">
        <v>59480</v>
      </c>
      <c r="I4" s="6">
        <v>1</v>
      </c>
      <c r="J4" s="62">
        <v>0.5</v>
      </c>
      <c r="K4" s="6" t="s">
        <v>56</v>
      </c>
      <c r="L4" s="36">
        <v>29740</v>
      </c>
      <c r="M4" s="42">
        <v>32714</v>
      </c>
      <c r="N4" s="53">
        <v>1000</v>
      </c>
      <c r="O4" s="48" t="s">
        <v>286</v>
      </c>
      <c r="P4" s="51" t="s">
        <v>63</v>
      </c>
      <c r="Q4" s="67">
        <f t="shared" ref="Q4:Q67" si="0">(M4+N4*1.1)/(I4*J4)</f>
        <v>67628</v>
      </c>
    </row>
    <row r="5" spans="1:17" ht="18.75" customHeight="1">
      <c r="A5" s="5">
        <v>1173492</v>
      </c>
      <c r="B5" s="28">
        <v>136973</v>
      </c>
      <c r="C5" s="5" t="s">
        <v>59</v>
      </c>
      <c r="D5" s="22">
        <v>45890.964583333334</v>
      </c>
      <c r="E5" s="17" t="s">
        <v>19</v>
      </c>
      <c r="F5" s="5" t="s">
        <v>287</v>
      </c>
      <c r="G5" s="17" t="s">
        <v>288</v>
      </c>
      <c r="H5" s="6">
        <v>40000</v>
      </c>
      <c r="I5" s="6">
        <v>1</v>
      </c>
      <c r="J5" s="62">
        <v>3</v>
      </c>
      <c r="K5" s="6" t="s">
        <v>56</v>
      </c>
      <c r="L5" s="36">
        <v>120000</v>
      </c>
      <c r="M5" s="42">
        <v>132000</v>
      </c>
      <c r="N5" s="53">
        <v>0</v>
      </c>
      <c r="O5" s="48" t="s">
        <v>289</v>
      </c>
      <c r="P5" s="51" t="s">
        <v>233</v>
      </c>
      <c r="Q5" s="67">
        <f t="shared" si="0"/>
        <v>44000</v>
      </c>
    </row>
    <row r="6" spans="1:17" ht="18.75" customHeight="1">
      <c r="A6" s="5">
        <v>1171696</v>
      </c>
      <c r="B6" s="28">
        <v>136762</v>
      </c>
      <c r="C6" s="5" t="s">
        <v>59</v>
      </c>
      <c r="D6" s="22">
        <v>45889.500694444447</v>
      </c>
      <c r="E6" s="17" t="s">
        <v>23</v>
      </c>
      <c r="F6" s="5" t="s">
        <v>204</v>
      </c>
      <c r="G6" s="17" t="s">
        <v>205</v>
      </c>
      <c r="H6" s="6">
        <v>220</v>
      </c>
      <c r="I6" s="6">
        <v>216</v>
      </c>
      <c r="J6" s="62">
        <v>1</v>
      </c>
      <c r="K6" s="6" t="s">
        <v>56</v>
      </c>
      <c r="L6" s="36">
        <v>47520</v>
      </c>
      <c r="M6" s="42">
        <v>52272</v>
      </c>
      <c r="N6" s="53">
        <v>0</v>
      </c>
      <c r="O6" s="48" t="s">
        <v>290</v>
      </c>
      <c r="P6" s="51" t="s">
        <v>207</v>
      </c>
      <c r="Q6" s="67">
        <f t="shared" si="0"/>
        <v>242</v>
      </c>
    </row>
    <row r="7" spans="1:17" ht="18.75" customHeight="1">
      <c r="A7" s="5">
        <v>1171692</v>
      </c>
      <c r="B7" s="28">
        <v>136762</v>
      </c>
      <c r="C7" s="5" t="s">
        <v>59</v>
      </c>
      <c r="D7" s="22">
        <v>45889.500694444447</v>
      </c>
      <c r="E7" s="17" t="s">
        <v>23</v>
      </c>
      <c r="F7" s="5" t="s">
        <v>223</v>
      </c>
      <c r="G7" s="17" t="s">
        <v>224</v>
      </c>
      <c r="H7" s="6">
        <v>33</v>
      </c>
      <c r="I7" s="6">
        <v>960</v>
      </c>
      <c r="J7" s="62">
        <v>0.5</v>
      </c>
      <c r="K7" s="6" t="s">
        <v>56</v>
      </c>
      <c r="L7" s="36">
        <v>15840</v>
      </c>
      <c r="M7" s="42">
        <v>17424</v>
      </c>
      <c r="N7" s="53">
        <v>1000</v>
      </c>
      <c r="O7" s="48" t="s">
        <v>291</v>
      </c>
      <c r="P7" s="51" t="s">
        <v>207</v>
      </c>
      <c r="Q7" s="67">
        <f t="shared" si="0"/>
        <v>38.591666666666669</v>
      </c>
    </row>
    <row r="8" spans="1:17" ht="18.75" customHeight="1">
      <c r="A8" s="5">
        <v>1171673</v>
      </c>
      <c r="B8" s="28">
        <v>136762</v>
      </c>
      <c r="C8" s="5" t="s">
        <v>59</v>
      </c>
      <c r="D8" s="22">
        <v>45889.500694444447</v>
      </c>
      <c r="E8" s="17" t="s">
        <v>23</v>
      </c>
      <c r="F8" s="5" t="s">
        <v>292</v>
      </c>
      <c r="G8" s="17" t="s">
        <v>293</v>
      </c>
      <c r="H8" s="6">
        <v>140</v>
      </c>
      <c r="I8" s="6">
        <v>288</v>
      </c>
      <c r="J8" s="62">
        <v>1</v>
      </c>
      <c r="K8" s="6" t="s">
        <v>56</v>
      </c>
      <c r="L8" s="36">
        <v>40320</v>
      </c>
      <c r="M8" s="42">
        <v>44352</v>
      </c>
      <c r="N8" s="53">
        <v>0</v>
      </c>
      <c r="O8" s="48" t="s">
        <v>71</v>
      </c>
      <c r="P8" s="51" t="s">
        <v>63</v>
      </c>
      <c r="Q8" s="67">
        <f t="shared" si="0"/>
        <v>154</v>
      </c>
    </row>
    <row r="9" spans="1:17" ht="18.75" customHeight="1">
      <c r="A9" s="5">
        <v>1170822</v>
      </c>
      <c r="B9" s="28">
        <v>136697</v>
      </c>
      <c r="C9" s="5" t="s">
        <v>59</v>
      </c>
      <c r="D9" s="22">
        <v>45889.477777777778</v>
      </c>
      <c r="E9" s="17" t="s">
        <v>23</v>
      </c>
      <c r="F9" s="5" t="s">
        <v>225</v>
      </c>
      <c r="G9" s="17" t="s">
        <v>226</v>
      </c>
      <c r="H9" s="6">
        <v>58100</v>
      </c>
      <c r="I9" s="6">
        <v>1</v>
      </c>
      <c r="J9" s="62">
        <v>1</v>
      </c>
      <c r="K9" s="6" t="s">
        <v>56</v>
      </c>
      <c r="L9" s="36">
        <v>58100</v>
      </c>
      <c r="M9" s="42">
        <v>63910</v>
      </c>
      <c r="N9" s="53">
        <v>0</v>
      </c>
      <c r="O9" s="48" t="s">
        <v>290</v>
      </c>
      <c r="P9" s="51" t="s">
        <v>63</v>
      </c>
      <c r="Q9" s="67">
        <f t="shared" si="0"/>
        <v>63910</v>
      </c>
    </row>
    <row r="10" spans="1:17" ht="18.75" customHeight="1">
      <c r="A10" s="5">
        <v>1170823</v>
      </c>
      <c r="B10" s="28">
        <v>136697</v>
      </c>
      <c r="C10" s="5" t="s">
        <v>59</v>
      </c>
      <c r="D10" s="22">
        <v>45889.477777777778</v>
      </c>
      <c r="E10" s="17" t="s">
        <v>23</v>
      </c>
      <c r="F10" s="5" t="s">
        <v>294</v>
      </c>
      <c r="G10" s="17" t="s">
        <v>295</v>
      </c>
      <c r="H10" s="6">
        <v>47000</v>
      </c>
      <c r="I10" s="6">
        <v>1</v>
      </c>
      <c r="J10" s="62">
        <v>0.5</v>
      </c>
      <c r="K10" s="6" t="s">
        <v>56</v>
      </c>
      <c r="L10" s="36">
        <v>23500</v>
      </c>
      <c r="M10" s="42">
        <v>25850</v>
      </c>
      <c r="N10" s="53">
        <v>1000</v>
      </c>
      <c r="O10" s="48" t="s">
        <v>290</v>
      </c>
      <c r="P10" s="51" t="s">
        <v>296</v>
      </c>
      <c r="Q10" s="67">
        <f t="shared" si="0"/>
        <v>53900</v>
      </c>
    </row>
    <row r="11" spans="1:17" ht="18.75" customHeight="1">
      <c r="A11" s="5">
        <v>1170802</v>
      </c>
      <c r="B11" s="28">
        <v>136691</v>
      </c>
      <c r="C11" s="5" t="s">
        <v>59</v>
      </c>
      <c r="D11" s="22">
        <v>45888.720833333333</v>
      </c>
      <c r="E11" s="17" t="s">
        <v>23</v>
      </c>
      <c r="F11" s="5" t="s">
        <v>297</v>
      </c>
      <c r="G11" s="17" t="s">
        <v>298</v>
      </c>
      <c r="H11" s="6">
        <v>300</v>
      </c>
      <c r="I11" s="6">
        <v>100</v>
      </c>
      <c r="J11" s="62">
        <v>1</v>
      </c>
      <c r="K11" s="6" t="s">
        <v>56</v>
      </c>
      <c r="L11" s="36">
        <v>30000</v>
      </c>
      <c r="M11" s="42">
        <v>33000</v>
      </c>
      <c r="N11" s="53">
        <v>0</v>
      </c>
      <c r="O11" s="48" t="s">
        <v>71</v>
      </c>
      <c r="P11" s="51" t="s">
        <v>195</v>
      </c>
      <c r="Q11" s="67">
        <f t="shared" si="0"/>
        <v>330</v>
      </c>
    </row>
    <row r="12" spans="1:17" ht="18.75" customHeight="1">
      <c r="A12" s="5">
        <v>1170798</v>
      </c>
      <c r="B12" s="28">
        <v>136691</v>
      </c>
      <c r="C12" s="5" t="s">
        <v>59</v>
      </c>
      <c r="D12" s="22">
        <v>45888.720833333333</v>
      </c>
      <c r="E12" s="17" t="s">
        <v>23</v>
      </c>
      <c r="F12" s="5" t="s">
        <v>299</v>
      </c>
      <c r="G12" s="17" t="s">
        <v>300</v>
      </c>
      <c r="H12" s="6">
        <v>50000</v>
      </c>
      <c r="I12" s="6">
        <v>1</v>
      </c>
      <c r="J12" s="62">
        <v>1</v>
      </c>
      <c r="K12" s="6" t="s">
        <v>56</v>
      </c>
      <c r="L12" s="36">
        <v>50000</v>
      </c>
      <c r="M12" s="42">
        <v>55000</v>
      </c>
      <c r="N12" s="53">
        <v>0</v>
      </c>
      <c r="O12" s="48" t="s">
        <v>291</v>
      </c>
      <c r="P12" s="51" t="s">
        <v>63</v>
      </c>
      <c r="Q12" s="67">
        <f t="shared" si="0"/>
        <v>55000</v>
      </c>
    </row>
    <row r="13" spans="1:17" ht="18.75" customHeight="1">
      <c r="A13" s="5">
        <v>1169475</v>
      </c>
      <c r="B13" s="28">
        <v>136504</v>
      </c>
      <c r="C13" s="5" t="s">
        <v>59</v>
      </c>
      <c r="D13" s="22">
        <v>45887.96597222222</v>
      </c>
      <c r="E13" s="17" t="s">
        <v>19</v>
      </c>
      <c r="F13" s="5" t="s">
        <v>208</v>
      </c>
      <c r="G13" s="17" t="s">
        <v>209</v>
      </c>
      <c r="H13" s="6">
        <v>61000</v>
      </c>
      <c r="I13" s="6">
        <v>1</v>
      </c>
      <c r="J13" s="62">
        <v>0.5</v>
      </c>
      <c r="K13" s="6" t="s">
        <v>56</v>
      </c>
      <c r="L13" s="36">
        <v>30500</v>
      </c>
      <c r="M13" s="42">
        <v>33550</v>
      </c>
      <c r="N13" s="53">
        <v>1000</v>
      </c>
      <c r="O13" s="48" t="s">
        <v>301</v>
      </c>
      <c r="P13" s="51" t="s">
        <v>63</v>
      </c>
      <c r="Q13" s="67">
        <f t="shared" si="0"/>
        <v>69300</v>
      </c>
    </row>
    <row r="14" spans="1:17" ht="18.75" customHeight="1">
      <c r="A14" s="5">
        <v>1169478</v>
      </c>
      <c r="B14" s="28">
        <v>136504</v>
      </c>
      <c r="C14" s="5" t="s">
        <v>59</v>
      </c>
      <c r="D14" s="22">
        <v>45887.96597222222</v>
      </c>
      <c r="E14" s="17" t="s">
        <v>19</v>
      </c>
      <c r="F14" s="5" t="s">
        <v>302</v>
      </c>
      <c r="G14" s="17" t="s">
        <v>303</v>
      </c>
      <c r="H14" s="6">
        <v>52500</v>
      </c>
      <c r="I14" s="6">
        <v>1</v>
      </c>
      <c r="J14" s="62">
        <v>1</v>
      </c>
      <c r="K14" s="6" t="s">
        <v>56</v>
      </c>
      <c r="L14" s="36">
        <v>52500</v>
      </c>
      <c r="M14" s="42">
        <v>57750</v>
      </c>
      <c r="N14" s="53">
        <v>0</v>
      </c>
      <c r="O14" s="48" t="s">
        <v>301</v>
      </c>
      <c r="P14" s="51" t="s">
        <v>63</v>
      </c>
      <c r="Q14" s="67">
        <f t="shared" si="0"/>
        <v>57750</v>
      </c>
    </row>
    <row r="15" spans="1:17" ht="18.75" customHeight="1">
      <c r="A15" s="5">
        <v>1167696</v>
      </c>
      <c r="B15" s="28">
        <v>136190</v>
      </c>
      <c r="C15" s="5" t="s">
        <v>59</v>
      </c>
      <c r="D15" s="22">
        <v>45886.543055555558</v>
      </c>
      <c r="E15" s="17" t="s">
        <v>19</v>
      </c>
      <c r="F15" s="5" t="s">
        <v>304</v>
      </c>
      <c r="G15" s="17" t="s">
        <v>305</v>
      </c>
      <c r="H15" s="6">
        <v>8000</v>
      </c>
      <c r="I15" s="6">
        <v>1</v>
      </c>
      <c r="J15" s="62">
        <v>1</v>
      </c>
      <c r="K15" s="6" t="s">
        <v>56</v>
      </c>
      <c r="L15" s="36">
        <v>8000</v>
      </c>
      <c r="M15" s="42">
        <v>8800</v>
      </c>
      <c r="N15" s="53">
        <v>1000</v>
      </c>
      <c r="O15" s="48" t="s">
        <v>306</v>
      </c>
      <c r="P15" s="51" t="s">
        <v>63</v>
      </c>
      <c r="Q15" s="67">
        <f t="shared" si="0"/>
        <v>9900</v>
      </c>
    </row>
    <row r="16" spans="1:17" ht="18.75" customHeight="1">
      <c r="A16" s="5">
        <v>1167703</v>
      </c>
      <c r="B16" s="28">
        <v>136190</v>
      </c>
      <c r="C16" s="5" t="s">
        <v>59</v>
      </c>
      <c r="D16" s="22">
        <v>45886.543055555558</v>
      </c>
      <c r="E16" s="17" t="s">
        <v>19</v>
      </c>
      <c r="F16" s="5" t="s">
        <v>307</v>
      </c>
      <c r="G16" s="17" t="s">
        <v>308</v>
      </c>
      <c r="H16" s="6">
        <v>300</v>
      </c>
      <c r="I16" s="6">
        <v>20</v>
      </c>
      <c r="J16" s="62">
        <v>1</v>
      </c>
      <c r="K16" s="6" t="s">
        <v>107</v>
      </c>
      <c r="L16" s="36">
        <v>6000</v>
      </c>
      <c r="M16" s="42">
        <v>6600</v>
      </c>
      <c r="N16" s="53">
        <v>480</v>
      </c>
      <c r="O16" s="48" t="s">
        <v>108</v>
      </c>
      <c r="P16" s="51">
        <v>45870</v>
      </c>
      <c r="Q16" s="67">
        <f t="shared" si="0"/>
        <v>356.4</v>
      </c>
    </row>
    <row r="17" spans="1:17" ht="18.75" customHeight="1">
      <c r="A17" s="5">
        <v>1167317</v>
      </c>
      <c r="B17" s="28">
        <v>136189</v>
      </c>
      <c r="C17" s="5" t="s">
        <v>59</v>
      </c>
      <c r="D17" s="22">
        <v>45885.685416666667</v>
      </c>
      <c r="E17" s="17" t="s">
        <v>22</v>
      </c>
      <c r="F17" s="5" t="s">
        <v>309</v>
      </c>
      <c r="G17" s="17" t="s">
        <v>310</v>
      </c>
      <c r="H17" s="6">
        <v>395</v>
      </c>
      <c r="I17" s="6">
        <v>128</v>
      </c>
      <c r="J17" s="62">
        <v>2</v>
      </c>
      <c r="K17" s="6" t="s">
        <v>56</v>
      </c>
      <c r="L17" s="36">
        <v>101120</v>
      </c>
      <c r="M17" s="42">
        <v>111232</v>
      </c>
      <c r="N17" s="56">
        <v>0</v>
      </c>
      <c r="O17" s="48" t="s">
        <v>306</v>
      </c>
      <c r="P17" s="51" t="s">
        <v>311</v>
      </c>
      <c r="Q17" s="67">
        <f t="shared" si="0"/>
        <v>434.5</v>
      </c>
    </row>
    <row r="18" spans="1:17" ht="18.75" customHeight="1">
      <c r="A18" s="5">
        <v>1167303</v>
      </c>
      <c r="B18" s="28">
        <v>136187</v>
      </c>
      <c r="C18" s="5" t="s">
        <v>59</v>
      </c>
      <c r="D18" s="22">
        <v>45885.681944444441</v>
      </c>
      <c r="E18" s="17" t="s">
        <v>19</v>
      </c>
      <c r="F18" s="5" t="s">
        <v>312</v>
      </c>
      <c r="G18" s="17" t="s">
        <v>313</v>
      </c>
      <c r="H18" s="6">
        <v>90</v>
      </c>
      <c r="I18" s="6">
        <v>288</v>
      </c>
      <c r="J18" s="62">
        <v>1</v>
      </c>
      <c r="K18" s="6" t="s">
        <v>56</v>
      </c>
      <c r="L18" s="36">
        <v>25920</v>
      </c>
      <c r="M18" s="42">
        <v>28512</v>
      </c>
      <c r="N18" s="53">
        <v>0</v>
      </c>
      <c r="O18" s="48" t="s">
        <v>314</v>
      </c>
      <c r="P18" s="51" t="s">
        <v>315</v>
      </c>
      <c r="Q18" s="67">
        <f t="shared" si="0"/>
        <v>99</v>
      </c>
    </row>
    <row r="19" spans="1:17" ht="18.75" customHeight="1">
      <c r="A19" s="5">
        <v>1161489</v>
      </c>
      <c r="B19" s="28">
        <v>135396</v>
      </c>
      <c r="C19" s="5" t="s">
        <v>59</v>
      </c>
      <c r="D19" s="22">
        <v>45878.633333333331</v>
      </c>
      <c r="E19" s="17" t="s">
        <v>22</v>
      </c>
      <c r="F19" s="5" t="s">
        <v>316</v>
      </c>
      <c r="G19" s="17" t="s">
        <v>317</v>
      </c>
      <c r="H19" s="6">
        <v>450</v>
      </c>
      <c r="I19" s="6">
        <v>160</v>
      </c>
      <c r="J19" s="62">
        <v>1</v>
      </c>
      <c r="K19" s="6" t="s">
        <v>56</v>
      </c>
      <c r="L19" s="36">
        <v>72000</v>
      </c>
      <c r="M19" s="42">
        <v>79200</v>
      </c>
      <c r="N19" s="53">
        <v>0</v>
      </c>
      <c r="O19" s="48" t="s">
        <v>318</v>
      </c>
      <c r="P19" s="51" t="s">
        <v>230</v>
      </c>
      <c r="Q19" s="67">
        <f t="shared" si="0"/>
        <v>495</v>
      </c>
    </row>
    <row r="20" spans="1:17" ht="18.75" customHeight="1">
      <c r="A20" s="5">
        <v>1154407</v>
      </c>
      <c r="B20" s="28">
        <v>135035</v>
      </c>
      <c r="C20" s="5" t="s">
        <v>59</v>
      </c>
      <c r="D20" s="22">
        <v>45875.505555555559</v>
      </c>
      <c r="E20" s="17" t="s">
        <v>19</v>
      </c>
      <c r="F20" s="5" t="s">
        <v>164</v>
      </c>
      <c r="G20" s="17" t="s">
        <v>165</v>
      </c>
      <c r="H20" s="6">
        <v>9000</v>
      </c>
      <c r="I20" s="6">
        <v>1</v>
      </c>
      <c r="J20" s="62">
        <v>1</v>
      </c>
      <c r="K20" s="6" t="s">
        <v>56</v>
      </c>
      <c r="L20" s="36">
        <v>9000</v>
      </c>
      <c r="M20" s="42">
        <v>9900</v>
      </c>
      <c r="N20" s="53">
        <v>1000</v>
      </c>
      <c r="O20" s="48" t="s">
        <v>319</v>
      </c>
      <c r="P20" s="51" t="s">
        <v>63</v>
      </c>
      <c r="Q20" s="67">
        <f t="shared" si="0"/>
        <v>11000</v>
      </c>
    </row>
    <row r="21" spans="1:17" ht="18.75" customHeight="1">
      <c r="A21" s="5">
        <v>1154408</v>
      </c>
      <c r="B21" s="28">
        <v>135035</v>
      </c>
      <c r="C21" s="5" t="s">
        <v>59</v>
      </c>
      <c r="D21" s="22">
        <v>45875.505555555559</v>
      </c>
      <c r="E21" s="17" t="s">
        <v>19</v>
      </c>
      <c r="F21" s="5" t="s">
        <v>320</v>
      </c>
      <c r="G21" s="17" t="s">
        <v>321</v>
      </c>
      <c r="H21" s="6">
        <v>9000</v>
      </c>
      <c r="I21" s="6">
        <v>1</v>
      </c>
      <c r="J21" s="62">
        <v>1</v>
      </c>
      <c r="K21" s="6" t="s">
        <v>56</v>
      </c>
      <c r="L21" s="36">
        <v>9000</v>
      </c>
      <c r="M21" s="42">
        <v>9900</v>
      </c>
      <c r="N21" s="53">
        <v>1000</v>
      </c>
      <c r="O21" s="48" t="s">
        <v>319</v>
      </c>
      <c r="P21" s="51" t="s">
        <v>63</v>
      </c>
      <c r="Q21" s="67">
        <f t="shared" si="0"/>
        <v>11000</v>
      </c>
    </row>
    <row r="22" spans="1:17" ht="18.75" customHeight="1">
      <c r="A22" s="5">
        <v>1141028</v>
      </c>
      <c r="B22" s="28">
        <v>134003</v>
      </c>
      <c r="C22" s="5" t="s">
        <v>59</v>
      </c>
      <c r="D22" s="22">
        <v>45868.618750000001</v>
      </c>
      <c r="E22" s="17" t="s">
        <v>22</v>
      </c>
      <c r="F22" s="5" t="s">
        <v>162</v>
      </c>
      <c r="G22" s="17" t="s">
        <v>163</v>
      </c>
      <c r="H22" s="6">
        <v>9000</v>
      </c>
      <c r="I22" s="6">
        <v>1</v>
      </c>
      <c r="J22" s="62">
        <v>1</v>
      </c>
      <c r="K22" s="6" t="s">
        <v>56</v>
      </c>
      <c r="L22" s="36">
        <v>9000</v>
      </c>
      <c r="M22" s="42">
        <v>9900</v>
      </c>
      <c r="N22" s="53">
        <v>1000</v>
      </c>
      <c r="O22" s="48" t="s">
        <v>322</v>
      </c>
      <c r="P22" s="51" t="s">
        <v>63</v>
      </c>
      <c r="Q22" s="67">
        <f t="shared" si="0"/>
        <v>11000</v>
      </c>
    </row>
    <row r="23" spans="1:17" ht="18.75" customHeight="1">
      <c r="A23" s="5">
        <v>1141027</v>
      </c>
      <c r="B23" s="28">
        <v>134002</v>
      </c>
      <c r="C23" s="5" t="s">
        <v>59</v>
      </c>
      <c r="D23" s="22">
        <v>45868.618055555555</v>
      </c>
      <c r="E23" s="17" t="s">
        <v>19</v>
      </c>
      <c r="F23" s="5" t="s">
        <v>162</v>
      </c>
      <c r="G23" s="17" t="s">
        <v>163</v>
      </c>
      <c r="H23" s="6">
        <v>9000</v>
      </c>
      <c r="I23" s="6">
        <v>1</v>
      </c>
      <c r="J23" s="62">
        <v>2</v>
      </c>
      <c r="K23" s="6" t="s">
        <v>56</v>
      </c>
      <c r="L23" s="36">
        <v>18000</v>
      </c>
      <c r="M23" s="42">
        <v>19800</v>
      </c>
      <c r="N23" s="53">
        <v>2000</v>
      </c>
      <c r="O23" s="48" t="s">
        <v>322</v>
      </c>
      <c r="P23" s="51" t="s">
        <v>63</v>
      </c>
      <c r="Q23" s="67">
        <f t="shared" si="0"/>
        <v>11000</v>
      </c>
    </row>
    <row r="24" spans="1:17" ht="18.75" customHeight="1">
      <c r="A24" s="5">
        <v>1140938</v>
      </c>
      <c r="B24" s="28">
        <v>133988</v>
      </c>
      <c r="C24" s="5" t="s">
        <v>59</v>
      </c>
      <c r="D24" s="22">
        <v>45868.517361111109</v>
      </c>
      <c r="E24" s="17" t="s">
        <v>22</v>
      </c>
      <c r="F24" s="5" t="s">
        <v>323</v>
      </c>
      <c r="G24" s="17" t="s">
        <v>324</v>
      </c>
      <c r="H24" s="6">
        <v>350</v>
      </c>
      <c r="I24" s="6">
        <v>162</v>
      </c>
      <c r="J24" s="62">
        <v>0.5</v>
      </c>
      <c r="K24" s="6" t="s">
        <v>56</v>
      </c>
      <c r="L24" s="36">
        <v>28350</v>
      </c>
      <c r="M24" s="42">
        <v>31185</v>
      </c>
      <c r="N24" s="53">
        <v>800</v>
      </c>
      <c r="O24" s="48" t="s">
        <v>325</v>
      </c>
      <c r="P24" s="51" t="s">
        <v>326</v>
      </c>
      <c r="Q24" s="67">
        <f t="shared" si="0"/>
        <v>395.8641975308642</v>
      </c>
    </row>
    <row r="25" spans="1:17" ht="18.75" customHeight="1">
      <c r="A25" s="5">
        <v>1140523</v>
      </c>
      <c r="B25" s="28">
        <v>133956</v>
      </c>
      <c r="C25" s="5" t="s">
        <v>59</v>
      </c>
      <c r="D25" s="22">
        <v>45868.29791666667</v>
      </c>
      <c r="E25" s="17" t="s">
        <v>22</v>
      </c>
      <c r="F25" s="5" t="s">
        <v>327</v>
      </c>
      <c r="G25" s="17" t="s">
        <v>328</v>
      </c>
      <c r="H25" s="6">
        <v>650</v>
      </c>
      <c r="I25" s="6">
        <v>60</v>
      </c>
      <c r="J25" s="62">
        <v>1</v>
      </c>
      <c r="K25" s="6" t="s">
        <v>56</v>
      </c>
      <c r="L25" s="36">
        <v>39000</v>
      </c>
      <c r="M25" s="42">
        <v>42900</v>
      </c>
      <c r="N25" s="53">
        <v>0</v>
      </c>
      <c r="O25" s="48" t="s">
        <v>329</v>
      </c>
      <c r="P25" s="51" t="s">
        <v>330</v>
      </c>
      <c r="Q25" s="67">
        <f t="shared" si="0"/>
        <v>715</v>
      </c>
    </row>
    <row r="26" spans="1:17" ht="18.75" customHeight="1">
      <c r="A26" s="5">
        <v>1138380</v>
      </c>
      <c r="B26" s="28">
        <v>133737</v>
      </c>
      <c r="C26" s="5" t="s">
        <v>59</v>
      </c>
      <c r="D26" s="22">
        <v>45866.682638888888</v>
      </c>
      <c r="E26" s="17" t="s">
        <v>22</v>
      </c>
      <c r="F26" s="5" t="s">
        <v>331</v>
      </c>
      <c r="G26" s="17" t="s">
        <v>332</v>
      </c>
      <c r="H26" s="6">
        <v>460</v>
      </c>
      <c r="I26" s="6">
        <v>120</v>
      </c>
      <c r="J26" s="62">
        <v>1</v>
      </c>
      <c r="K26" s="6" t="s">
        <v>56</v>
      </c>
      <c r="L26" s="36">
        <v>55200</v>
      </c>
      <c r="M26" s="42">
        <v>60720</v>
      </c>
      <c r="N26" s="53">
        <v>0</v>
      </c>
      <c r="O26" s="48" t="s">
        <v>333</v>
      </c>
      <c r="P26" s="51" t="s">
        <v>207</v>
      </c>
      <c r="Q26" s="67">
        <f t="shared" si="0"/>
        <v>506</v>
      </c>
    </row>
    <row r="27" spans="1:17" ht="18.75" customHeight="1">
      <c r="A27" s="5">
        <v>1132669</v>
      </c>
      <c r="B27" s="28">
        <v>133083</v>
      </c>
      <c r="C27" s="5" t="s">
        <v>59</v>
      </c>
      <c r="D27" s="22">
        <v>45861.254861111112</v>
      </c>
      <c r="E27" s="17" t="s">
        <v>22</v>
      </c>
      <c r="F27" s="5" t="s">
        <v>334</v>
      </c>
      <c r="G27" s="17" t="s">
        <v>335</v>
      </c>
      <c r="H27" s="6">
        <v>1000</v>
      </c>
      <c r="I27" s="6">
        <v>36</v>
      </c>
      <c r="J27" s="62">
        <v>2</v>
      </c>
      <c r="K27" s="6" t="s">
        <v>56</v>
      </c>
      <c r="L27" s="36">
        <v>72000</v>
      </c>
      <c r="M27" s="42">
        <v>79200</v>
      </c>
      <c r="N27" s="53">
        <v>4000</v>
      </c>
      <c r="O27" s="48" t="s">
        <v>336</v>
      </c>
      <c r="P27" s="51" t="s">
        <v>337</v>
      </c>
      <c r="Q27" s="67">
        <f t="shared" si="0"/>
        <v>1161.1111111111111</v>
      </c>
    </row>
    <row r="28" spans="1:17" ht="18.75" customHeight="1">
      <c r="A28" s="5">
        <v>1124672</v>
      </c>
      <c r="B28" s="28">
        <v>132036</v>
      </c>
      <c r="C28" s="5" t="s">
        <v>59</v>
      </c>
      <c r="D28" s="22">
        <v>45853.537499999999</v>
      </c>
      <c r="E28" s="17" t="s">
        <v>22</v>
      </c>
      <c r="F28" s="5" t="s">
        <v>338</v>
      </c>
      <c r="G28" s="17" t="s">
        <v>339</v>
      </c>
      <c r="H28" s="6">
        <v>1000</v>
      </c>
      <c r="I28" s="6">
        <v>72</v>
      </c>
      <c r="J28" s="62">
        <v>0.5</v>
      </c>
      <c r="K28" s="6" t="s">
        <v>56</v>
      </c>
      <c r="L28" s="36">
        <v>36000</v>
      </c>
      <c r="M28" s="42">
        <v>39600</v>
      </c>
      <c r="N28" s="53">
        <v>1000</v>
      </c>
      <c r="O28" s="50" t="s">
        <v>290</v>
      </c>
      <c r="P28" s="51" t="s">
        <v>340</v>
      </c>
      <c r="Q28" s="67">
        <f t="shared" si="0"/>
        <v>1130.5555555555557</v>
      </c>
    </row>
    <row r="29" spans="1:17" ht="18.75" customHeight="1">
      <c r="A29" s="5">
        <v>1125128</v>
      </c>
      <c r="B29" s="28">
        <v>132036</v>
      </c>
      <c r="C29" s="5" t="s">
        <v>59</v>
      </c>
      <c r="D29" s="22">
        <v>45853.537499999999</v>
      </c>
      <c r="E29" s="17" t="s">
        <v>22</v>
      </c>
      <c r="F29" s="5" t="s">
        <v>341</v>
      </c>
      <c r="G29" s="17" t="s">
        <v>342</v>
      </c>
      <c r="H29" s="6">
        <v>634</v>
      </c>
      <c r="I29" s="6">
        <v>100</v>
      </c>
      <c r="J29" s="62">
        <v>1</v>
      </c>
      <c r="K29" s="6" t="s">
        <v>56</v>
      </c>
      <c r="L29" s="36">
        <v>63400</v>
      </c>
      <c r="M29" s="42">
        <v>69740</v>
      </c>
      <c r="N29" s="53">
        <v>0</v>
      </c>
      <c r="O29" s="50" t="s">
        <v>71</v>
      </c>
      <c r="P29" s="51" t="s">
        <v>343</v>
      </c>
      <c r="Q29" s="67">
        <f t="shared" si="0"/>
        <v>697.4</v>
      </c>
    </row>
    <row r="30" spans="1:17" ht="18.75" customHeight="1">
      <c r="A30" s="5">
        <v>1098136</v>
      </c>
      <c r="B30" s="28">
        <v>129589</v>
      </c>
      <c r="C30" s="5" t="s">
        <v>59</v>
      </c>
      <c r="D30" s="22">
        <v>45838.48541666667</v>
      </c>
      <c r="E30" s="17" t="s">
        <v>22</v>
      </c>
      <c r="F30" s="5" t="s">
        <v>344</v>
      </c>
      <c r="G30" s="17" t="s">
        <v>345</v>
      </c>
      <c r="H30" s="6">
        <v>139</v>
      </c>
      <c r="I30" s="6">
        <v>360</v>
      </c>
      <c r="J30" s="62">
        <v>1</v>
      </c>
      <c r="K30" s="6" t="s">
        <v>56</v>
      </c>
      <c r="L30" s="36">
        <v>50040</v>
      </c>
      <c r="M30" s="42">
        <v>55044</v>
      </c>
      <c r="N30" s="53">
        <v>0</v>
      </c>
      <c r="O30" s="50" t="s">
        <v>346</v>
      </c>
      <c r="P30" s="51" t="s">
        <v>347</v>
      </c>
      <c r="Q30" s="67">
        <f t="shared" si="0"/>
        <v>152.9</v>
      </c>
    </row>
    <row r="31" spans="1:17" ht="18.75" customHeight="1">
      <c r="A31" s="5">
        <v>1087279</v>
      </c>
      <c r="B31" s="28">
        <v>128652</v>
      </c>
      <c r="C31" s="5" t="s">
        <v>59</v>
      </c>
      <c r="D31" s="22">
        <v>45823.879166666666</v>
      </c>
      <c r="E31" s="17" t="s">
        <v>19</v>
      </c>
      <c r="F31" s="5" t="s">
        <v>348</v>
      </c>
      <c r="G31" s="17" t="s">
        <v>349</v>
      </c>
      <c r="H31" s="6">
        <v>180</v>
      </c>
      <c r="I31" s="6">
        <v>40</v>
      </c>
      <c r="J31" s="62">
        <v>3</v>
      </c>
      <c r="K31" s="6" t="s">
        <v>107</v>
      </c>
      <c r="L31" s="36">
        <v>21600</v>
      </c>
      <c r="M31" s="42">
        <v>23760</v>
      </c>
      <c r="N31" s="53">
        <v>540</v>
      </c>
      <c r="O31" s="48" t="s">
        <v>350</v>
      </c>
      <c r="P31" s="51">
        <v>45839</v>
      </c>
      <c r="Q31" s="67">
        <f t="shared" si="0"/>
        <v>202.95</v>
      </c>
    </row>
    <row r="32" spans="1:17" ht="18.75" customHeight="1">
      <c r="A32" s="5">
        <v>1077218</v>
      </c>
      <c r="B32" s="28">
        <v>127370</v>
      </c>
      <c r="C32" s="5" t="s">
        <v>59</v>
      </c>
      <c r="D32" s="22">
        <v>45814.757638888892</v>
      </c>
      <c r="E32" s="17" t="s">
        <v>19</v>
      </c>
      <c r="F32" s="5" t="s">
        <v>351</v>
      </c>
      <c r="G32" s="17" t="s">
        <v>352</v>
      </c>
      <c r="H32" s="6">
        <v>980</v>
      </c>
      <c r="I32" s="6">
        <v>60</v>
      </c>
      <c r="J32" s="62">
        <v>0.5</v>
      </c>
      <c r="K32" s="6" t="s">
        <v>56</v>
      </c>
      <c r="L32" s="36">
        <v>29400</v>
      </c>
      <c r="M32" s="42">
        <v>32340</v>
      </c>
      <c r="N32" s="53">
        <v>1000</v>
      </c>
      <c r="O32" s="48" t="s">
        <v>353</v>
      </c>
      <c r="P32" s="51" t="s">
        <v>207</v>
      </c>
      <c r="Q32" s="67">
        <f t="shared" si="0"/>
        <v>1114.6666666666667</v>
      </c>
    </row>
    <row r="33" spans="1:17" ht="18.75" customHeight="1">
      <c r="A33" s="5">
        <v>1077222</v>
      </c>
      <c r="B33" s="28">
        <v>127370</v>
      </c>
      <c r="C33" s="5" t="s">
        <v>59</v>
      </c>
      <c r="D33" s="22">
        <v>45814.757638888892</v>
      </c>
      <c r="E33" s="17" t="s">
        <v>19</v>
      </c>
      <c r="F33" s="5" t="s">
        <v>354</v>
      </c>
      <c r="G33" s="17" t="s">
        <v>355</v>
      </c>
      <c r="H33" s="6">
        <v>1000</v>
      </c>
      <c r="I33" s="6">
        <v>60</v>
      </c>
      <c r="J33" s="62">
        <v>0.5</v>
      </c>
      <c r="K33" s="6" t="s">
        <v>56</v>
      </c>
      <c r="L33" s="36">
        <v>30000</v>
      </c>
      <c r="M33" s="42">
        <v>33000</v>
      </c>
      <c r="N33" s="53">
        <v>1000</v>
      </c>
      <c r="O33" s="48" t="s">
        <v>356</v>
      </c>
      <c r="P33" s="51" t="s">
        <v>207</v>
      </c>
      <c r="Q33" s="67">
        <f t="shared" si="0"/>
        <v>1136.6666666666667</v>
      </c>
    </row>
    <row r="34" spans="1:17" ht="18.75" customHeight="1">
      <c r="A34" s="5">
        <v>1068187</v>
      </c>
      <c r="B34" s="28">
        <v>127085</v>
      </c>
      <c r="C34" s="5" t="s">
        <v>59</v>
      </c>
      <c r="D34" s="22">
        <v>45810.651388888888</v>
      </c>
      <c r="E34" s="17" t="s">
        <v>22</v>
      </c>
      <c r="F34" s="5" t="s">
        <v>357</v>
      </c>
      <c r="G34" s="17" t="s">
        <v>358</v>
      </c>
      <c r="H34" s="6">
        <v>480</v>
      </c>
      <c r="I34" s="6">
        <v>96</v>
      </c>
      <c r="J34" s="62">
        <v>1</v>
      </c>
      <c r="K34" s="6" t="s">
        <v>56</v>
      </c>
      <c r="L34" s="36">
        <v>46080</v>
      </c>
      <c r="M34" s="42">
        <v>50688</v>
      </c>
      <c r="N34" s="53">
        <v>0</v>
      </c>
      <c r="O34" s="48" t="s">
        <v>359</v>
      </c>
      <c r="P34" s="51" t="s">
        <v>237</v>
      </c>
      <c r="Q34" s="67">
        <f t="shared" si="0"/>
        <v>528</v>
      </c>
    </row>
    <row r="35" spans="1:17" ht="18.75" customHeight="1">
      <c r="A35" s="14">
        <v>1063105</v>
      </c>
      <c r="B35" s="29">
        <v>126536</v>
      </c>
      <c r="C35" s="14" t="s">
        <v>59</v>
      </c>
      <c r="D35" s="23">
        <v>45805.938888888886</v>
      </c>
      <c r="E35" s="18" t="s">
        <v>19</v>
      </c>
      <c r="F35" s="14" t="s">
        <v>360</v>
      </c>
      <c r="G35" s="18" t="s">
        <v>361</v>
      </c>
      <c r="H35" s="15">
        <v>880</v>
      </c>
      <c r="I35" s="15">
        <v>60</v>
      </c>
      <c r="J35" s="63">
        <v>0.5</v>
      </c>
      <c r="K35" s="15" t="s">
        <v>56</v>
      </c>
      <c r="L35" s="38">
        <v>26400</v>
      </c>
      <c r="M35" s="44">
        <v>29040</v>
      </c>
      <c r="N35" s="55">
        <v>0</v>
      </c>
      <c r="O35" s="48" t="s">
        <v>362</v>
      </c>
      <c r="P35" s="51" t="s">
        <v>207</v>
      </c>
      <c r="Q35" s="67">
        <f t="shared" si="0"/>
        <v>968</v>
      </c>
    </row>
    <row r="36" spans="1:17" ht="18.75" customHeight="1">
      <c r="A36" s="5">
        <v>1063097</v>
      </c>
      <c r="B36" s="28">
        <v>126506</v>
      </c>
      <c r="C36" s="5" t="s">
        <v>59</v>
      </c>
      <c r="D36" s="22">
        <v>45805.938194444447</v>
      </c>
      <c r="E36" s="17" t="s">
        <v>23</v>
      </c>
      <c r="F36" s="5" t="s">
        <v>360</v>
      </c>
      <c r="G36" s="17" t="s">
        <v>361</v>
      </c>
      <c r="H36" s="6">
        <v>880</v>
      </c>
      <c r="I36" s="6">
        <v>60</v>
      </c>
      <c r="J36" s="62">
        <v>0.5</v>
      </c>
      <c r="K36" s="6" t="s">
        <v>56</v>
      </c>
      <c r="L36" s="36">
        <v>26400</v>
      </c>
      <c r="M36" s="42">
        <v>29040</v>
      </c>
      <c r="N36" s="56">
        <v>0</v>
      </c>
      <c r="O36" s="48" t="s">
        <v>362</v>
      </c>
      <c r="P36" s="51" t="s">
        <v>207</v>
      </c>
      <c r="Q36" s="67">
        <f t="shared" si="0"/>
        <v>968</v>
      </c>
    </row>
    <row r="37" spans="1:17" ht="18.75" customHeight="1">
      <c r="A37" s="134">
        <v>1062709</v>
      </c>
      <c r="B37" s="28">
        <v>126442</v>
      </c>
      <c r="C37" s="5" t="s">
        <v>59</v>
      </c>
      <c r="D37" s="22">
        <v>45805.570138888892</v>
      </c>
      <c r="E37" s="135" t="s">
        <v>23</v>
      </c>
      <c r="F37" s="134" t="s">
        <v>363</v>
      </c>
      <c r="G37" s="17" t="s">
        <v>364</v>
      </c>
      <c r="H37" s="16">
        <v>1000</v>
      </c>
      <c r="I37" s="16">
        <v>60</v>
      </c>
      <c r="J37" s="136">
        <v>1</v>
      </c>
      <c r="K37" s="16" t="s">
        <v>56</v>
      </c>
      <c r="L37" s="36">
        <v>60000</v>
      </c>
      <c r="M37" s="45">
        <v>66000</v>
      </c>
      <c r="N37" s="53">
        <v>0</v>
      </c>
      <c r="O37" s="50" t="s">
        <v>71</v>
      </c>
      <c r="P37" s="51" t="s">
        <v>282</v>
      </c>
      <c r="Q37" s="67">
        <f t="shared" si="0"/>
        <v>1100</v>
      </c>
    </row>
    <row r="38" spans="1:17" ht="18.75" customHeight="1">
      <c r="A38" s="5">
        <v>1060527</v>
      </c>
      <c r="B38" s="28">
        <v>126197</v>
      </c>
      <c r="C38" s="5" t="s">
        <v>59</v>
      </c>
      <c r="D38" s="22">
        <v>45803.693749999999</v>
      </c>
      <c r="E38" s="17" t="s">
        <v>22</v>
      </c>
      <c r="F38" s="5" t="s">
        <v>365</v>
      </c>
      <c r="G38" s="17" t="s">
        <v>366</v>
      </c>
      <c r="H38" s="6">
        <v>480</v>
      </c>
      <c r="I38" s="6">
        <v>96</v>
      </c>
      <c r="J38" s="62">
        <v>1</v>
      </c>
      <c r="K38" s="6" t="s">
        <v>56</v>
      </c>
      <c r="L38" s="36">
        <v>46080</v>
      </c>
      <c r="M38" s="42">
        <v>50688</v>
      </c>
      <c r="N38" s="53">
        <v>0</v>
      </c>
      <c r="O38" s="48" t="s">
        <v>367</v>
      </c>
      <c r="P38" s="51" t="s">
        <v>251</v>
      </c>
      <c r="Q38" s="67">
        <f t="shared" si="0"/>
        <v>528</v>
      </c>
    </row>
    <row r="39" spans="1:17" ht="18.75" customHeight="1">
      <c r="A39" s="5">
        <v>1060524</v>
      </c>
      <c r="B39" s="28">
        <v>126195</v>
      </c>
      <c r="C39" s="5" t="s">
        <v>59</v>
      </c>
      <c r="D39" s="22">
        <v>45803.693055555559</v>
      </c>
      <c r="E39" s="17" t="s">
        <v>23</v>
      </c>
      <c r="F39" s="5" t="s">
        <v>365</v>
      </c>
      <c r="G39" s="17" t="s">
        <v>366</v>
      </c>
      <c r="H39" s="6">
        <v>480</v>
      </c>
      <c r="I39" s="6">
        <v>96</v>
      </c>
      <c r="J39" s="62">
        <v>0.5</v>
      </c>
      <c r="K39" s="6" t="s">
        <v>56</v>
      </c>
      <c r="L39" s="36">
        <v>23040</v>
      </c>
      <c r="M39" s="42">
        <v>25344</v>
      </c>
      <c r="N39" s="53">
        <v>1000</v>
      </c>
      <c r="O39" s="48" t="s">
        <v>367</v>
      </c>
      <c r="P39" s="51" t="s">
        <v>251</v>
      </c>
      <c r="Q39" s="67">
        <f t="shared" si="0"/>
        <v>550.91666666666663</v>
      </c>
    </row>
    <row r="40" spans="1:17" ht="18.75" customHeight="1">
      <c r="A40" s="5">
        <v>1060523</v>
      </c>
      <c r="B40" s="30">
        <v>126195</v>
      </c>
      <c r="C40" s="5" t="s">
        <v>59</v>
      </c>
      <c r="D40" s="22">
        <v>45803.693055555559</v>
      </c>
      <c r="E40" s="17" t="s">
        <v>23</v>
      </c>
      <c r="F40" s="5" t="s">
        <v>368</v>
      </c>
      <c r="G40" s="17" t="s">
        <v>369</v>
      </c>
      <c r="H40" s="6">
        <v>250</v>
      </c>
      <c r="I40" s="6">
        <v>200</v>
      </c>
      <c r="J40" s="62">
        <v>1</v>
      </c>
      <c r="K40" s="6" t="s">
        <v>56</v>
      </c>
      <c r="L40" s="36">
        <v>50000</v>
      </c>
      <c r="M40" s="42">
        <v>55000</v>
      </c>
      <c r="N40" s="53">
        <v>0</v>
      </c>
      <c r="O40" s="48" t="s">
        <v>370</v>
      </c>
      <c r="P40" s="51" t="s">
        <v>371</v>
      </c>
      <c r="Q40" s="67">
        <f t="shared" si="0"/>
        <v>275</v>
      </c>
    </row>
    <row r="41" spans="1:17" ht="18.75" customHeight="1">
      <c r="A41" s="7">
        <v>1060522</v>
      </c>
      <c r="B41" s="30">
        <v>126194</v>
      </c>
      <c r="C41" s="8" t="s">
        <v>59</v>
      </c>
      <c r="D41" s="24">
        <v>45803.688888888886</v>
      </c>
      <c r="E41" s="19" t="s">
        <v>19</v>
      </c>
      <c r="F41" s="8" t="s">
        <v>368</v>
      </c>
      <c r="G41" s="19" t="s">
        <v>369</v>
      </c>
      <c r="H41" s="9">
        <v>250</v>
      </c>
      <c r="I41" s="9">
        <v>200</v>
      </c>
      <c r="J41" s="64">
        <v>1</v>
      </c>
      <c r="K41" s="9" t="s">
        <v>56</v>
      </c>
      <c r="L41" s="39">
        <v>50000</v>
      </c>
      <c r="M41" s="46">
        <v>55000</v>
      </c>
      <c r="N41" s="53">
        <v>0</v>
      </c>
      <c r="O41" s="48" t="s">
        <v>370</v>
      </c>
      <c r="P41" s="51" t="s">
        <v>371</v>
      </c>
      <c r="Q41" s="67">
        <f t="shared" si="0"/>
        <v>275</v>
      </c>
    </row>
    <row r="42" spans="1:17" ht="18.75" customHeight="1">
      <c r="A42" s="137">
        <v>1050855</v>
      </c>
      <c r="B42" s="28">
        <v>125030</v>
      </c>
      <c r="C42" s="5" t="s">
        <v>59</v>
      </c>
      <c r="D42" s="22">
        <v>45792.522222222222</v>
      </c>
      <c r="E42" s="17" t="s">
        <v>19</v>
      </c>
      <c r="F42" s="5" t="s">
        <v>372</v>
      </c>
      <c r="G42" s="17" t="s">
        <v>373</v>
      </c>
      <c r="H42" s="6">
        <v>1000</v>
      </c>
      <c r="I42" s="6">
        <v>60</v>
      </c>
      <c r="J42" s="62">
        <v>0.5</v>
      </c>
      <c r="K42" s="6" t="s">
        <v>56</v>
      </c>
      <c r="L42" s="36">
        <v>30000</v>
      </c>
      <c r="M42" s="46">
        <v>33000</v>
      </c>
      <c r="N42" s="53">
        <v>1000</v>
      </c>
      <c r="O42" s="48" t="s">
        <v>71</v>
      </c>
      <c r="P42" s="51" t="s">
        <v>282</v>
      </c>
      <c r="Q42" s="67">
        <f t="shared" si="0"/>
        <v>1136.6666666666667</v>
      </c>
    </row>
    <row r="43" spans="1:17" ht="18.75" customHeight="1">
      <c r="A43" s="137">
        <v>1049408</v>
      </c>
      <c r="B43" s="28">
        <v>124821</v>
      </c>
      <c r="C43" s="5" t="s">
        <v>59</v>
      </c>
      <c r="D43" s="22">
        <v>45789.94027777778</v>
      </c>
      <c r="E43" s="17" t="s">
        <v>22</v>
      </c>
      <c r="F43" s="5" t="s">
        <v>357</v>
      </c>
      <c r="G43" s="17" t="s">
        <v>358</v>
      </c>
      <c r="H43" s="6">
        <v>480</v>
      </c>
      <c r="I43" s="6">
        <v>96</v>
      </c>
      <c r="J43" s="62">
        <v>1</v>
      </c>
      <c r="K43" s="6" t="s">
        <v>56</v>
      </c>
      <c r="L43" s="36">
        <v>46080</v>
      </c>
      <c r="M43" s="46">
        <v>50688</v>
      </c>
      <c r="N43" s="53">
        <v>0</v>
      </c>
      <c r="O43" s="48" t="s">
        <v>374</v>
      </c>
      <c r="P43" s="51" t="s">
        <v>237</v>
      </c>
      <c r="Q43" s="67">
        <f t="shared" si="0"/>
        <v>528</v>
      </c>
    </row>
    <row r="44" spans="1:17" ht="18.75" customHeight="1">
      <c r="A44" s="137">
        <v>1049407</v>
      </c>
      <c r="B44" s="28">
        <v>124820</v>
      </c>
      <c r="C44" s="5" t="s">
        <v>59</v>
      </c>
      <c r="D44" s="22">
        <v>45789.938888888886</v>
      </c>
      <c r="E44" s="17" t="s">
        <v>23</v>
      </c>
      <c r="F44" s="5" t="s">
        <v>357</v>
      </c>
      <c r="G44" s="17" t="s">
        <v>358</v>
      </c>
      <c r="H44" s="6">
        <v>480</v>
      </c>
      <c r="I44" s="6">
        <v>96</v>
      </c>
      <c r="J44" s="62">
        <v>0.5</v>
      </c>
      <c r="K44" s="6" t="s">
        <v>56</v>
      </c>
      <c r="L44" s="36">
        <v>23040</v>
      </c>
      <c r="M44" s="46">
        <v>25344</v>
      </c>
      <c r="N44" s="53">
        <v>0</v>
      </c>
      <c r="O44" s="48" t="s">
        <v>375</v>
      </c>
      <c r="P44" s="51" t="s">
        <v>237</v>
      </c>
      <c r="Q44" s="67">
        <f t="shared" si="0"/>
        <v>528</v>
      </c>
    </row>
    <row r="45" spans="1:17" ht="18.75" customHeight="1">
      <c r="A45" s="10">
        <v>1049406</v>
      </c>
      <c r="B45" s="138">
        <v>124820</v>
      </c>
      <c r="C45" s="134" t="s">
        <v>59</v>
      </c>
      <c r="D45" s="139">
        <v>45789.938888888886</v>
      </c>
      <c r="E45" s="135" t="s">
        <v>23</v>
      </c>
      <c r="F45" s="134" t="s">
        <v>376</v>
      </c>
      <c r="G45" s="135" t="s">
        <v>377</v>
      </c>
      <c r="H45" s="16">
        <v>1000</v>
      </c>
      <c r="I45" s="16">
        <v>48</v>
      </c>
      <c r="J45" s="136">
        <v>0.5</v>
      </c>
      <c r="K45" s="16" t="s">
        <v>56</v>
      </c>
      <c r="L45" s="140">
        <v>24000</v>
      </c>
      <c r="M45" s="45">
        <v>26400</v>
      </c>
      <c r="N45" s="53">
        <v>1500</v>
      </c>
      <c r="O45" s="48" t="s">
        <v>378</v>
      </c>
      <c r="P45" s="51" t="s">
        <v>237</v>
      </c>
      <c r="Q45" s="67">
        <f t="shared" si="0"/>
        <v>1168.75</v>
      </c>
    </row>
    <row r="46" spans="1:17" ht="18.75" customHeight="1">
      <c r="A46" s="134">
        <v>1035547</v>
      </c>
      <c r="B46" s="138">
        <v>123804</v>
      </c>
      <c r="C46" s="134" t="s">
        <v>59</v>
      </c>
      <c r="D46" s="139">
        <v>45781.791666666664</v>
      </c>
      <c r="E46" s="135" t="s">
        <v>22</v>
      </c>
      <c r="F46" s="134" t="s">
        <v>379</v>
      </c>
      <c r="G46" s="135" t="s">
        <v>380</v>
      </c>
      <c r="H46" s="16">
        <v>180</v>
      </c>
      <c r="I46" s="16">
        <v>40</v>
      </c>
      <c r="J46" s="136">
        <v>2</v>
      </c>
      <c r="K46" s="16" t="s">
        <v>107</v>
      </c>
      <c r="L46" s="140">
        <v>14400</v>
      </c>
      <c r="M46" s="45">
        <v>15840</v>
      </c>
      <c r="N46" s="195">
        <v>500</v>
      </c>
      <c r="O46" s="196" t="s">
        <v>274</v>
      </c>
      <c r="P46" s="51" t="s">
        <v>381</v>
      </c>
      <c r="Q46" s="67">
        <f t="shared" si="0"/>
        <v>204.875</v>
      </c>
    </row>
    <row r="47" spans="1:17" ht="18.75" customHeight="1">
      <c r="A47" s="198">
        <v>1035496</v>
      </c>
      <c r="B47" s="204">
        <v>123801</v>
      </c>
      <c r="C47" s="198" t="s">
        <v>59</v>
      </c>
      <c r="D47" s="205">
        <v>45781.788194444445</v>
      </c>
      <c r="E47" s="198" t="s">
        <v>19</v>
      </c>
      <c r="F47" s="198" t="s">
        <v>382</v>
      </c>
      <c r="G47" s="199" t="s">
        <v>383</v>
      </c>
      <c r="H47" s="200">
        <v>300</v>
      </c>
      <c r="I47" s="200">
        <v>30</v>
      </c>
      <c r="J47" s="201">
        <v>1</v>
      </c>
      <c r="K47" s="200" t="s">
        <v>107</v>
      </c>
      <c r="L47" s="202">
        <v>9000</v>
      </c>
      <c r="M47" s="202">
        <v>9900</v>
      </c>
      <c r="N47" s="202">
        <v>480</v>
      </c>
      <c r="O47" s="203" t="s">
        <v>274</v>
      </c>
      <c r="P47" s="58" t="s">
        <v>237</v>
      </c>
      <c r="Q47" s="67">
        <f t="shared" si="0"/>
        <v>347.6</v>
      </c>
    </row>
    <row r="48" spans="1:17" ht="18.75" customHeight="1">
      <c r="A48" s="198">
        <v>1009163</v>
      </c>
      <c r="B48" s="204">
        <v>120857</v>
      </c>
      <c r="C48" s="198" t="s">
        <v>59</v>
      </c>
      <c r="D48" s="205">
        <v>45756.686805555553</v>
      </c>
      <c r="E48" s="198" t="s">
        <v>19</v>
      </c>
      <c r="F48" s="198" t="s">
        <v>363</v>
      </c>
      <c r="G48" s="199" t="s">
        <v>364</v>
      </c>
      <c r="H48" s="200">
        <v>1000</v>
      </c>
      <c r="I48" s="200">
        <v>60</v>
      </c>
      <c r="J48" s="201">
        <v>1</v>
      </c>
      <c r="K48" s="200" t="s">
        <v>56</v>
      </c>
      <c r="L48" s="202">
        <v>60000</v>
      </c>
      <c r="M48" s="202">
        <v>66000</v>
      </c>
      <c r="N48" s="53">
        <v>0</v>
      </c>
      <c r="O48" s="48" t="s">
        <v>71</v>
      </c>
      <c r="P48" s="58" t="s">
        <v>282</v>
      </c>
      <c r="Q48" s="67">
        <f t="shared" si="0"/>
        <v>1100</v>
      </c>
    </row>
    <row r="49" spans="1:17" ht="18.75" customHeight="1">
      <c r="A49" s="122">
        <v>1008542</v>
      </c>
      <c r="B49" s="123">
        <v>120816</v>
      </c>
      <c r="C49" s="122" t="s">
        <v>59</v>
      </c>
      <c r="D49" s="124">
        <v>45754.925694444442</v>
      </c>
      <c r="E49" s="132" t="s">
        <v>122</v>
      </c>
      <c r="F49" s="122" t="s">
        <v>280</v>
      </c>
      <c r="G49" s="132" t="s">
        <v>281</v>
      </c>
      <c r="H49" s="125">
        <v>680</v>
      </c>
      <c r="I49" s="125">
        <v>96</v>
      </c>
      <c r="J49" s="126">
        <v>2</v>
      </c>
      <c r="K49" s="125" t="s">
        <v>56</v>
      </c>
      <c r="L49" s="95">
        <v>130560</v>
      </c>
      <c r="M49" s="95">
        <v>143616</v>
      </c>
      <c r="N49" s="56">
        <v>0</v>
      </c>
      <c r="O49" s="49" t="s">
        <v>71</v>
      </c>
      <c r="P49" s="59" t="s">
        <v>282</v>
      </c>
      <c r="Q49" s="67">
        <f t="shared" si="0"/>
        <v>748</v>
      </c>
    </row>
    <row r="50" spans="1:17" ht="18.75" customHeight="1">
      <c r="A50" s="122">
        <v>1008541</v>
      </c>
      <c r="B50" s="123">
        <v>120814</v>
      </c>
      <c r="C50" s="122" t="s">
        <v>59</v>
      </c>
      <c r="D50" s="124">
        <v>45754.924305555556</v>
      </c>
      <c r="E50" s="96" t="s">
        <v>19</v>
      </c>
      <c r="F50" s="122" t="s">
        <v>280</v>
      </c>
      <c r="G50" s="132" t="s">
        <v>281</v>
      </c>
      <c r="H50" s="125">
        <v>680</v>
      </c>
      <c r="I50" s="125">
        <v>96</v>
      </c>
      <c r="J50" s="126">
        <v>2</v>
      </c>
      <c r="K50" s="125" t="s">
        <v>56</v>
      </c>
      <c r="L50" s="95">
        <v>130560</v>
      </c>
      <c r="M50" s="95">
        <v>143616</v>
      </c>
      <c r="N50" s="56">
        <v>0</v>
      </c>
      <c r="O50" s="49" t="s">
        <v>71</v>
      </c>
      <c r="P50" s="59" t="s">
        <v>282</v>
      </c>
      <c r="Q50" s="67">
        <f t="shared" si="0"/>
        <v>748</v>
      </c>
    </row>
    <row r="51" spans="1:17" ht="18.75" customHeight="1">
      <c r="A51" s="122">
        <v>1001492</v>
      </c>
      <c r="B51" s="123">
        <v>120347</v>
      </c>
      <c r="C51" s="122" t="s">
        <v>59</v>
      </c>
      <c r="D51" s="124">
        <v>45752.005555555559</v>
      </c>
      <c r="E51" s="132" t="s">
        <v>22</v>
      </c>
      <c r="F51" s="122" t="s">
        <v>384</v>
      </c>
      <c r="G51" s="132" t="s">
        <v>385</v>
      </c>
      <c r="H51" s="125">
        <v>180</v>
      </c>
      <c r="I51" s="125">
        <v>40</v>
      </c>
      <c r="J51" s="126">
        <v>2</v>
      </c>
      <c r="K51" s="125" t="s">
        <v>107</v>
      </c>
      <c r="L51" s="95">
        <v>14400</v>
      </c>
      <c r="M51" s="95">
        <v>15840</v>
      </c>
      <c r="N51" s="56">
        <v>500</v>
      </c>
      <c r="O51" s="49" t="s">
        <v>274</v>
      </c>
      <c r="P51" s="59" t="s">
        <v>386</v>
      </c>
      <c r="Q51" s="67">
        <f t="shared" si="0"/>
        <v>204.875</v>
      </c>
    </row>
    <row r="52" spans="1:17" ht="18.75" customHeight="1">
      <c r="A52" s="122">
        <v>997349</v>
      </c>
      <c r="B52" s="123">
        <v>120131</v>
      </c>
      <c r="C52" s="122" t="s">
        <v>59</v>
      </c>
      <c r="D52" s="124">
        <v>45749.950694444444</v>
      </c>
      <c r="E52" s="132" t="s">
        <v>23</v>
      </c>
      <c r="F52" s="122" t="s">
        <v>387</v>
      </c>
      <c r="G52" s="132" t="s">
        <v>388</v>
      </c>
      <c r="H52" s="125">
        <v>1000</v>
      </c>
      <c r="I52" s="125">
        <v>60</v>
      </c>
      <c r="J52" s="126">
        <v>1</v>
      </c>
      <c r="K52" s="125" t="s">
        <v>56</v>
      </c>
      <c r="L52" s="95">
        <v>60000</v>
      </c>
      <c r="M52" s="95">
        <v>66000</v>
      </c>
      <c r="N52" s="56">
        <v>0</v>
      </c>
      <c r="O52" s="49" t="s">
        <v>71</v>
      </c>
      <c r="P52" s="59" t="s">
        <v>282</v>
      </c>
      <c r="Q52" s="67">
        <f t="shared" si="0"/>
        <v>1100</v>
      </c>
    </row>
    <row r="53" spans="1:17" ht="18.75" customHeight="1">
      <c r="A53" s="122">
        <v>997348</v>
      </c>
      <c r="B53" s="123">
        <v>120130</v>
      </c>
      <c r="C53" s="122" t="s">
        <v>59</v>
      </c>
      <c r="D53" s="124">
        <v>45749.950694444444</v>
      </c>
      <c r="E53" s="132" t="s">
        <v>122</v>
      </c>
      <c r="F53" s="122" t="s">
        <v>387</v>
      </c>
      <c r="G53" s="132" t="s">
        <v>388</v>
      </c>
      <c r="H53" s="125">
        <v>1000</v>
      </c>
      <c r="I53" s="125">
        <v>60</v>
      </c>
      <c r="J53" s="126">
        <v>1</v>
      </c>
      <c r="K53" s="125" t="s">
        <v>56</v>
      </c>
      <c r="L53" s="95">
        <v>60000</v>
      </c>
      <c r="M53" s="95">
        <v>66000</v>
      </c>
      <c r="N53" s="56">
        <v>0</v>
      </c>
      <c r="O53" s="49" t="s">
        <v>71</v>
      </c>
      <c r="P53" s="59" t="s">
        <v>282</v>
      </c>
      <c r="Q53" s="67">
        <f t="shared" si="0"/>
        <v>1100</v>
      </c>
    </row>
    <row r="54" spans="1:17" ht="18.75" customHeight="1">
      <c r="A54" s="122">
        <v>997347</v>
      </c>
      <c r="B54" s="123">
        <v>120129</v>
      </c>
      <c r="C54" s="122" t="s">
        <v>59</v>
      </c>
      <c r="D54" s="124">
        <v>45749.95</v>
      </c>
      <c r="E54" s="132" t="s">
        <v>19</v>
      </c>
      <c r="F54" s="122" t="s">
        <v>387</v>
      </c>
      <c r="G54" s="132" t="s">
        <v>388</v>
      </c>
      <c r="H54" s="125">
        <v>1000</v>
      </c>
      <c r="I54" s="125">
        <v>60</v>
      </c>
      <c r="J54" s="126">
        <v>2</v>
      </c>
      <c r="K54" s="125" t="s">
        <v>56</v>
      </c>
      <c r="L54" s="95">
        <v>120000</v>
      </c>
      <c r="M54" s="95">
        <v>132000</v>
      </c>
      <c r="N54" s="56">
        <v>0</v>
      </c>
      <c r="O54" s="49" t="s">
        <v>71</v>
      </c>
      <c r="P54" s="59" t="s">
        <v>282</v>
      </c>
      <c r="Q54" s="67">
        <f t="shared" si="0"/>
        <v>1100</v>
      </c>
    </row>
    <row r="55" spans="1:17" ht="18.75" customHeight="1">
      <c r="A55" s="122">
        <v>996781</v>
      </c>
      <c r="B55" s="123">
        <v>120085</v>
      </c>
      <c r="C55" s="122" t="s">
        <v>59</v>
      </c>
      <c r="D55" s="124">
        <v>45749.663888888892</v>
      </c>
      <c r="E55" s="132" t="s">
        <v>23</v>
      </c>
      <c r="F55" s="122" t="s">
        <v>280</v>
      </c>
      <c r="G55" s="132" t="s">
        <v>281</v>
      </c>
      <c r="H55" s="125">
        <v>680</v>
      </c>
      <c r="I55" s="125">
        <v>96</v>
      </c>
      <c r="J55" s="126">
        <v>2</v>
      </c>
      <c r="K55" s="125" t="s">
        <v>56</v>
      </c>
      <c r="L55" s="95">
        <v>130560</v>
      </c>
      <c r="M55" s="95">
        <v>143616</v>
      </c>
      <c r="N55" s="56">
        <v>0</v>
      </c>
      <c r="O55" s="49" t="s">
        <v>71</v>
      </c>
      <c r="P55" s="59" t="s">
        <v>282</v>
      </c>
      <c r="Q55" s="67">
        <f t="shared" si="0"/>
        <v>748</v>
      </c>
    </row>
    <row r="56" spans="1:17" ht="18.75" customHeight="1">
      <c r="A56" s="122">
        <v>996780</v>
      </c>
      <c r="B56" s="123">
        <v>120084</v>
      </c>
      <c r="C56" s="122" t="s">
        <v>59</v>
      </c>
      <c r="D56" s="124">
        <v>45749.663888888892</v>
      </c>
      <c r="E56" s="132" t="s">
        <v>122</v>
      </c>
      <c r="F56" s="122" t="s">
        <v>280</v>
      </c>
      <c r="G56" s="132" t="s">
        <v>281</v>
      </c>
      <c r="H56" s="125">
        <v>680</v>
      </c>
      <c r="I56" s="125">
        <v>96</v>
      </c>
      <c r="J56" s="126">
        <v>2</v>
      </c>
      <c r="K56" s="125" t="s">
        <v>56</v>
      </c>
      <c r="L56" s="95">
        <v>130560</v>
      </c>
      <c r="M56" s="95">
        <v>143616</v>
      </c>
      <c r="N56" s="56">
        <v>0</v>
      </c>
      <c r="O56" s="49" t="s">
        <v>71</v>
      </c>
      <c r="P56" s="59" t="s">
        <v>282</v>
      </c>
      <c r="Q56" s="67">
        <f t="shared" si="0"/>
        <v>748</v>
      </c>
    </row>
    <row r="57" spans="1:17" ht="18.75" customHeight="1">
      <c r="A57" s="122">
        <v>996779</v>
      </c>
      <c r="B57" s="123">
        <v>120083</v>
      </c>
      <c r="C57" s="122" t="s">
        <v>59</v>
      </c>
      <c r="D57" s="124">
        <v>45749.663194444445</v>
      </c>
      <c r="E57" s="132" t="s">
        <v>19</v>
      </c>
      <c r="F57" s="122" t="s">
        <v>280</v>
      </c>
      <c r="G57" s="132" t="s">
        <v>281</v>
      </c>
      <c r="H57" s="125">
        <v>680</v>
      </c>
      <c r="I57" s="125">
        <v>96</v>
      </c>
      <c r="J57" s="126">
        <v>4</v>
      </c>
      <c r="K57" s="125" t="s">
        <v>56</v>
      </c>
      <c r="L57" s="95">
        <v>261120</v>
      </c>
      <c r="M57" s="95">
        <v>287232</v>
      </c>
      <c r="N57" s="56">
        <v>0</v>
      </c>
      <c r="O57" s="49" t="s">
        <v>71</v>
      </c>
      <c r="P57" s="59" t="s">
        <v>282</v>
      </c>
      <c r="Q57" s="67">
        <f t="shared" si="0"/>
        <v>748</v>
      </c>
    </row>
    <row r="58" spans="1:17" ht="18.75" customHeight="1">
      <c r="A58" s="122">
        <v>996776</v>
      </c>
      <c r="B58" s="123">
        <v>120081</v>
      </c>
      <c r="C58" s="122" t="s">
        <v>59</v>
      </c>
      <c r="D58" s="124">
        <v>45749.663194444445</v>
      </c>
      <c r="E58" s="132" t="s">
        <v>22</v>
      </c>
      <c r="F58" s="122" t="s">
        <v>389</v>
      </c>
      <c r="G58" s="132" t="s">
        <v>390</v>
      </c>
      <c r="H58" s="125">
        <v>200</v>
      </c>
      <c r="I58" s="125">
        <v>240</v>
      </c>
      <c r="J58" s="126">
        <v>1</v>
      </c>
      <c r="K58" s="125" t="s">
        <v>56</v>
      </c>
      <c r="L58" s="95">
        <v>48000</v>
      </c>
      <c r="M58" s="95">
        <v>52800</v>
      </c>
      <c r="N58" s="56">
        <v>0</v>
      </c>
      <c r="O58" s="49" t="s">
        <v>71</v>
      </c>
      <c r="P58" s="59" t="s">
        <v>282</v>
      </c>
      <c r="Q58" s="67">
        <f t="shared" si="0"/>
        <v>220</v>
      </c>
    </row>
    <row r="59" spans="1:17" ht="18.75" customHeight="1">
      <c r="A59" s="122">
        <v>996767</v>
      </c>
      <c r="B59" s="123">
        <v>120081</v>
      </c>
      <c r="C59" s="122" t="s">
        <v>59</v>
      </c>
      <c r="D59" s="124">
        <v>45749.663194444445</v>
      </c>
      <c r="E59" s="132" t="s">
        <v>22</v>
      </c>
      <c r="F59" s="122" t="s">
        <v>387</v>
      </c>
      <c r="G59" s="132" t="s">
        <v>388</v>
      </c>
      <c r="H59" s="125">
        <v>1000</v>
      </c>
      <c r="I59" s="125">
        <v>60</v>
      </c>
      <c r="J59" s="126">
        <v>2</v>
      </c>
      <c r="K59" s="125" t="s">
        <v>56</v>
      </c>
      <c r="L59" s="95">
        <v>120000</v>
      </c>
      <c r="M59" s="95">
        <v>132000</v>
      </c>
      <c r="N59" s="56">
        <v>0</v>
      </c>
      <c r="O59" s="49" t="s">
        <v>71</v>
      </c>
      <c r="P59" s="59" t="s">
        <v>282</v>
      </c>
      <c r="Q59" s="67">
        <f t="shared" si="0"/>
        <v>1100</v>
      </c>
    </row>
    <row r="60" spans="1:17" ht="18.75" customHeight="1">
      <c r="A60" s="122">
        <v>996774</v>
      </c>
      <c r="B60" s="123">
        <v>120081</v>
      </c>
      <c r="C60" s="122" t="s">
        <v>59</v>
      </c>
      <c r="D60" s="124">
        <v>45749.663194444445</v>
      </c>
      <c r="E60" s="132" t="s">
        <v>22</v>
      </c>
      <c r="F60" s="122" t="s">
        <v>280</v>
      </c>
      <c r="G60" s="132" t="s">
        <v>281</v>
      </c>
      <c r="H60" s="125">
        <v>680</v>
      </c>
      <c r="I60" s="125">
        <v>96</v>
      </c>
      <c r="J60" s="126">
        <v>2</v>
      </c>
      <c r="K60" s="125" t="s">
        <v>56</v>
      </c>
      <c r="L60" s="95">
        <v>130560</v>
      </c>
      <c r="M60" s="95">
        <v>143616</v>
      </c>
      <c r="N60" s="56">
        <v>0</v>
      </c>
      <c r="O60" s="49" t="s">
        <v>71</v>
      </c>
      <c r="P60" s="59" t="s">
        <v>282</v>
      </c>
      <c r="Q60" s="67">
        <f t="shared" si="0"/>
        <v>748</v>
      </c>
    </row>
    <row r="61" spans="1:17" ht="18.75" customHeight="1">
      <c r="A61" s="122">
        <v>996117</v>
      </c>
      <c r="B61" s="123">
        <v>119963</v>
      </c>
      <c r="C61" s="122" t="s">
        <v>59</v>
      </c>
      <c r="D61" s="124">
        <v>45748.911805555559</v>
      </c>
      <c r="E61" s="132" t="s">
        <v>23</v>
      </c>
      <c r="F61" s="122" t="s">
        <v>391</v>
      </c>
      <c r="G61" s="132" t="s">
        <v>392</v>
      </c>
      <c r="H61" s="125">
        <v>1000</v>
      </c>
      <c r="I61" s="125">
        <v>60</v>
      </c>
      <c r="J61" s="126">
        <v>2</v>
      </c>
      <c r="K61" s="125" t="s">
        <v>56</v>
      </c>
      <c r="L61" s="95">
        <v>120000</v>
      </c>
      <c r="M61" s="95">
        <v>132000</v>
      </c>
      <c r="N61" s="56">
        <v>0</v>
      </c>
      <c r="O61" s="49" t="s">
        <v>393</v>
      </c>
      <c r="P61" s="59" t="s">
        <v>394</v>
      </c>
      <c r="Q61" s="67">
        <f t="shared" si="0"/>
        <v>1100</v>
      </c>
    </row>
    <row r="62" spans="1:17" ht="18.75" customHeight="1">
      <c r="A62" s="122">
        <v>996114</v>
      </c>
      <c r="B62" s="123">
        <v>119962</v>
      </c>
      <c r="C62" s="122" t="s">
        <v>59</v>
      </c>
      <c r="D62" s="124">
        <v>45748.911111111112</v>
      </c>
      <c r="E62" s="132" t="s">
        <v>19</v>
      </c>
      <c r="F62" s="122" t="s">
        <v>391</v>
      </c>
      <c r="G62" s="132" t="s">
        <v>392</v>
      </c>
      <c r="H62" s="125">
        <v>1000</v>
      </c>
      <c r="I62" s="125">
        <v>60</v>
      </c>
      <c r="J62" s="126">
        <v>2</v>
      </c>
      <c r="K62" s="125" t="s">
        <v>56</v>
      </c>
      <c r="L62" s="95">
        <v>120000</v>
      </c>
      <c r="M62" s="95">
        <v>132000</v>
      </c>
      <c r="N62" s="56">
        <v>0</v>
      </c>
      <c r="O62" s="49" t="s">
        <v>393</v>
      </c>
      <c r="P62" s="59" t="s">
        <v>394</v>
      </c>
      <c r="Q62" s="67">
        <f t="shared" si="0"/>
        <v>1100</v>
      </c>
    </row>
    <row r="63" spans="1:17" ht="18.75" customHeight="1">
      <c r="A63" s="122">
        <v>996113</v>
      </c>
      <c r="B63" s="123">
        <v>119961</v>
      </c>
      <c r="C63" s="122" t="s">
        <v>59</v>
      </c>
      <c r="D63" s="124">
        <v>45748.909722222219</v>
      </c>
      <c r="E63" s="132" t="s">
        <v>122</v>
      </c>
      <c r="F63" s="122" t="s">
        <v>391</v>
      </c>
      <c r="G63" s="132" t="s">
        <v>392</v>
      </c>
      <c r="H63" s="125">
        <v>1000</v>
      </c>
      <c r="I63" s="125">
        <v>60</v>
      </c>
      <c r="J63" s="126">
        <v>2</v>
      </c>
      <c r="K63" s="125" t="s">
        <v>56</v>
      </c>
      <c r="L63" s="95">
        <v>120000</v>
      </c>
      <c r="M63" s="95">
        <v>132000</v>
      </c>
      <c r="N63" s="56">
        <v>0</v>
      </c>
      <c r="O63" s="49" t="s">
        <v>393</v>
      </c>
      <c r="P63" s="59" t="s">
        <v>394</v>
      </c>
      <c r="Q63" s="67">
        <f t="shared" si="0"/>
        <v>1100</v>
      </c>
    </row>
    <row r="64" spans="1:17" ht="18.75" customHeight="1">
      <c r="A64" s="122">
        <v>996110</v>
      </c>
      <c r="B64" s="123">
        <v>119960</v>
      </c>
      <c r="C64" s="122" t="s">
        <v>59</v>
      </c>
      <c r="D64" s="124">
        <v>45748.90902777778</v>
      </c>
      <c r="E64" s="132" t="s">
        <v>22</v>
      </c>
      <c r="F64" s="122" t="s">
        <v>391</v>
      </c>
      <c r="G64" s="132" t="s">
        <v>392</v>
      </c>
      <c r="H64" s="125">
        <v>1000</v>
      </c>
      <c r="I64" s="125">
        <v>60</v>
      </c>
      <c r="J64" s="126">
        <v>2</v>
      </c>
      <c r="K64" s="125" t="s">
        <v>56</v>
      </c>
      <c r="L64" s="95">
        <v>120000</v>
      </c>
      <c r="M64" s="95">
        <v>132000</v>
      </c>
      <c r="N64" s="56">
        <v>0</v>
      </c>
      <c r="O64" s="49" t="s">
        <v>393</v>
      </c>
      <c r="P64" s="59" t="s">
        <v>394</v>
      </c>
      <c r="Q64" s="67">
        <f t="shared" si="0"/>
        <v>1100</v>
      </c>
    </row>
    <row r="65" spans="1:17" ht="18.75" customHeight="1">
      <c r="A65" s="122">
        <v>976940</v>
      </c>
      <c r="B65" s="123">
        <v>117390</v>
      </c>
      <c r="C65" s="122" t="s">
        <v>59</v>
      </c>
      <c r="D65" s="124">
        <v>45727.917361111111</v>
      </c>
      <c r="E65" s="132" t="s">
        <v>22</v>
      </c>
      <c r="F65" s="122" t="s">
        <v>395</v>
      </c>
      <c r="G65" s="132" t="s">
        <v>396</v>
      </c>
      <c r="H65" s="125">
        <v>480</v>
      </c>
      <c r="I65" s="125">
        <v>120</v>
      </c>
      <c r="J65" s="126">
        <v>1</v>
      </c>
      <c r="K65" s="125" t="s">
        <v>56</v>
      </c>
      <c r="L65" s="95">
        <v>57600</v>
      </c>
      <c r="M65" s="95">
        <v>63360</v>
      </c>
      <c r="N65" s="56">
        <v>0</v>
      </c>
      <c r="O65" s="49" t="s">
        <v>397</v>
      </c>
      <c r="P65" s="59" t="s">
        <v>398</v>
      </c>
      <c r="Q65" s="67">
        <f t="shared" si="0"/>
        <v>528</v>
      </c>
    </row>
    <row r="66" spans="1:17" ht="18.75" customHeight="1">
      <c r="A66" s="122">
        <v>976939</v>
      </c>
      <c r="B66" s="123">
        <v>117389</v>
      </c>
      <c r="C66" s="122" t="s">
        <v>59</v>
      </c>
      <c r="D66" s="124">
        <v>45727.916666666664</v>
      </c>
      <c r="E66" s="96" t="s">
        <v>23</v>
      </c>
      <c r="F66" s="122" t="s">
        <v>395</v>
      </c>
      <c r="G66" s="96" t="s">
        <v>396</v>
      </c>
      <c r="H66" s="125">
        <v>480</v>
      </c>
      <c r="I66" s="125">
        <v>120</v>
      </c>
      <c r="J66" s="126">
        <v>1</v>
      </c>
      <c r="K66" s="125" t="s">
        <v>56</v>
      </c>
      <c r="L66" s="95">
        <v>57600</v>
      </c>
      <c r="M66" s="95">
        <v>63360</v>
      </c>
      <c r="N66" s="56">
        <v>0</v>
      </c>
      <c r="O66" s="49" t="s">
        <v>397</v>
      </c>
      <c r="P66" s="59" t="s">
        <v>398</v>
      </c>
      <c r="Q66" s="67">
        <f t="shared" si="0"/>
        <v>528</v>
      </c>
    </row>
    <row r="67" spans="1:17" ht="18.75" customHeight="1">
      <c r="A67" s="122">
        <v>976938</v>
      </c>
      <c r="B67" s="123">
        <v>117388</v>
      </c>
      <c r="C67" s="122" t="s">
        <v>59</v>
      </c>
      <c r="D67" s="124">
        <v>45727.916666666664</v>
      </c>
      <c r="E67" s="96" t="s">
        <v>19</v>
      </c>
      <c r="F67" s="122" t="s">
        <v>395</v>
      </c>
      <c r="G67" s="96" t="s">
        <v>396</v>
      </c>
      <c r="H67" s="125">
        <v>480</v>
      </c>
      <c r="I67" s="125">
        <v>120</v>
      </c>
      <c r="J67" s="126">
        <v>1</v>
      </c>
      <c r="K67" s="125" t="s">
        <v>56</v>
      </c>
      <c r="L67" s="95">
        <v>57600</v>
      </c>
      <c r="M67" s="95">
        <v>63360</v>
      </c>
      <c r="N67" s="56">
        <v>0</v>
      </c>
      <c r="O67" s="49" t="s">
        <v>397</v>
      </c>
      <c r="P67" s="59" t="s">
        <v>398</v>
      </c>
      <c r="Q67" s="67">
        <f t="shared" si="0"/>
        <v>528</v>
      </c>
    </row>
    <row r="68" spans="1:17" ht="18.75" customHeight="1">
      <c r="A68" s="12"/>
      <c r="B68" s="68"/>
      <c r="C68" s="12"/>
      <c r="D68" s="69"/>
      <c r="E68" s="12"/>
      <c r="F68" s="12"/>
      <c r="G68" s="70"/>
      <c r="H68" s="71"/>
      <c r="I68" s="71"/>
      <c r="J68" s="72"/>
      <c r="K68" s="71"/>
      <c r="L68" s="73"/>
      <c r="M68" s="73">
        <f>SUM(M3:N67)</f>
        <v>4132673</v>
      </c>
      <c r="N68" s="74"/>
      <c r="O68" s="11"/>
      <c r="P68" s="75"/>
      <c r="Q68" s="74" t="e">
        <f t="shared" ref="Q49:Q68" si="1">(M68+N68*1.1)/(I68*J68)</f>
        <v>#DIV/0!</v>
      </c>
    </row>
    <row r="69" spans="1:17" ht="18.75" customHeight="1">
      <c r="A69" s="12"/>
      <c r="B69" s="68"/>
      <c r="C69" s="12"/>
      <c r="D69" s="69"/>
      <c r="E69" s="12"/>
      <c r="F69" s="12"/>
      <c r="G69" s="70"/>
      <c r="H69" s="71"/>
      <c r="I69" s="71"/>
      <c r="J69" s="72"/>
      <c r="K69" s="71"/>
      <c r="L69" s="73"/>
      <c r="M69" s="73"/>
      <c r="N69" s="74"/>
      <c r="O69" s="11"/>
      <c r="P69" s="75"/>
      <c r="Q69" s="74"/>
    </row>
    <row r="70" spans="1:17" ht="18.75" customHeight="1">
      <c r="A70" s="122" t="s">
        <v>28</v>
      </c>
      <c r="B70" s="123"/>
      <c r="C70" s="122"/>
      <c r="D70" s="124"/>
      <c r="E70" s="132"/>
      <c r="F70" s="122"/>
      <c r="G70" s="96"/>
      <c r="H70" s="125"/>
      <c r="I70" s="125"/>
      <c r="J70" s="126"/>
      <c r="K70" s="125"/>
      <c r="L70" s="95"/>
      <c r="M70" s="95">
        <f>L70*1.1</f>
        <v>0</v>
      </c>
      <c r="N70" s="56"/>
      <c r="O70" s="49"/>
      <c r="P70" s="59"/>
      <c r="Q70" s="67" t="e">
        <f t="shared" ref="Q70:Q75" si="2">(M70+N70*1.1)/(I70*J70)</f>
        <v>#DIV/0!</v>
      </c>
    </row>
    <row r="71" spans="1:17" ht="18.75" customHeight="1">
      <c r="A71" s="122"/>
      <c r="B71" s="123"/>
      <c r="C71" s="122"/>
      <c r="D71" s="124"/>
      <c r="E71" s="132"/>
      <c r="F71" s="122"/>
      <c r="G71" s="96"/>
      <c r="H71" s="125"/>
      <c r="I71" s="125"/>
      <c r="J71" s="126"/>
      <c r="K71" s="125"/>
      <c r="L71" s="95"/>
      <c r="M71" s="95">
        <f>L71*1.1</f>
        <v>0</v>
      </c>
      <c r="N71" s="56"/>
      <c r="O71" s="49"/>
      <c r="P71" s="59"/>
      <c r="Q71" s="67" t="e">
        <f t="shared" si="2"/>
        <v>#DIV/0!</v>
      </c>
    </row>
    <row r="72" spans="1:17" ht="18.75" customHeight="1">
      <c r="A72" s="122"/>
      <c r="B72" s="123"/>
      <c r="C72" s="122"/>
      <c r="D72" s="124"/>
      <c r="E72" s="132"/>
      <c r="F72" s="122"/>
      <c r="G72" s="132"/>
      <c r="H72" s="125"/>
      <c r="I72" s="125"/>
      <c r="J72" s="126"/>
      <c r="K72" s="125"/>
      <c r="L72" s="95"/>
      <c r="M72" s="95">
        <f>L72*1.1</f>
        <v>0</v>
      </c>
      <c r="N72" s="56"/>
      <c r="O72" s="49"/>
      <c r="P72" s="59"/>
      <c r="Q72" s="67" t="e">
        <f t="shared" si="2"/>
        <v>#DIV/0!</v>
      </c>
    </row>
    <row r="73" spans="1:17" ht="18.75" customHeight="1">
      <c r="A73" s="122"/>
      <c r="B73" s="123"/>
      <c r="C73" s="122"/>
      <c r="D73" s="124"/>
      <c r="E73" s="96"/>
      <c r="F73" s="122"/>
      <c r="G73" s="96"/>
      <c r="H73" s="125"/>
      <c r="I73" s="125"/>
      <c r="J73" s="126"/>
      <c r="K73" s="125"/>
      <c r="L73" s="95"/>
      <c r="M73" s="95">
        <f t="shared" ref="M73:M74" si="3">L73*1.1</f>
        <v>0</v>
      </c>
      <c r="N73" s="56"/>
      <c r="O73" s="49"/>
      <c r="P73" s="59"/>
      <c r="Q73" s="67" t="e">
        <f t="shared" si="2"/>
        <v>#DIV/0!</v>
      </c>
    </row>
    <row r="74" spans="1:17" ht="18.75" customHeight="1">
      <c r="A74" s="122"/>
      <c r="B74" s="123"/>
      <c r="C74" s="122"/>
      <c r="D74" s="124"/>
      <c r="E74" s="96"/>
      <c r="F74" s="122"/>
      <c r="G74" s="96"/>
      <c r="H74" s="125"/>
      <c r="I74" s="125"/>
      <c r="J74" s="126"/>
      <c r="K74" s="125"/>
      <c r="L74" s="95"/>
      <c r="M74" s="95">
        <f t="shared" si="3"/>
        <v>0</v>
      </c>
      <c r="N74" s="56"/>
      <c r="O74" s="49"/>
      <c r="P74" s="59"/>
      <c r="Q74" s="67" t="e">
        <f t="shared" si="2"/>
        <v>#DIV/0!</v>
      </c>
    </row>
    <row r="75" spans="1:17" ht="18.75" customHeight="1">
      <c r="A75" s="11"/>
      <c r="B75" s="68"/>
      <c r="C75" s="12"/>
      <c r="D75" s="69"/>
      <c r="E75" s="12"/>
      <c r="F75" s="12"/>
      <c r="G75" s="70"/>
      <c r="H75" s="71"/>
      <c r="I75" s="71"/>
      <c r="J75" s="72"/>
      <c r="K75" s="71"/>
      <c r="L75" s="73"/>
      <c r="M75" s="73">
        <f>SUM(M70:N74)</f>
        <v>0</v>
      </c>
      <c r="N75" s="74"/>
      <c r="O75" s="11"/>
      <c r="P75" s="75"/>
      <c r="Q75" s="74" t="e">
        <f t="shared" si="2"/>
        <v>#DIV/0!</v>
      </c>
    </row>
    <row r="76" spans="1:17" ht="18.75" customHeight="1">
      <c r="A76" s="11"/>
      <c r="B76" s="68"/>
      <c r="C76" s="12"/>
      <c r="D76" s="69"/>
      <c r="E76" s="12"/>
      <c r="F76" s="12"/>
      <c r="G76" s="70"/>
      <c r="H76" s="71"/>
      <c r="I76" s="71"/>
      <c r="J76" s="72"/>
      <c r="K76" s="71"/>
      <c r="L76" s="73"/>
      <c r="M76" s="73"/>
      <c r="N76" s="74"/>
      <c r="O76" s="11"/>
      <c r="P76" s="75"/>
      <c r="Q76" s="74"/>
    </row>
    <row r="77" spans="1:17" ht="18.75" customHeight="1">
      <c r="A77" s="122" t="s">
        <v>29</v>
      </c>
      <c r="B77" s="123"/>
      <c r="C77" s="122"/>
      <c r="D77" s="124"/>
      <c r="E77" s="96"/>
      <c r="F77" s="122"/>
      <c r="G77" s="96"/>
      <c r="H77" s="125"/>
      <c r="I77" s="125"/>
      <c r="J77" s="126"/>
      <c r="K77" s="125"/>
      <c r="L77" s="95"/>
      <c r="M77" s="95">
        <f>L77*1.1</f>
        <v>0</v>
      </c>
      <c r="N77" s="56"/>
      <c r="O77" s="49"/>
      <c r="P77" s="59"/>
      <c r="Q77" s="97"/>
    </row>
    <row r="78" spans="1:17" ht="18.75" customHeight="1">
      <c r="A78" s="122"/>
      <c r="B78" s="123"/>
      <c r="C78" s="122"/>
      <c r="D78" s="124"/>
      <c r="E78" s="96"/>
      <c r="F78" s="122"/>
      <c r="G78" s="96"/>
      <c r="H78" s="125"/>
      <c r="I78" s="125"/>
      <c r="J78" s="126"/>
      <c r="K78" s="125"/>
      <c r="L78" s="95"/>
      <c r="M78" s="95">
        <f>L78*1.1</f>
        <v>0</v>
      </c>
      <c r="N78" s="56"/>
      <c r="O78" s="49"/>
      <c r="P78" s="59"/>
      <c r="Q78" s="97"/>
    </row>
    <row r="79" spans="1:17" ht="18.75" customHeight="1">
      <c r="A79" s="122"/>
      <c r="B79" s="123"/>
      <c r="C79" s="122"/>
      <c r="D79" s="124"/>
      <c r="E79" s="96"/>
      <c r="F79" s="122"/>
      <c r="G79" s="96"/>
      <c r="H79" s="125"/>
      <c r="I79" s="125"/>
      <c r="J79" s="126"/>
      <c r="K79" s="125"/>
      <c r="L79" s="95"/>
      <c r="M79" s="95">
        <f>L79*1.1</f>
        <v>0</v>
      </c>
      <c r="N79" s="56"/>
      <c r="O79" s="49"/>
      <c r="P79" s="59"/>
      <c r="Q79" s="97"/>
    </row>
    <row r="80" spans="1:17" ht="18.75" customHeight="1">
      <c r="A80" s="122"/>
      <c r="B80" s="123"/>
      <c r="C80" s="122"/>
      <c r="D80" s="124"/>
      <c r="E80" s="96"/>
      <c r="F80" s="122"/>
      <c r="G80" s="96"/>
      <c r="H80" s="125"/>
      <c r="I80" s="125"/>
      <c r="J80" s="126"/>
      <c r="K80" s="125"/>
      <c r="L80" s="95"/>
      <c r="M80" s="95">
        <f t="shared" ref="M80:M81" si="4">L80*1.1</f>
        <v>0</v>
      </c>
      <c r="N80" s="56"/>
      <c r="O80" s="49"/>
      <c r="P80" s="59"/>
      <c r="Q80" s="97"/>
    </row>
    <row r="81" spans="1:17" ht="18.75" customHeight="1">
      <c r="A81" s="122"/>
      <c r="B81" s="123"/>
      <c r="C81" s="122"/>
      <c r="D81" s="124"/>
      <c r="E81" s="96"/>
      <c r="F81" s="122"/>
      <c r="G81" s="96"/>
      <c r="H81" s="125"/>
      <c r="I81" s="125"/>
      <c r="J81" s="126"/>
      <c r="K81" s="125"/>
      <c r="L81" s="95"/>
      <c r="M81" s="95">
        <f t="shared" si="4"/>
        <v>0</v>
      </c>
      <c r="N81" s="56"/>
      <c r="O81" s="49"/>
      <c r="P81" s="59"/>
      <c r="Q81" s="97"/>
    </row>
    <row r="82" spans="1:17" ht="18.75" customHeight="1">
      <c r="A82" s="12"/>
      <c r="B82" s="68"/>
      <c r="C82" s="12"/>
      <c r="D82" s="69"/>
      <c r="E82" s="12"/>
      <c r="F82" s="12"/>
      <c r="G82" s="70"/>
      <c r="H82" s="71"/>
      <c r="I82" s="71"/>
      <c r="J82" s="72"/>
      <c r="K82" s="71"/>
      <c r="L82" s="73"/>
      <c r="M82" s="73">
        <f>SUM(M77:N81)</f>
        <v>0</v>
      </c>
      <c r="N82" s="74"/>
      <c r="O82" s="11"/>
      <c r="P82" s="75"/>
      <c r="Q82" s="74"/>
    </row>
    <row r="83" spans="1:17" ht="18.75" customHeight="1">
      <c r="A83" s="12"/>
      <c r="B83" s="68"/>
      <c r="C83" s="12"/>
      <c r="D83" s="69"/>
      <c r="E83" s="12"/>
      <c r="F83" s="12"/>
      <c r="G83" s="70"/>
      <c r="H83" s="71"/>
      <c r="I83" s="71"/>
      <c r="J83" s="72"/>
      <c r="K83" s="71"/>
      <c r="L83" s="73"/>
      <c r="M83" s="73"/>
      <c r="N83" s="74"/>
      <c r="O83" s="11"/>
      <c r="P83" s="75"/>
      <c r="Q83" s="74"/>
    </row>
    <row r="84" spans="1:17" ht="18.75" customHeight="1">
      <c r="A84" s="151" t="s">
        <v>30</v>
      </c>
      <c r="B84" s="123"/>
      <c r="C84" s="122"/>
      <c r="D84" s="124"/>
      <c r="E84" s="96"/>
      <c r="F84" s="122"/>
      <c r="G84" s="96"/>
      <c r="H84" s="125"/>
      <c r="I84" s="125"/>
      <c r="J84" s="126"/>
      <c r="K84" s="125"/>
      <c r="L84" s="95"/>
      <c r="M84" s="95">
        <f>L84*1.1</f>
        <v>0</v>
      </c>
      <c r="N84" s="56"/>
      <c r="O84" s="49"/>
      <c r="P84" s="59"/>
      <c r="Q84" s="97"/>
    </row>
    <row r="85" spans="1:17" ht="18.75" customHeight="1">
      <c r="A85" s="122"/>
      <c r="B85" s="123"/>
      <c r="C85" s="122"/>
      <c r="D85" s="124"/>
      <c r="E85" s="96"/>
      <c r="F85" s="122"/>
      <c r="G85" s="96"/>
      <c r="H85" s="125"/>
      <c r="I85" s="125"/>
      <c r="J85" s="126"/>
      <c r="K85" s="125"/>
      <c r="L85" s="95"/>
      <c r="M85" s="95">
        <f>L85*1.1</f>
        <v>0</v>
      </c>
      <c r="N85" s="56"/>
      <c r="O85" s="49"/>
      <c r="P85" s="59"/>
      <c r="Q85" s="97"/>
    </row>
    <row r="86" spans="1:17" ht="18.75" customHeight="1">
      <c r="A86" s="122"/>
      <c r="B86" s="123"/>
      <c r="C86" s="122"/>
      <c r="D86" s="124"/>
      <c r="E86" s="96"/>
      <c r="F86" s="122"/>
      <c r="G86" s="96"/>
      <c r="H86" s="125"/>
      <c r="I86" s="125"/>
      <c r="J86" s="126"/>
      <c r="K86" s="125"/>
      <c r="L86" s="95"/>
      <c r="M86" s="95">
        <f>L86*1.1</f>
        <v>0</v>
      </c>
      <c r="N86" s="56"/>
      <c r="O86" s="49"/>
      <c r="P86" s="59"/>
      <c r="Q86" s="97"/>
    </row>
    <row r="87" spans="1:17" ht="18.75" customHeight="1">
      <c r="A87" s="122"/>
      <c r="B87" s="123"/>
      <c r="C87" s="122"/>
      <c r="D87" s="124"/>
      <c r="E87" s="96"/>
      <c r="F87" s="122"/>
      <c r="G87" s="96"/>
      <c r="H87" s="125"/>
      <c r="I87" s="125"/>
      <c r="J87" s="126"/>
      <c r="K87" s="125"/>
      <c r="L87" s="95"/>
      <c r="M87" s="95">
        <f t="shared" ref="M87:M88" si="5">L87*1.1</f>
        <v>0</v>
      </c>
      <c r="N87" s="56"/>
      <c r="O87" s="49"/>
      <c r="P87" s="59"/>
      <c r="Q87" s="97"/>
    </row>
    <row r="88" spans="1:17" ht="18.75" customHeight="1">
      <c r="A88" s="122"/>
      <c r="B88" s="123"/>
      <c r="C88" s="122"/>
      <c r="D88" s="124"/>
      <c r="E88" s="96"/>
      <c r="F88" s="122"/>
      <c r="G88" s="96"/>
      <c r="H88" s="125"/>
      <c r="I88" s="125"/>
      <c r="J88" s="126"/>
      <c r="K88" s="125"/>
      <c r="L88" s="95"/>
      <c r="M88" s="95">
        <f t="shared" si="5"/>
        <v>0</v>
      </c>
      <c r="N88" s="56"/>
      <c r="O88" s="49"/>
      <c r="P88" s="59"/>
      <c r="Q88" s="97"/>
    </row>
    <row r="89" spans="1:17" ht="18.75" customHeight="1">
      <c r="A89" s="11"/>
      <c r="B89" s="127"/>
      <c r="C89" s="11"/>
      <c r="D89" s="128"/>
      <c r="E89" s="11"/>
      <c r="F89" s="11"/>
      <c r="G89" s="70"/>
      <c r="H89" s="11"/>
      <c r="I89" s="11"/>
      <c r="J89" s="129"/>
      <c r="K89" s="11"/>
      <c r="L89" s="74"/>
      <c r="M89" s="73">
        <f>SUM(M84:N88)</f>
        <v>0</v>
      </c>
      <c r="N89" s="74"/>
      <c r="O89" s="11"/>
      <c r="P89" s="75"/>
      <c r="Q89" s="74"/>
    </row>
    <row r="90" spans="1:17" s="40" customFormat="1" ht="18.75" customHeight="1">
      <c r="A90"/>
      <c r="B90" s="31"/>
      <c r="C90"/>
      <c r="D90" s="25"/>
      <c r="E90"/>
      <c r="F90"/>
      <c r="G90" s="33"/>
      <c r="H90"/>
      <c r="I90"/>
      <c r="J90" s="65"/>
      <c r="K90"/>
      <c r="O90"/>
      <c r="P90" s="58"/>
    </row>
    <row r="91" spans="1:17" ht="18.75" customHeight="1">
      <c r="A91" s="151" t="s">
        <v>31</v>
      </c>
      <c r="B91" s="123"/>
      <c r="C91" s="122"/>
      <c r="D91" s="124"/>
      <c r="E91" s="96" t="s">
        <v>32</v>
      </c>
      <c r="F91" s="122"/>
      <c r="G91" s="96" t="s">
        <v>33</v>
      </c>
      <c r="H91" s="125">
        <v>350</v>
      </c>
      <c r="I91" s="125">
        <v>120</v>
      </c>
      <c r="J91" s="126">
        <v>1</v>
      </c>
      <c r="K91" s="175" t="s">
        <v>21</v>
      </c>
      <c r="L91" s="95">
        <v>42000</v>
      </c>
      <c r="M91" s="95">
        <f>L91*1.1</f>
        <v>46200.000000000007</v>
      </c>
      <c r="N91" s="56"/>
      <c r="O91" s="49"/>
      <c r="P91" s="59"/>
      <c r="Q91" s="67">
        <f t="shared" ref="Q91:Q96" si="6">(M91+N91*1.1)/(I91*J91)</f>
        <v>385.00000000000006</v>
      </c>
    </row>
    <row r="92" spans="1:17" ht="18.75" customHeight="1">
      <c r="A92" s="122"/>
      <c r="B92" s="123"/>
      <c r="C92" s="122"/>
      <c r="D92" s="124"/>
      <c r="E92" s="132" t="s">
        <v>34</v>
      </c>
      <c r="F92" s="122"/>
      <c r="G92" s="96" t="s">
        <v>35</v>
      </c>
      <c r="H92" s="125">
        <v>950</v>
      </c>
      <c r="I92" s="125">
        <v>36</v>
      </c>
      <c r="J92" s="126">
        <v>1</v>
      </c>
      <c r="K92" s="175" t="s">
        <v>21</v>
      </c>
      <c r="L92" s="95">
        <v>34200</v>
      </c>
      <c r="M92" s="95">
        <f>L92*1.1</f>
        <v>37620</v>
      </c>
      <c r="N92" s="56">
        <v>1600</v>
      </c>
      <c r="O92" s="49"/>
      <c r="P92" s="59"/>
      <c r="Q92" s="67">
        <f t="shared" si="6"/>
        <v>1093.8888888888889</v>
      </c>
    </row>
    <row r="93" spans="1:17" ht="18.75" customHeight="1">
      <c r="A93" s="122"/>
      <c r="B93" s="123"/>
      <c r="C93" s="122"/>
      <c r="D93" s="124"/>
      <c r="E93" s="132" t="s">
        <v>34</v>
      </c>
      <c r="F93" s="122"/>
      <c r="G93" s="96" t="s">
        <v>36</v>
      </c>
      <c r="H93" s="125">
        <v>950</v>
      </c>
      <c r="I93" s="125">
        <v>36</v>
      </c>
      <c r="J93" s="126">
        <v>1</v>
      </c>
      <c r="K93" s="175" t="s">
        <v>21</v>
      </c>
      <c r="L93" s="95">
        <v>34200</v>
      </c>
      <c r="M93" s="95">
        <f>L93*1.1</f>
        <v>37620</v>
      </c>
      <c r="N93" s="56">
        <v>2400</v>
      </c>
      <c r="O93" s="49"/>
      <c r="P93" s="59"/>
      <c r="Q93" s="67">
        <f t="shared" si="6"/>
        <v>1118.3333333333333</v>
      </c>
    </row>
    <row r="94" spans="1:17" ht="18.75" customHeight="1">
      <c r="A94" s="122"/>
      <c r="B94" s="123"/>
      <c r="C94" s="122"/>
      <c r="D94" s="124"/>
      <c r="E94" s="132" t="s">
        <v>34</v>
      </c>
      <c r="F94" s="122"/>
      <c r="G94" s="96" t="s">
        <v>33</v>
      </c>
      <c r="H94" s="125">
        <v>350</v>
      </c>
      <c r="I94" s="125">
        <v>120</v>
      </c>
      <c r="J94" s="126">
        <v>1</v>
      </c>
      <c r="K94" s="175" t="s">
        <v>21</v>
      </c>
      <c r="L94" s="95">
        <v>42000</v>
      </c>
      <c r="M94" s="95">
        <f t="shared" ref="M94:M95" si="7">L94*1.1</f>
        <v>46200.000000000007</v>
      </c>
      <c r="N94" s="56"/>
      <c r="O94" s="49"/>
      <c r="P94" s="59"/>
      <c r="Q94" s="67">
        <f t="shared" si="6"/>
        <v>385.00000000000006</v>
      </c>
    </row>
    <row r="95" spans="1:17" ht="18.75" customHeight="1">
      <c r="A95" s="122"/>
      <c r="B95" s="123"/>
      <c r="C95" s="122"/>
      <c r="D95" s="124"/>
      <c r="E95" s="96"/>
      <c r="F95" s="122"/>
      <c r="G95" s="96"/>
      <c r="H95" s="125"/>
      <c r="I95" s="125"/>
      <c r="J95" s="126"/>
      <c r="K95" s="125"/>
      <c r="L95" s="95"/>
      <c r="M95" s="95">
        <f t="shared" si="7"/>
        <v>0</v>
      </c>
      <c r="N95" s="56"/>
      <c r="O95" s="49"/>
      <c r="P95" s="59"/>
      <c r="Q95" s="67" t="e">
        <f t="shared" si="6"/>
        <v>#DIV/0!</v>
      </c>
    </row>
    <row r="96" spans="1:17" s="40" customFormat="1" ht="18.75" customHeight="1">
      <c r="A96"/>
      <c r="B96" s="31"/>
      <c r="C96"/>
      <c r="D96" s="25"/>
      <c r="E96"/>
      <c r="F96"/>
      <c r="G96" s="33"/>
      <c r="H96"/>
      <c r="I96"/>
      <c r="J96" s="65"/>
      <c r="K96"/>
      <c r="M96" s="73">
        <f>SUM(M91:N95)</f>
        <v>171640</v>
      </c>
      <c r="O96"/>
      <c r="P96" s="58"/>
      <c r="Q96" s="40" t="e">
        <f t="shared" si="6"/>
        <v>#DIV/0!</v>
      </c>
    </row>
    <row r="97" spans="1:16" s="40" customFormat="1" ht="18.75" customHeight="1">
      <c r="A97"/>
      <c r="B97" s="26"/>
      <c r="C97" s="1"/>
      <c r="D97" s="20"/>
      <c r="E97" s="1"/>
      <c r="F97" s="1"/>
      <c r="G97" s="32"/>
      <c r="H97" s="2"/>
      <c r="I97" s="2"/>
      <c r="J97" s="60"/>
      <c r="K97" s="2"/>
      <c r="L97" s="34"/>
      <c r="M97" s="34"/>
      <c r="O97"/>
      <c r="P97" s="58"/>
    </row>
    <row r="98" spans="1:16" s="40" customFormat="1" ht="18.75" customHeight="1">
      <c r="A98"/>
      <c r="B98" s="26"/>
      <c r="C98" s="1"/>
      <c r="D98" s="20"/>
      <c r="E98" s="1"/>
      <c r="F98" s="1"/>
      <c r="G98" s="32"/>
      <c r="H98" s="2"/>
      <c r="I98" s="2"/>
      <c r="J98" s="60"/>
      <c r="K98" s="2"/>
      <c r="L98" s="34"/>
      <c r="O98"/>
      <c r="P98" s="58"/>
    </row>
    <row r="99" spans="1:16" s="40" customFormat="1" ht="18.75" customHeight="1">
      <c r="A99"/>
      <c r="B99" s="26"/>
      <c r="C99" s="1"/>
      <c r="D99" s="20"/>
      <c r="E99" s="1"/>
      <c r="F99" s="1"/>
      <c r="G99" s="32"/>
      <c r="H99" s="2"/>
      <c r="I99" s="2"/>
      <c r="J99" s="60"/>
      <c r="K99" s="2"/>
      <c r="L99" s="34"/>
      <c r="M99" s="34"/>
      <c r="O99"/>
      <c r="P99" s="58"/>
    </row>
    <row r="100" spans="1:16" s="40" customFormat="1" ht="18.75" customHeight="1">
      <c r="A100"/>
      <c r="B100" s="26"/>
      <c r="C100" s="1"/>
      <c r="D100" s="20"/>
      <c r="E100" s="1"/>
      <c r="F100" s="1"/>
      <c r="G100" s="32"/>
      <c r="H100" s="2"/>
      <c r="I100" s="2"/>
      <c r="J100" s="60"/>
      <c r="K100" s="2"/>
      <c r="L100" s="34"/>
      <c r="M100" s="149">
        <f>M47+M68+M75+M82+M89+M96</f>
        <v>4314213</v>
      </c>
      <c r="O100"/>
      <c r="P100" s="58"/>
    </row>
    <row r="101" spans="1:16" s="40" customFormat="1" ht="18.75" customHeight="1">
      <c r="A101"/>
      <c r="B101" s="26"/>
      <c r="C101" s="1"/>
      <c r="D101" s="20"/>
      <c r="E101" s="1"/>
      <c r="F101" s="1"/>
      <c r="G101" s="32"/>
      <c r="H101" s="2"/>
      <c r="I101" s="2"/>
      <c r="J101" s="60"/>
      <c r="K101" s="2"/>
      <c r="L101" s="34"/>
      <c r="M101" s="34"/>
      <c r="O101"/>
      <c r="P101" s="58"/>
    </row>
    <row r="102" spans="1:16" s="40" customFormat="1" ht="18.75" customHeight="1">
      <c r="A102"/>
      <c r="B102" s="26"/>
      <c r="C102" s="1"/>
      <c r="D102" s="20"/>
      <c r="E102" s="1"/>
      <c r="F102" s="1"/>
      <c r="G102" s="32"/>
      <c r="H102" s="2"/>
      <c r="I102" s="2"/>
      <c r="J102" s="60"/>
      <c r="K102" s="2"/>
      <c r="L102" s="34"/>
      <c r="M102" s="34"/>
      <c r="N102" s="176"/>
      <c r="O102"/>
      <c r="P102" s="58"/>
    </row>
    <row r="103" spans="1:16" s="40" customFormat="1" ht="18.75" customHeight="1">
      <c r="A103"/>
      <c r="B103" s="26"/>
      <c r="C103" s="1"/>
      <c r="D103" s="20"/>
      <c r="E103" s="1"/>
      <c r="F103" s="1"/>
      <c r="G103" s="32"/>
      <c r="H103" s="2"/>
      <c r="I103" s="2"/>
      <c r="J103" s="60"/>
      <c r="K103" s="2"/>
      <c r="L103" s="34"/>
      <c r="M103" s="34"/>
      <c r="O103"/>
      <c r="P103" s="58"/>
    </row>
    <row r="104" spans="1:16" s="40" customFormat="1" ht="18.75" customHeight="1">
      <c r="A104"/>
      <c r="B104" s="26"/>
      <c r="C104" s="1"/>
      <c r="D104" s="20"/>
      <c r="E104" s="1"/>
      <c r="F104" s="1"/>
      <c r="G104" s="32"/>
      <c r="H104" s="2"/>
      <c r="I104" s="2"/>
      <c r="J104" s="60"/>
      <c r="K104" s="2"/>
      <c r="L104" s="34"/>
      <c r="M104" s="34"/>
      <c r="N104" s="176"/>
      <c r="O104"/>
      <c r="P104" s="58"/>
    </row>
    <row r="105" spans="1:16" s="40" customFormat="1" ht="18.75" customHeight="1">
      <c r="A105"/>
      <c r="B105" s="26"/>
      <c r="C105" s="1"/>
      <c r="D105" s="20"/>
      <c r="E105" s="1"/>
      <c r="F105" s="1"/>
      <c r="G105" s="32"/>
      <c r="H105" s="2"/>
      <c r="I105" s="2"/>
      <c r="J105" s="60"/>
      <c r="K105" s="2"/>
      <c r="L105" s="34"/>
      <c r="M105" s="34"/>
      <c r="O105"/>
      <c r="P105" s="58"/>
    </row>
    <row r="106" spans="1:16" s="40" customFormat="1" ht="18.75" customHeight="1">
      <c r="A106"/>
      <c r="B106" s="26"/>
      <c r="C106" s="1"/>
      <c r="D106" s="20"/>
      <c r="E106" s="1"/>
      <c r="F106" s="1"/>
      <c r="G106" s="32"/>
      <c r="H106" s="2"/>
      <c r="I106" s="2"/>
      <c r="J106" s="60"/>
      <c r="K106" s="2"/>
      <c r="L106" s="34"/>
      <c r="M106" s="34"/>
      <c r="N106" s="176"/>
      <c r="O106"/>
      <c r="P106" s="58"/>
    </row>
    <row r="107" spans="1:16" s="40" customFormat="1" ht="18.75" customHeight="1">
      <c r="A107"/>
      <c r="B107" s="26"/>
      <c r="C107" s="1"/>
      <c r="D107" s="20"/>
      <c r="E107" s="1"/>
      <c r="F107" s="1"/>
      <c r="G107" s="32"/>
      <c r="H107" s="2"/>
      <c r="I107" s="2"/>
      <c r="J107" s="60"/>
      <c r="K107" s="2"/>
      <c r="L107" s="34"/>
      <c r="M107" s="34"/>
      <c r="O107"/>
      <c r="P107" s="58"/>
    </row>
    <row r="108" spans="1:16" s="40" customFormat="1" ht="18.75" customHeight="1">
      <c r="A108"/>
      <c r="B108" s="26"/>
      <c r="C108" s="1"/>
      <c r="D108" s="20"/>
      <c r="E108" s="1"/>
      <c r="F108" s="1"/>
      <c r="G108" s="32"/>
      <c r="H108" s="2"/>
      <c r="I108" s="2"/>
      <c r="J108" s="60"/>
      <c r="K108" s="2"/>
      <c r="L108" s="34"/>
      <c r="M108" s="34"/>
      <c r="O108"/>
      <c r="P108" s="58"/>
    </row>
    <row r="109" spans="1:16" s="40" customFormat="1" ht="18.75" customHeight="1">
      <c r="A109"/>
      <c r="B109" s="26"/>
      <c r="C109" s="1"/>
      <c r="D109" s="20"/>
      <c r="E109" s="1"/>
      <c r="F109" s="1"/>
      <c r="G109" s="32"/>
      <c r="H109" s="2"/>
      <c r="I109" s="2"/>
      <c r="J109" s="60"/>
      <c r="K109" s="2"/>
      <c r="L109" s="34"/>
      <c r="M109" s="34"/>
      <c r="O109"/>
      <c r="P109" s="58"/>
    </row>
    <row r="110" spans="1:16" s="40" customFormat="1" ht="18.75" customHeight="1">
      <c r="A110"/>
      <c r="B110" s="26"/>
      <c r="C110" s="1"/>
      <c r="D110" s="20"/>
      <c r="E110" s="1"/>
      <c r="F110" s="1"/>
      <c r="G110" s="32"/>
      <c r="H110" s="2"/>
      <c r="I110" s="2"/>
      <c r="J110" s="60"/>
      <c r="K110" s="2"/>
      <c r="L110" s="34"/>
      <c r="M110" s="34"/>
      <c r="O110"/>
      <c r="P110" s="58"/>
    </row>
    <row r="111" spans="1:16" s="40" customFormat="1" ht="18.75" customHeight="1">
      <c r="A111"/>
      <c r="B111" s="26"/>
      <c r="C111" s="1"/>
      <c r="D111" s="20"/>
      <c r="E111" s="1"/>
      <c r="F111" s="1"/>
      <c r="G111" s="32"/>
      <c r="H111" s="2"/>
      <c r="I111" s="2"/>
      <c r="J111" s="60"/>
      <c r="K111" s="2"/>
      <c r="L111" s="34"/>
      <c r="M111" s="34"/>
      <c r="O111"/>
      <c r="P111" s="58"/>
    </row>
    <row r="112" spans="1:16" s="40" customFormat="1" ht="18.75" customHeight="1">
      <c r="A112"/>
      <c r="B112" s="26"/>
      <c r="C112" s="1"/>
      <c r="D112" s="20"/>
      <c r="E112" s="1"/>
      <c r="F112" s="1"/>
      <c r="G112" s="32"/>
      <c r="H112" s="2"/>
      <c r="I112" s="2"/>
      <c r="J112" s="60"/>
      <c r="K112" s="2"/>
      <c r="L112" s="34"/>
      <c r="M112" s="34"/>
      <c r="O112"/>
      <c r="P112" s="58"/>
    </row>
    <row r="113" spans="1:16" s="40" customFormat="1" ht="18.75" customHeight="1">
      <c r="A113"/>
      <c r="B113" s="26"/>
      <c r="C113" s="1"/>
      <c r="D113" s="20"/>
      <c r="E113" s="1"/>
      <c r="F113" s="1"/>
      <c r="G113" s="32"/>
      <c r="H113" s="2"/>
      <c r="I113" s="2"/>
      <c r="J113" s="60"/>
      <c r="K113" s="2"/>
      <c r="L113" s="34"/>
      <c r="M113" s="34"/>
      <c r="O113"/>
      <c r="P113" s="58"/>
    </row>
    <row r="114" spans="1:16" s="40" customFormat="1" ht="18.75" customHeight="1">
      <c r="A114"/>
      <c r="B114" s="26"/>
      <c r="C114" s="1"/>
      <c r="D114" s="20"/>
      <c r="E114" s="1"/>
      <c r="F114" s="1"/>
      <c r="G114" s="32"/>
      <c r="H114" s="2"/>
      <c r="I114" s="2"/>
      <c r="J114" s="60"/>
      <c r="K114" s="2"/>
      <c r="L114" s="34"/>
      <c r="M114" s="34"/>
      <c r="O114"/>
      <c r="P114" s="58"/>
    </row>
    <row r="115" spans="1:16" s="40" customFormat="1" ht="18.75" customHeight="1">
      <c r="A115"/>
      <c r="B115" s="26"/>
      <c r="C115" s="1"/>
      <c r="D115" s="20"/>
      <c r="E115" s="1"/>
      <c r="F115" s="1"/>
      <c r="G115" s="32"/>
      <c r="H115" s="2"/>
      <c r="I115" s="2"/>
      <c r="J115" s="60"/>
      <c r="K115" s="2"/>
      <c r="L115" s="34"/>
      <c r="M115" s="34"/>
      <c r="O115"/>
      <c r="P115" s="58"/>
    </row>
    <row r="116" spans="1:16" s="40" customFormat="1" ht="18.75" customHeight="1">
      <c r="A116"/>
      <c r="B116" s="26"/>
      <c r="C116" s="1"/>
      <c r="D116" s="20"/>
      <c r="E116" s="1"/>
      <c r="F116" s="1"/>
      <c r="G116" s="32"/>
      <c r="H116" s="2"/>
      <c r="I116" s="2"/>
      <c r="J116" s="60"/>
      <c r="K116" s="2"/>
      <c r="L116" s="34"/>
      <c r="M116" s="34"/>
      <c r="O116"/>
      <c r="P116" s="58"/>
    </row>
    <row r="117" spans="1:16" s="40" customFormat="1" ht="18.75" customHeight="1">
      <c r="A117"/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  <c r="O117"/>
      <c r="P117" s="58"/>
    </row>
    <row r="118" spans="1:16" s="40" customFormat="1" ht="18.75" customHeight="1">
      <c r="A118"/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M118" s="34"/>
      <c r="O118"/>
      <c r="P118" s="58"/>
    </row>
    <row r="119" spans="1:16" s="40" customFormat="1" ht="18.75" customHeight="1">
      <c r="A119"/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  <c r="O119"/>
      <c r="P119" s="58"/>
    </row>
    <row r="120" spans="1:16" s="40" customFormat="1" ht="18.75" customHeight="1">
      <c r="A120"/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34"/>
      <c r="O120"/>
      <c r="P120" s="58"/>
    </row>
    <row r="121" spans="1:16" s="40" customFormat="1" ht="18.75" customHeight="1">
      <c r="A121"/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  <c r="O121"/>
      <c r="P121" s="58"/>
    </row>
    <row r="122" spans="1:16" s="40" customFormat="1" ht="18.75" customHeight="1">
      <c r="A122"/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  <c r="O122"/>
      <c r="P122" s="58"/>
    </row>
    <row r="123" spans="1:16" s="40" customFormat="1" ht="18.75" customHeight="1">
      <c r="A123"/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  <c r="O123"/>
      <c r="P123" s="58"/>
    </row>
    <row r="124" spans="1:16" s="40" customFormat="1" ht="18.75" customHeight="1">
      <c r="A124"/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  <c r="O124"/>
      <c r="P124" s="58"/>
    </row>
    <row r="125" spans="1:16" s="40" customFormat="1" ht="18.75" customHeight="1">
      <c r="A125"/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  <c r="O125"/>
      <c r="P125" s="58"/>
    </row>
    <row r="126" spans="1:16" s="40" customFormat="1" ht="18.75" customHeight="1">
      <c r="A126"/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  <c r="O126"/>
      <c r="P126" s="58"/>
    </row>
    <row r="127" spans="1:16" s="40" customFormat="1" ht="18.75" customHeight="1">
      <c r="A127"/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  <c r="O127"/>
      <c r="P127" s="58"/>
    </row>
    <row r="128" spans="1:16" s="40" customFormat="1" ht="18.75" customHeight="1">
      <c r="A128"/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  <c r="O128"/>
      <c r="P128" s="58"/>
    </row>
    <row r="129" spans="1:16" s="40" customFormat="1" ht="18.75" customHeight="1">
      <c r="A129"/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  <c r="O129"/>
      <c r="P129" s="58"/>
    </row>
    <row r="130" spans="1:16" s="40" customFormat="1" ht="18.75" customHeight="1">
      <c r="A130"/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  <c r="O130"/>
      <c r="P130" s="58"/>
    </row>
    <row r="131" spans="1:16" s="40" customFormat="1" ht="18.75" customHeight="1">
      <c r="A131"/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  <c r="O131"/>
      <c r="P131" s="58"/>
    </row>
    <row r="132" spans="1:16" s="40" customFormat="1" ht="18.75" customHeight="1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6" s="40" customFormat="1" ht="18.75" customHeight="1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6" s="40" customFormat="1" ht="18.75" customHeight="1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6" s="40" customFormat="1" ht="18.75" customHeight="1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  <c r="O135"/>
      <c r="P135" s="58"/>
    </row>
    <row r="136" spans="1:16" s="40" customFormat="1" ht="18.75" customHeight="1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6" s="40" customFormat="1" ht="18.75" customHeight="1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6" s="40" customFormat="1" ht="18.75" customHeight="1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6" s="40" customFormat="1" ht="18.75" customHeight="1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6" s="40" customFormat="1" ht="18.75" customHeight="1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6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6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6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6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5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5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5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5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5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5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5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5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5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5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5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5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5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5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5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5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5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5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5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5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5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5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5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5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5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5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5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5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5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5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5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5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5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5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5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5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5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5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5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5.75" customHeight="1">
      <c r="A287"/>
      <c r="B287" s="31"/>
      <c r="C287"/>
      <c r="D287" s="25"/>
      <c r="E287"/>
      <c r="F287"/>
      <c r="G287" s="33"/>
      <c r="H287"/>
      <c r="I287"/>
      <c r="J287" s="65"/>
      <c r="K287"/>
      <c r="O287"/>
      <c r="P287" s="58"/>
    </row>
    <row r="288" spans="1:16" s="40" customFormat="1" ht="15.75" customHeight="1">
      <c r="A288"/>
      <c r="B288" s="31"/>
      <c r="C288"/>
      <c r="D288" s="25"/>
      <c r="E288"/>
      <c r="F288"/>
      <c r="G288" s="33"/>
      <c r="H288"/>
      <c r="I288"/>
      <c r="J288" s="65"/>
      <c r="K288"/>
      <c r="O288"/>
      <c r="P288" s="58"/>
    </row>
    <row r="289" spans="1:16" s="40" customFormat="1" ht="15.75" customHeight="1">
      <c r="A289"/>
      <c r="B289" s="31"/>
      <c r="C289"/>
      <c r="D289" s="25"/>
      <c r="E289"/>
      <c r="F289"/>
      <c r="G289" s="33"/>
      <c r="H289"/>
      <c r="I289"/>
      <c r="J289" s="65"/>
      <c r="K289"/>
      <c r="O289"/>
      <c r="P289" s="58"/>
    </row>
    <row r="290" spans="1:16" s="40" customFormat="1" ht="15.75" customHeight="1">
      <c r="A290"/>
      <c r="B290" s="31"/>
      <c r="C290"/>
      <c r="D290" s="25"/>
      <c r="E290"/>
      <c r="F290"/>
      <c r="G290" s="33"/>
      <c r="H290"/>
      <c r="I290"/>
      <c r="J290" s="65"/>
      <c r="K290"/>
      <c r="O290"/>
      <c r="P290" s="58"/>
    </row>
    <row r="291" spans="1:16" s="40" customFormat="1" ht="15.75" customHeight="1">
      <c r="A291"/>
      <c r="B291" s="31"/>
      <c r="C291"/>
      <c r="D291" s="25"/>
      <c r="E291"/>
      <c r="F291"/>
      <c r="G291" s="33"/>
      <c r="H291"/>
      <c r="I291"/>
      <c r="J291" s="65"/>
      <c r="K291"/>
      <c r="O291"/>
      <c r="P291" s="58"/>
    </row>
    <row r="292" spans="1:16" s="40" customFormat="1" ht="15.75" customHeight="1">
      <c r="A292"/>
      <c r="B292" s="31"/>
      <c r="C292"/>
      <c r="D292" s="25"/>
      <c r="E292"/>
      <c r="F292"/>
      <c r="G292" s="33"/>
      <c r="H292"/>
      <c r="I292"/>
      <c r="J292" s="65"/>
      <c r="K292"/>
      <c r="O292"/>
      <c r="P292" s="58"/>
    </row>
    <row r="293" spans="1:16" s="40" customFormat="1" ht="15.75" customHeight="1">
      <c r="A293"/>
      <c r="B293" s="31"/>
      <c r="C293"/>
      <c r="D293" s="25"/>
      <c r="E293"/>
      <c r="F293"/>
      <c r="G293" s="33"/>
      <c r="H293"/>
      <c r="I293"/>
      <c r="J293" s="65"/>
      <c r="K293"/>
      <c r="O293"/>
      <c r="P293" s="58"/>
    </row>
    <row r="294" spans="1:16" s="40" customFormat="1" ht="15.75" customHeight="1">
      <c r="A294"/>
      <c r="B294" s="31"/>
      <c r="C294"/>
      <c r="D294" s="25"/>
      <c r="E294"/>
      <c r="F294"/>
      <c r="G294" s="33"/>
      <c r="H294"/>
      <c r="I294"/>
      <c r="J294" s="65"/>
      <c r="K294"/>
      <c r="O294"/>
      <c r="P294" s="58"/>
    </row>
    <row r="295" spans="1:16" s="40" customFormat="1" ht="15.75" customHeight="1">
      <c r="A295"/>
      <c r="B295" s="31"/>
      <c r="C295"/>
      <c r="D295" s="25"/>
      <c r="E295"/>
      <c r="F295"/>
      <c r="G295" s="33"/>
      <c r="H295"/>
      <c r="I295"/>
      <c r="J295" s="65"/>
      <c r="K295"/>
      <c r="O295"/>
      <c r="P295" s="58"/>
    </row>
    <row r="296" spans="1:16" s="40" customFormat="1" ht="15.75" customHeight="1">
      <c r="A296"/>
      <c r="B296" s="31"/>
      <c r="C296"/>
      <c r="D296" s="25"/>
      <c r="E296"/>
      <c r="F296"/>
      <c r="G296" s="33"/>
      <c r="H296"/>
      <c r="I296"/>
      <c r="J296" s="65"/>
      <c r="K296"/>
      <c r="O296"/>
      <c r="P296" s="58"/>
    </row>
    <row r="297" spans="1:16" s="40" customFormat="1" ht="15.75" customHeight="1">
      <c r="A297"/>
      <c r="B297" s="31"/>
      <c r="C297"/>
      <c r="D297" s="25"/>
      <c r="E297"/>
      <c r="F297"/>
      <c r="G297" s="33"/>
      <c r="H297"/>
      <c r="I297"/>
      <c r="J297" s="65"/>
      <c r="K297"/>
      <c r="O297"/>
      <c r="P297" s="58"/>
    </row>
    <row r="298" spans="1:16" ht="15.75" customHeight="1"/>
    <row r="299" spans="1:16" ht="15.75" customHeight="1"/>
    <row r="300" spans="1:16" ht="15.75" customHeight="1"/>
    <row r="301" spans="1:16" ht="15.75" customHeight="1"/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honeticPr fontId="5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DCED-F896-44F4-AD60-DEBB8A4E7081}">
  <dimension ref="A1:Q956"/>
  <sheetViews>
    <sheetView topLeftCell="E1" zoomScale="80" zoomScaleNormal="80" workbookViewId="0">
      <pane ySplit="2" topLeftCell="A15" activePane="bottomLeft" state="frozen"/>
      <selection pane="bottomLeft" activeCell="Q42" sqref="Q42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4.14062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399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>
        <v>975443</v>
      </c>
      <c r="B3" s="28">
        <v>117251</v>
      </c>
      <c r="C3" s="5" t="s">
        <v>53</v>
      </c>
      <c r="D3" s="22">
        <v>45727.470833333333</v>
      </c>
      <c r="E3" s="17" t="s">
        <v>23</v>
      </c>
      <c r="F3" s="5" t="s">
        <v>400</v>
      </c>
      <c r="G3" s="17" t="s">
        <v>401</v>
      </c>
      <c r="H3" s="6">
        <v>257</v>
      </c>
      <c r="I3" s="6">
        <v>160</v>
      </c>
      <c r="J3" s="62">
        <v>1</v>
      </c>
      <c r="K3" s="6" t="s">
        <v>56</v>
      </c>
      <c r="L3" s="36">
        <v>41120</v>
      </c>
      <c r="M3" s="42">
        <v>45232</v>
      </c>
      <c r="N3" s="56">
        <v>0</v>
      </c>
      <c r="O3" s="48" t="s">
        <v>71</v>
      </c>
      <c r="P3" s="59" t="s">
        <v>241</v>
      </c>
      <c r="Q3" s="67">
        <f>(M3+N3*1.1)/(I3*J3)</f>
        <v>282.7</v>
      </c>
    </row>
    <row r="4" spans="1:17" ht="18.75" customHeight="1">
      <c r="A4" s="5">
        <v>975422</v>
      </c>
      <c r="B4" s="28">
        <v>117248</v>
      </c>
      <c r="C4" s="5" t="s">
        <v>53</v>
      </c>
      <c r="D4" s="22">
        <v>45727.470138888886</v>
      </c>
      <c r="E4" s="17" t="s">
        <v>19</v>
      </c>
      <c r="F4" s="5" t="s">
        <v>402</v>
      </c>
      <c r="G4" s="17" t="s">
        <v>403</v>
      </c>
      <c r="H4" s="6">
        <v>1000</v>
      </c>
      <c r="I4" s="6">
        <v>60</v>
      </c>
      <c r="J4" s="62">
        <v>1</v>
      </c>
      <c r="K4" s="6" t="s">
        <v>56</v>
      </c>
      <c r="L4" s="36">
        <v>60000</v>
      </c>
      <c r="M4" s="42">
        <v>66000</v>
      </c>
      <c r="N4" s="53">
        <v>0</v>
      </c>
      <c r="O4" s="48" t="s">
        <v>71</v>
      </c>
      <c r="P4" s="51" t="s">
        <v>404</v>
      </c>
      <c r="Q4" s="67">
        <f t="shared" ref="Q3:Q28" si="0">(M4+N4*1.1)/(I4*J4)</f>
        <v>1100</v>
      </c>
    </row>
    <row r="5" spans="1:17" ht="18.75" customHeight="1">
      <c r="A5" s="5">
        <v>975434</v>
      </c>
      <c r="B5" s="28">
        <v>117248</v>
      </c>
      <c r="C5" s="5" t="s">
        <v>53</v>
      </c>
      <c r="D5" s="22">
        <v>45727.470138888886</v>
      </c>
      <c r="E5" s="17" t="s">
        <v>19</v>
      </c>
      <c r="F5" s="5" t="s">
        <v>400</v>
      </c>
      <c r="G5" s="17" t="s">
        <v>401</v>
      </c>
      <c r="H5" s="6">
        <v>257</v>
      </c>
      <c r="I5" s="6">
        <v>160</v>
      </c>
      <c r="J5" s="62">
        <v>1</v>
      </c>
      <c r="K5" s="6" t="s">
        <v>56</v>
      </c>
      <c r="L5" s="36">
        <v>41120</v>
      </c>
      <c r="M5" s="42">
        <v>45232</v>
      </c>
      <c r="N5" s="53">
        <v>0</v>
      </c>
      <c r="O5" s="48" t="s">
        <v>71</v>
      </c>
      <c r="P5" s="51" t="s">
        <v>241</v>
      </c>
      <c r="Q5" s="67">
        <f>(M5+N5*1.1)/(I5*J5)</f>
        <v>282.7</v>
      </c>
    </row>
    <row r="6" spans="1:17" ht="18.75" customHeight="1">
      <c r="A6" s="5">
        <v>966311</v>
      </c>
      <c r="B6" s="28">
        <v>116560</v>
      </c>
      <c r="C6" s="5" t="s">
        <v>53</v>
      </c>
      <c r="D6" s="22">
        <v>45721.667361111111</v>
      </c>
      <c r="E6" s="17" t="s">
        <v>19</v>
      </c>
      <c r="F6" s="5" t="s">
        <v>405</v>
      </c>
      <c r="G6" s="17" t="s">
        <v>406</v>
      </c>
      <c r="H6" s="6">
        <v>1000</v>
      </c>
      <c r="I6" s="6">
        <v>60</v>
      </c>
      <c r="J6" s="62">
        <v>1</v>
      </c>
      <c r="K6" s="6" t="s">
        <v>56</v>
      </c>
      <c r="L6" s="36">
        <v>60000</v>
      </c>
      <c r="M6" s="42">
        <v>66000</v>
      </c>
      <c r="N6" s="53">
        <v>0</v>
      </c>
      <c r="O6" s="48" t="s">
        <v>71</v>
      </c>
      <c r="P6" s="51" t="s">
        <v>404</v>
      </c>
      <c r="Q6" s="67">
        <f t="shared" si="0"/>
        <v>1100</v>
      </c>
    </row>
    <row r="7" spans="1:17" ht="18.75" customHeight="1">
      <c r="A7" s="5">
        <v>962732</v>
      </c>
      <c r="B7" s="28">
        <v>116403</v>
      </c>
      <c r="C7" s="5" t="s">
        <v>53</v>
      </c>
      <c r="D7" s="22">
        <v>45719.970138888886</v>
      </c>
      <c r="E7" s="17" t="s">
        <v>23</v>
      </c>
      <c r="F7" s="5" t="s">
        <v>407</v>
      </c>
      <c r="G7" s="17" t="s">
        <v>408</v>
      </c>
      <c r="H7" s="6">
        <v>1000</v>
      </c>
      <c r="I7" s="6">
        <v>60</v>
      </c>
      <c r="J7" s="62">
        <v>1</v>
      </c>
      <c r="K7" s="6" t="s">
        <v>56</v>
      </c>
      <c r="L7" s="36">
        <v>60000</v>
      </c>
      <c r="M7" s="42">
        <v>66000</v>
      </c>
      <c r="N7" s="53">
        <v>0</v>
      </c>
      <c r="O7" s="48" t="s">
        <v>148</v>
      </c>
      <c r="P7" s="51" t="s">
        <v>409</v>
      </c>
      <c r="Q7" s="67">
        <f t="shared" si="0"/>
        <v>1100</v>
      </c>
    </row>
    <row r="8" spans="1:17" ht="18.75" customHeight="1">
      <c r="A8" s="5">
        <v>962720</v>
      </c>
      <c r="B8" s="28">
        <v>116402</v>
      </c>
      <c r="C8" s="5" t="s">
        <v>53</v>
      </c>
      <c r="D8" s="22">
        <v>45719.959722222222</v>
      </c>
      <c r="E8" s="17" t="s">
        <v>19</v>
      </c>
      <c r="F8" s="5" t="s">
        <v>410</v>
      </c>
      <c r="G8" s="17" t="s">
        <v>411</v>
      </c>
      <c r="H8" s="6">
        <v>350</v>
      </c>
      <c r="I8" s="6">
        <v>150</v>
      </c>
      <c r="J8" s="62">
        <v>1</v>
      </c>
      <c r="K8" s="6" t="s">
        <v>56</v>
      </c>
      <c r="L8" s="36">
        <v>52500</v>
      </c>
      <c r="M8" s="42">
        <v>57750</v>
      </c>
      <c r="N8" s="53">
        <v>0</v>
      </c>
      <c r="O8" s="48" t="s">
        <v>71</v>
      </c>
      <c r="P8" s="51" t="s">
        <v>412</v>
      </c>
      <c r="Q8" s="67">
        <f t="shared" si="0"/>
        <v>385</v>
      </c>
    </row>
    <row r="9" spans="1:17" ht="18.75" customHeight="1">
      <c r="A9" s="5">
        <v>962726</v>
      </c>
      <c r="B9" s="28">
        <v>116402</v>
      </c>
      <c r="C9" s="5" t="s">
        <v>53</v>
      </c>
      <c r="D9" s="22">
        <v>45719.959722222222</v>
      </c>
      <c r="E9" s="17" t="s">
        <v>19</v>
      </c>
      <c r="F9" s="5" t="s">
        <v>413</v>
      </c>
      <c r="G9" s="17" t="s">
        <v>414</v>
      </c>
      <c r="H9" s="6">
        <v>1000</v>
      </c>
      <c r="I9" s="6">
        <v>24</v>
      </c>
      <c r="J9" s="62">
        <v>1</v>
      </c>
      <c r="K9" s="6" t="s">
        <v>56</v>
      </c>
      <c r="L9" s="36">
        <v>24000</v>
      </c>
      <c r="M9" s="42">
        <v>26400</v>
      </c>
      <c r="N9" s="53">
        <v>0</v>
      </c>
      <c r="O9" s="48" t="s">
        <v>71</v>
      </c>
      <c r="P9" s="51" t="s">
        <v>412</v>
      </c>
      <c r="Q9" s="67">
        <f t="shared" si="0"/>
        <v>1100</v>
      </c>
    </row>
    <row r="10" spans="1:17" ht="18.75" customHeight="1">
      <c r="A10" s="5">
        <v>962727</v>
      </c>
      <c r="B10" s="28">
        <v>116402</v>
      </c>
      <c r="C10" s="5" t="s">
        <v>53</v>
      </c>
      <c r="D10" s="22">
        <v>45719.959722222222</v>
      </c>
      <c r="E10" s="17" t="s">
        <v>19</v>
      </c>
      <c r="F10" s="5" t="s">
        <v>407</v>
      </c>
      <c r="G10" s="17" t="s">
        <v>408</v>
      </c>
      <c r="H10" s="6">
        <v>1000</v>
      </c>
      <c r="I10" s="6">
        <v>60</v>
      </c>
      <c r="J10" s="62">
        <v>2</v>
      </c>
      <c r="K10" s="6" t="s">
        <v>56</v>
      </c>
      <c r="L10" s="36">
        <v>120000</v>
      </c>
      <c r="M10" s="42">
        <v>132000</v>
      </c>
      <c r="N10" s="53">
        <v>0</v>
      </c>
      <c r="O10" s="48" t="s">
        <v>148</v>
      </c>
      <c r="P10" s="51" t="s">
        <v>409</v>
      </c>
      <c r="Q10" s="67">
        <f t="shared" si="0"/>
        <v>1100</v>
      </c>
    </row>
    <row r="11" spans="1:17" ht="18.75" customHeight="1">
      <c r="A11" s="5">
        <v>962498</v>
      </c>
      <c r="B11" s="28">
        <v>116398</v>
      </c>
      <c r="C11" s="5" t="s">
        <v>53</v>
      </c>
      <c r="D11" s="22">
        <v>45719.952777777777</v>
      </c>
      <c r="E11" s="17" t="s">
        <v>22</v>
      </c>
      <c r="F11" s="5" t="s">
        <v>407</v>
      </c>
      <c r="G11" s="17" t="s">
        <v>408</v>
      </c>
      <c r="H11" s="6">
        <v>1000</v>
      </c>
      <c r="I11" s="6">
        <v>60</v>
      </c>
      <c r="J11" s="62">
        <v>2</v>
      </c>
      <c r="K11" s="6" t="s">
        <v>56</v>
      </c>
      <c r="L11" s="36">
        <v>120000</v>
      </c>
      <c r="M11" s="42">
        <v>132000</v>
      </c>
      <c r="N11" s="53">
        <v>0</v>
      </c>
      <c r="O11" s="48" t="s">
        <v>148</v>
      </c>
      <c r="P11" s="51" t="s">
        <v>409</v>
      </c>
      <c r="Q11" s="67">
        <f t="shared" si="0"/>
        <v>1100</v>
      </c>
    </row>
    <row r="12" spans="1:17" ht="18.75" customHeight="1">
      <c r="A12" s="5">
        <v>962700</v>
      </c>
      <c r="B12" s="28">
        <v>116398</v>
      </c>
      <c r="C12" s="5" t="s">
        <v>53</v>
      </c>
      <c r="D12" s="22">
        <v>45719.952777777777</v>
      </c>
      <c r="E12" s="17" t="s">
        <v>22</v>
      </c>
      <c r="F12" s="5" t="s">
        <v>415</v>
      </c>
      <c r="G12" s="17" t="s">
        <v>416</v>
      </c>
      <c r="H12" s="6">
        <v>360</v>
      </c>
      <c r="I12" s="6">
        <v>160</v>
      </c>
      <c r="J12" s="62">
        <v>1</v>
      </c>
      <c r="K12" s="6" t="s">
        <v>56</v>
      </c>
      <c r="L12" s="36">
        <v>57600</v>
      </c>
      <c r="M12" s="42">
        <v>63360</v>
      </c>
      <c r="N12" s="53">
        <v>0</v>
      </c>
      <c r="O12" s="48" t="s">
        <v>148</v>
      </c>
      <c r="P12" s="51" t="s">
        <v>409</v>
      </c>
      <c r="Q12" s="67">
        <f t="shared" si="0"/>
        <v>396</v>
      </c>
    </row>
    <row r="13" spans="1:17" ht="18.75" customHeight="1">
      <c r="A13" s="5">
        <v>957730</v>
      </c>
      <c r="B13" s="28">
        <v>115948</v>
      </c>
      <c r="C13" s="5" t="s">
        <v>53</v>
      </c>
      <c r="D13" s="22">
        <v>45716.304166666669</v>
      </c>
      <c r="E13" s="17" t="s">
        <v>22</v>
      </c>
      <c r="F13" s="5" t="s">
        <v>417</v>
      </c>
      <c r="G13" s="17" t="s">
        <v>418</v>
      </c>
      <c r="H13" s="6">
        <v>645</v>
      </c>
      <c r="I13" s="6">
        <v>80</v>
      </c>
      <c r="J13" s="62">
        <v>1</v>
      </c>
      <c r="K13" s="6" t="s">
        <v>56</v>
      </c>
      <c r="L13" s="36">
        <v>51600</v>
      </c>
      <c r="M13" s="42">
        <v>56760</v>
      </c>
      <c r="N13" s="53">
        <v>0</v>
      </c>
      <c r="O13" s="48" t="s">
        <v>419</v>
      </c>
      <c r="P13" s="51" t="s">
        <v>241</v>
      </c>
      <c r="Q13" s="67">
        <f t="shared" si="0"/>
        <v>709.5</v>
      </c>
    </row>
    <row r="14" spans="1:17" ht="18.75" customHeight="1">
      <c r="A14" s="5">
        <v>957729</v>
      </c>
      <c r="B14" s="28">
        <v>115947</v>
      </c>
      <c r="C14" s="5" t="s">
        <v>53</v>
      </c>
      <c r="D14" s="22">
        <v>45716.304166666669</v>
      </c>
      <c r="E14" s="17" t="s">
        <v>19</v>
      </c>
      <c r="F14" s="5" t="s">
        <v>417</v>
      </c>
      <c r="G14" s="17" t="s">
        <v>418</v>
      </c>
      <c r="H14" s="6">
        <v>645</v>
      </c>
      <c r="I14" s="6">
        <v>80</v>
      </c>
      <c r="J14" s="62">
        <v>1</v>
      </c>
      <c r="K14" s="6" t="s">
        <v>56</v>
      </c>
      <c r="L14" s="36">
        <v>51600</v>
      </c>
      <c r="M14" s="42">
        <v>56760</v>
      </c>
      <c r="N14" s="53">
        <v>0</v>
      </c>
      <c r="O14" s="48" t="s">
        <v>419</v>
      </c>
      <c r="P14" s="51" t="s">
        <v>241</v>
      </c>
      <c r="Q14" s="67">
        <f t="shared" si="0"/>
        <v>709.5</v>
      </c>
    </row>
    <row r="15" spans="1:17" ht="18.75" customHeight="1">
      <c r="A15" s="5">
        <v>957728</v>
      </c>
      <c r="B15" s="28">
        <v>115946</v>
      </c>
      <c r="C15" s="5" t="s">
        <v>53</v>
      </c>
      <c r="D15" s="22">
        <v>45716.303472222222</v>
      </c>
      <c r="E15" s="17" t="s">
        <v>23</v>
      </c>
      <c r="F15" s="5" t="s">
        <v>417</v>
      </c>
      <c r="G15" s="17" t="s">
        <v>418</v>
      </c>
      <c r="H15" s="6">
        <v>645</v>
      </c>
      <c r="I15" s="6">
        <v>80</v>
      </c>
      <c r="J15" s="62">
        <v>0.5</v>
      </c>
      <c r="K15" s="6" t="s">
        <v>56</v>
      </c>
      <c r="L15" s="36">
        <v>25800</v>
      </c>
      <c r="M15" s="42">
        <v>28380</v>
      </c>
      <c r="N15" s="53">
        <v>0</v>
      </c>
      <c r="O15" s="48" t="s">
        <v>419</v>
      </c>
      <c r="P15" s="51" t="s">
        <v>241</v>
      </c>
      <c r="Q15" s="67">
        <f t="shared" si="0"/>
        <v>709.5</v>
      </c>
    </row>
    <row r="16" spans="1:17" ht="18.75" customHeight="1">
      <c r="A16" s="5">
        <v>956875</v>
      </c>
      <c r="B16" s="28">
        <v>115828</v>
      </c>
      <c r="C16" s="5" t="s">
        <v>53</v>
      </c>
      <c r="D16" s="22">
        <v>45715.342361111114</v>
      </c>
      <c r="E16" s="17" t="s">
        <v>19</v>
      </c>
      <c r="F16" s="5" t="s">
        <v>420</v>
      </c>
      <c r="G16" s="17" t="s">
        <v>421</v>
      </c>
      <c r="H16" s="6">
        <v>440</v>
      </c>
      <c r="I16" s="6">
        <v>120</v>
      </c>
      <c r="J16" s="62">
        <v>1</v>
      </c>
      <c r="K16" s="6" t="s">
        <v>56</v>
      </c>
      <c r="L16" s="36">
        <v>52800</v>
      </c>
      <c r="M16" s="42">
        <v>58080</v>
      </c>
      <c r="N16" s="53">
        <v>0</v>
      </c>
      <c r="O16" s="48" t="s">
        <v>71</v>
      </c>
      <c r="P16" s="51" t="s">
        <v>422</v>
      </c>
      <c r="Q16" s="67">
        <f t="shared" si="0"/>
        <v>484</v>
      </c>
    </row>
    <row r="17" spans="1:17" ht="18.75" customHeight="1">
      <c r="A17" s="5">
        <v>944553</v>
      </c>
      <c r="B17" s="28">
        <v>113737</v>
      </c>
      <c r="C17" s="5" t="s">
        <v>53</v>
      </c>
      <c r="D17" s="22">
        <v>45702.486111111109</v>
      </c>
      <c r="E17" s="17" t="s">
        <v>22</v>
      </c>
      <c r="F17" s="5" t="s">
        <v>423</v>
      </c>
      <c r="G17" s="17" t="s">
        <v>424</v>
      </c>
      <c r="H17" s="6">
        <v>905</v>
      </c>
      <c r="I17" s="6">
        <v>48</v>
      </c>
      <c r="J17" s="62">
        <v>1</v>
      </c>
      <c r="K17" s="6" t="s">
        <v>56</v>
      </c>
      <c r="L17" s="36">
        <v>43440</v>
      </c>
      <c r="M17" s="42">
        <v>47784</v>
      </c>
      <c r="N17" s="53">
        <v>0</v>
      </c>
      <c r="O17" s="48" t="s">
        <v>71</v>
      </c>
      <c r="P17" s="51" t="s">
        <v>241</v>
      </c>
      <c r="Q17" s="67">
        <f t="shared" si="0"/>
        <v>995.5</v>
      </c>
    </row>
    <row r="18" spans="1:17" ht="18.75" customHeight="1">
      <c r="A18" s="5"/>
      <c r="B18" s="28"/>
      <c r="C18" s="5"/>
      <c r="D18" s="22"/>
      <c r="E18" s="17"/>
      <c r="F18" s="5"/>
      <c r="G18" s="17"/>
      <c r="H18" s="6"/>
      <c r="I18" s="6"/>
      <c r="J18" s="62"/>
      <c r="K18" s="6"/>
      <c r="L18" s="36"/>
      <c r="M18" s="42"/>
      <c r="N18" s="53"/>
      <c r="O18" s="133"/>
      <c r="P18" s="51"/>
      <c r="Q18" s="67" t="e">
        <f t="shared" si="0"/>
        <v>#DIV/0!</v>
      </c>
    </row>
    <row r="19" spans="1:17" ht="18.75" customHeight="1">
      <c r="A19" s="5"/>
      <c r="B19" s="28"/>
      <c r="C19" s="5"/>
      <c r="D19" s="22"/>
      <c r="E19" s="17"/>
      <c r="F19" s="5"/>
      <c r="G19" s="17"/>
      <c r="H19" s="6"/>
      <c r="I19" s="6"/>
      <c r="J19" s="62"/>
      <c r="K19" s="6"/>
      <c r="L19" s="36"/>
      <c r="M19" s="42"/>
      <c r="N19" s="53"/>
      <c r="O19" s="48"/>
      <c r="P19" s="51"/>
      <c r="Q19" s="67" t="e">
        <f t="shared" si="0"/>
        <v>#DIV/0!</v>
      </c>
    </row>
    <row r="20" spans="1:17" ht="18.75" customHeight="1">
      <c r="A20" s="5"/>
      <c r="B20" s="28"/>
      <c r="C20" s="5"/>
      <c r="D20" s="22"/>
      <c r="E20" s="17"/>
      <c r="F20" s="5"/>
      <c r="G20" s="17"/>
      <c r="H20" s="6"/>
      <c r="I20" s="6"/>
      <c r="J20" s="62"/>
      <c r="K20" s="6"/>
      <c r="L20" s="36"/>
      <c r="M20" s="42"/>
      <c r="N20" s="53"/>
      <c r="O20" s="48"/>
      <c r="P20" s="51"/>
      <c r="Q20" s="67" t="e">
        <f t="shared" si="0"/>
        <v>#DIV/0!</v>
      </c>
    </row>
    <row r="21" spans="1:17" ht="18.75" customHeight="1">
      <c r="A21" s="5"/>
      <c r="B21" s="28"/>
      <c r="C21" s="5"/>
      <c r="D21" s="22"/>
      <c r="E21" s="17"/>
      <c r="F21" s="5"/>
      <c r="G21" s="17"/>
      <c r="H21" s="6"/>
      <c r="I21" s="6"/>
      <c r="J21" s="62"/>
      <c r="K21" s="6"/>
      <c r="L21" s="36"/>
      <c r="M21" s="42"/>
      <c r="N21" s="53"/>
      <c r="O21" s="48"/>
      <c r="P21" s="51"/>
      <c r="Q21" s="67" t="e">
        <f t="shared" si="0"/>
        <v>#DIV/0!</v>
      </c>
    </row>
    <row r="22" spans="1:17" ht="18.75" customHeight="1">
      <c r="A22" s="5"/>
      <c r="B22" s="28"/>
      <c r="C22" s="5"/>
      <c r="D22" s="22"/>
      <c r="E22" s="17"/>
      <c r="F22" s="5"/>
      <c r="G22" s="17"/>
      <c r="H22" s="6"/>
      <c r="I22" s="6"/>
      <c r="J22" s="62"/>
      <c r="K22" s="6"/>
      <c r="L22" s="36"/>
      <c r="M22" s="42"/>
      <c r="N22" s="53"/>
      <c r="O22" s="48"/>
      <c r="P22" s="51"/>
      <c r="Q22" s="67" t="e">
        <f t="shared" si="0"/>
        <v>#DIV/0!</v>
      </c>
    </row>
    <row r="23" spans="1:17" ht="18.75" customHeight="1">
      <c r="A23" s="5"/>
      <c r="B23" s="28"/>
      <c r="C23" s="5"/>
      <c r="D23" s="22"/>
      <c r="E23" s="17"/>
      <c r="F23" s="5"/>
      <c r="G23" s="17"/>
      <c r="H23" s="6"/>
      <c r="I23" s="6"/>
      <c r="J23" s="62"/>
      <c r="K23" s="6"/>
      <c r="L23" s="36"/>
      <c r="M23" s="42"/>
      <c r="N23" s="53"/>
      <c r="O23" s="50"/>
      <c r="P23" s="51"/>
      <c r="Q23" s="67" t="e">
        <f>(M23+N23*1.1)/(I23*J23)</f>
        <v>#DIV/0!</v>
      </c>
    </row>
    <row r="24" spans="1:17" ht="18.75" customHeight="1">
      <c r="A24" s="5"/>
      <c r="B24" s="28"/>
      <c r="C24" s="5"/>
      <c r="D24" s="22"/>
      <c r="E24" s="17"/>
      <c r="F24" s="5"/>
      <c r="G24" s="17"/>
      <c r="H24" s="6"/>
      <c r="I24" s="6"/>
      <c r="J24" s="62"/>
      <c r="K24" s="6"/>
      <c r="L24" s="36"/>
      <c r="M24" s="42"/>
      <c r="N24" s="53"/>
      <c r="O24" s="50"/>
      <c r="P24" s="51"/>
      <c r="Q24" s="67" t="e">
        <f t="shared" si="0"/>
        <v>#DIV/0!</v>
      </c>
    </row>
    <row r="25" spans="1:17" ht="18.75" customHeight="1">
      <c r="A25" s="5"/>
      <c r="B25" s="28"/>
      <c r="C25" s="5"/>
      <c r="D25" s="22"/>
      <c r="E25" s="17"/>
      <c r="F25" s="5"/>
      <c r="G25" s="17"/>
      <c r="H25" s="6"/>
      <c r="I25" s="6"/>
      <c r="J25" s="62"/>
      <c r="K25" s="6"/>
      <c r="L25" s="36"/>
      <c r="M25" s="42"/>
      <c r="N25" s="53"/>
      <c r="O25" s="50"/>
      <c r="P25" s="51"/>
      <c r="Q25" s="67" t="e">
        <f t="shared" si="0"/>
        <v>#DIV/0!</v>
      </c>
    </row>
    <row r="26" spans="1:17" ht="18.75" customHeight="1">
      <c r="A26" s="5"/>
      <c r="B26" s="28"/>
      <c r="C26" s="5"/>
      <c r="D26" s="22"/>
      <c r="E26" s="17"/>
      <c r="F26" s="5"/>
      <c r="G26" s="17"/>
      <c r="H26" s="6"/>
      <c r="I26" s="6"/>
      <c r="J26" s="62"/>
      <c r="K26" s="6"/>
      <c r="L26" s="36"/>
      <c r="M26" s="42"/>
      <c r="N26" s="53"/>
      <c r="O26" s="48"/>
      <c r="P26" s="51"/>
      <c r="Q26" s="67" t="e">
        <f t="shared" si="0"/>
        <v>#DIV/0!</v>
      </c>
    </row>
    <row r="27" spans="1:17" ht="18.75" customHeight="1">
      <c r="A27" s="5"/>
      <c r="B27" s="28"/>
      <c r="C27" s="5"/>
      <c r="D27" s="22"/>
      <c r="E27" s="17"/>
      <c r="F27" s="5"/>
      <c r="G27" s="17"/>
      <c r="H27" s="6"/>
      <c r="I27" s="6"/>
      <c r="J27" s="62"/>
      <c r="K27" s="6"/>
      <c r="L27" s="36"/>
      <c r="M27" s="42"/>
      <c r="N27" s="53"/>
      <c r="O27" s="48"/>
      <c r="P27" s="51"/>
      <c r="Q27" s="67" t="e">
        <f t="shared" si="0"/>
        <v>#DIV/0!</v>
      </c>
    </row>
    <row r="28" spans="1:17" ht="18.75" customHeight="1">
      <c r="A28" s="5"/>
      <c r="B28" s="28"/>
      <c r="C28" s="5"/>
      <c r="D28" s="22"/>
      <c r="E28" s="17"/>
      <c r="F28" s="5"/>
      <c r="G28" s="17"/>
      <c r="H28" s="6"/>
      <c r="I28" s="6"/>
      <c r="J28" s="62"/>
      <c r="K28" s="6"/>
      <c r="L28" s="36"/>
      <c r="M28" s="42"/>
      <c r="N28" s="53"/>
      <c r="O28" s="48"/>
      <c r="P28" s="51"/>
      <c r="Q28" s="67" t="e">
        <f t="shared" si="0"/>
        <v>#DIV/0!</v>
      </c>
    </row>
    <row r="29" spans="1:17" ht="18.75" customHeight="1">
      <c r="A29" s="5"/>
      <c r="B29" s="28"/>
      <c r="C29" s="5"/>
      <c r="D29" s="22"/>
      <c r="E29" s="17"/>
      <c r="F29" s="5"/>
      <c r="G29" s="17"/>
      <c r="H29" s="6"/>
      <c r="I29" s="6"/>
      <c r="J29" s="62"/>
      <c r="K29" s="6"/>
      <c r="L29" s="36"/>
      <c r="M29" s="42"/>
      <c r="N29" s="53"/>
      <c r="O29" s="48"/>
      <c r="P29" s="51"/>
      <c r="Q29" s="67"/>
    </row>
    <row r="30" spans="1:17" ht="18.75" customHeight="1">
      <c r="A30" s="14"/>
      <c r="B30" s="29"/>
      <c r="C30" s="14"/>
      <c r="D30" s="23"/>
      <c r="E30" s="18"/>
      <c r="F30" s="14"/>
      <c r="G30" s="18"/>
      <c r="H30" s="15"/>
      <c r="I30" s="15"/>
      <c r="J30" s="63"/>
      <c r="K30" s="15"/>
      <c r="L30" s="38"/>
      <c r="M30" s="44"/>
      <c r="N30" s="55"/>
      <c r="O30" s="48"/>
      <c r="P30" s="51"/>
      <c r="Q30" s="67"/>
    </row>
    <row r="31" spans="1:17" ht="18.75" customHeight="1">
      <c r="A31" s="5"/>
      <c r="B31" s="28"/>
      <c r="C31" s="5"/>
      <c r="D31" s="22"/>
      <c r="E31" s="17"/>
      <c r="F31" s="5"/>
      <c r="G31" s="17"/>
      <c r="H31" s="6"/>
      <c r="I31" s="6"/>
      <c r="J31" s="62"/>
      <c r="K31" s="6"/>
      <c r="L31" s="36"/>
      <c r="M31" s="42"/>
      <c r="N31" s="56"/>
      <c r="O31" s="48"/>
      <c r="P31" s="51"/>
      <c r="Q31" s="67"/>
    </row>
    <row r="32" spans="1:17" ht="18.75" customHeight="1">
      <c r="A32" s="134"/>
      <c r="B32" s="28"/>
      <c r="C32" s="5"/>
      <c r="D32" s="22"/>
      <c r="E32" s="135"/>
      <c r="F32" s="134"/>
      <c r="G32" s="17"/>
      <c r="H32" s="16"/>
      <c r="I32" s="16"/>
      <c r="J32" s="136"/>
      <c r="K32" s="16"/>
      <c r="L32" s="36"/>
      <c r="M32" s="45"/>
      <c r="N32" s="53"/>
      <c r="O32" s="50"/>
      <c r="P32" s="51"/>
      <c r="Q32" s="67"/>
    </row>
    <row r="33" spans="1:17" ht="18.75" customHeight="1">
      <c r="A33" s="5"/>
      <c r="B33" s="28"/>
      <c r="C33" s="5"/>
      <c r="D33" s="22"/>
      <c r="E33" s="17"/>
      <c r="F33" s="5"/>
      <c r="G33" s="17"/>
      <c r="H33" s="6"/>
      <c r="I33" s="6"/>
      <c r="J33" s="62"/>
      <c r="K33" s="6"/>
      <c r="L33" s="36"/>
      <c r="M33" s="42"/>
      <c r="N33" s="53"/>
      <c r="O33" s="48"/>
      <c r="P33" s="51"/>
      <c r="Q33" s="67"/>
    </row>
    <row r="34" spans="1:17" ht="18.75" customHeight="1">
      <c r="A34" s="5"/>
      <c r="B34" s="28"/>
      <c r="C34" s="5"/>
      <c r="D34" s="22"/>
      <c r="E34" s="17"/>
      <c r="F34" s="5"/>
      <c r="G34" s="17"/>
      <c r="H34" s="6"/>
      <c r="I34" s="6"/>
      <c r="J34" s="62"/>
      <c r="K34" s="6"/>
      <c r="L34" s="36"/>
      <c r="M34" s="42"/>
      <c r="N34" s="53"/>
      <c r="O34" s="48"/>
      <c r="P34" s="51"/>
      <c r="Q34" s="67"/>
    </row>
    <row r="35" spans="1:17" ht="18.75" customHeight="1">
      <c r="A35" s="5"/>
      <c r="B35" s="30"/>
      <c r="C35" s="5"/>
      <c r="D35" s="22"/>
      <c r="E35" s="17"/>
      <c r="F35" s="5"/>
      <c r="G35" s="17"/>
      <c r="H35" s="6"/>
      <c r="I35" s="6"/>
      <c r="J35" s="62"/>
      <c r="K35" s="6"/>
      <c r="L35" s="36"/>
      <c r="M35" s="42"/>
      <c r="N35" s="53"/>
      <c r="O35" s="48"/>
      <c r="P35" s="51"/>
      <c r="Q35" s="67"/>
    </row>
    <row r="36" spans="1:17" ht="18.75" customHeight="1">
      <c r="A36" s="7"/>
      <c r="B36" s="30"/>
      <c r="C36" s="8"/>
      <c r="D36" s="24"/>
      <c r="E36" s="19"/>
      <c r="F36" s="8"/>
      <c r="G36" s="19"/>
      <c r="H36" s="9"/>
      <c r="I36" s="9"/>
      <c r="J36" s="64"/>
      <c r="K36" s="9"/>
      <c r="L36" s="39"/>
      <c r="M36" s="46"/>
      <c r="N36" s="53"/>
      <c r="O36" s="48"/>
      <c r="P36" s="51"/>
      <c r="Q36" s="67"/>
    </row>
    <row r="37" spans="1:17" ht="18.75" customHeight="1">
      <c r="A37" s="137"/>
      <c r="B37" s="28"/>
      <c r="C37" s="5"/>
      <c r="D37" s="22"/>
      <c r="E37" s="17"/>
      <c r="F37" s="5"/>
      <c r="G37" s="17"/>
      <c r="H37" s="6"/>
      <c r="I37" s="6"/>
      <c r="J37" s="62"/>
      <c r="K37" s="6"/>
      <c r="L37" s="36"/>
      <c r="M37" s="46"/>
      <c r="N37" s="53"/>
      <c r="O37" s="48"/>
      <c r="P37" s="51"/>
      <c r="Q37" s="67"/>
    </row>
    <row r="38" spans="1:17" ht="18.75" customHeight="1">
      <c r="A38" s="137"/>
      <c r="B38" s="28"/>
      <c r="C38" s="5"/>
      <c r="D38" s="22"/>
      <c r="E38" s="17"/>
      <c r="F38" s="5"/>
      <c r="G38" s="17"/>
      <c r="H38" s="6"/>
      <c r="I38" s="6"/>
      <c r="J38" s="62"/>
      <c r="K38" s="6"/>
      <c r="L38" s="36"/>
      <c r="M38" s="46"/>
      <c r="N38" s="53"/>
      <c r="O38" s="48"/>
      <c r="P38" s="51"/>
      <c r="Q38" s="67"/>
    </row>
    <row r="39" spans="1:17" ht="18.75" customHeight="1">
      <c r="A39" s="137"/>
      <c r="B39" s="28"/>
      <c r="C39" s="5"/>
      <c r="D39" s="22"/>
      <c r="E39" s="17"/>
      <c r="F39" s="5"/>
      <c r="G39" s="17"/>
      <c r="H39" s="6"/>
      <c r="I39" s="6"/>
      <c r="J39" s="62"/>
      <c r="K39" s="6"/>
      <c r="L39" s="36"/>
      <c r="M39" s="46"/>
      <c r="N39" s="53"/>
      <c r="O39" s="48"/>
      <c r="P39" s="51"/>
      <c r="Q39" s="67"/>
    </row>
    <row r="40" spans="1:17" ht="18.75" customHeight="1">
      <c r="A40" s="10"/>
      <c r="B40" s="138"/>
      <c r="C40" s="134"/>
      <c r="D40" s="139"/>
      <c r="E40" s="135"/>
      <c r="F40" s="134"/>
      <c r="G40" s="135"/>
      <c r="H40" s="16"/>
      <c r="I40" s="16"/>
      <c r="J40" s="136"/>
      <c r="K40" s="16"/>
      <c r="L40" s="140"/>
      <c r="M40" s="45"/>
      <c r="N40" s="53"/>
      <c r="O40" s="48"/>
      <c r="P40" s="51"/>
      <c r="Q40" s="67"/>
    </row>
    <row r="41" spans="1:17" ht="18.75" customHeight="1">
      <c r="A41" s="5"/>
      <c r="B41" s="28"/>
      <c r="C41" s="5"/>
      <c r="D41" s="22"/>
      <c r="E41" s="17"/>
      <c r="F41" s="5"/>
      <c r="G41" s="17"/>
      <c r="H41" s="6"/>
      <c r="I41" s="6"/>
      <c r="J41" s="62"/>
      <c r="K41" s="6"/>
      <c r="L41" s="36"/>
      <c r="M41" s="42"/>
      <c r="N41" s="53"/>
      <c r="O41" s="48"/>
      <c r="P41" s="51"/>
      <c r="Q41" s="67"/>
    </row>
    <row r="42" spans="1:17" ht="18.75" customHeight="1">
      <c r="A42" s="1"/>
      <c r="B42" s="26"/>
      <c r="C42" s="1"/>
      <c r="D42" s="20"/>
      <c r="E42" s="1"/>
      <c r="F42" s="1"/>
      <c r="G42" s="32"/>
      <c r="H42" s="2"/>
      <c r="I42" s="2"/>
      <c r="J42" s="60"/>
      <c r="K42" s="2"/>
      <c r="L42" s="34"/>
      <c r="M42" s="34">
        <f>SUM(M3:N41)</f>
        <v>947738</v>
      </c>
      <c r="N42" s="34"/>
      <c r="O42" s="131"/>
    </row>
    <row r="43" spans="1:17" ht="18.75" customHeight="1">
      <c r="A43" s="1"/>
      <c r="B43" s="26"/>
      <c r="C43" s="1"/>
      <c r="D43" s="20"/>
      <c r="E43" s="1"/>
      <c r="F43" s="1"/>
      <c r="G43" s="32"/>
      <c r="H43" s="2"/>
      <c r="I43" s="2"/>
      <c r="J43" s="60"/>
      <c r="K43" s="2"/>
      <c r="L43" s="34"/>
      <c r="M43" s="34"/>
    </row>
    <row r="44" spans="1:17" ht="18.75" customHeight="1">
      <c r="A44" s="122" t="s">
        <v>18</v>
      </c>
      <c r="B44" s="123"/>
      <c r="C44" s="122"/>
      <c r="D44" s="124">
        <v>45804</v>
      </c>
      <c r="E44" s="132" t="s">
        <v>34</v>
      </c>
      <c r="F44" s="122"/>
      <c r="G44" s="132" t="s">
        <v>425</v>
      </c>
      <c r="H44" s="125">
        <v>950</v>
      </c>
      <c r="I44" s="125">
        <v>60</v>
      </c>
      <c r="J44" s="126">
        <v>2</v>
      </c>
      <c r="K44" s="125"/>
      <c r="L44" s="95"/>
      <c r="M44" s="95">
        <f>L44*1.1</f>
        <v>0</v>
      </c>
      <c r="N44" s="56"/>
      <c r="O44" s="49"/>
      <c r="P44" s="59"/>
      <c r="Q44" s="67">
        <f t="shared" ref="Q44:Q62" si="1">(M44+N44*1.1)/(I44*J44)</f>
        <v>0</v>
      </c>
    </row>
    <row r="45" spans="1:17" ht="18.75" customHeight="1">
      <c r="A45" s="122"/>
      <c r="B45" s="123"/>
      <c r="C45" s="122"/>
      <c r="D45" s="124">
        <v>45804</v>
      </c>
      <c r="E45" s="132" t="s">
        <v>32</v>
      </c>
      <c r="F45" s="122"/>
      <c r="G45" s="132" t="s">
        <v>426</v>
      </c>
      <c r="H45" s="125">
        <v>950</v>
      </c>
      <c r="I45" s="125">
        <v>60</v>
      </c>
      <c r="J45" s="126">
        <v>1</v>
      </c>
      <c r="K45" s="125"/>
      <c r="L45" s="95"/>
      <c r="M45" s="95">
        <f>L45*1.1</f>
        <v>0</v>
      </c>
      <c r="N45" s="56"/>
      <c r="O45" s="49"/>
      <c r="P45" s="59"/>
      <c r="Q45" s="67">
        <f t="shared" si="1"/>
        <v>0</v>
      </c>
    </row>
    <row r="46" spans="1:17" ht="18.75" customHeight="1">
      <c r="A46" s="122"/>
      <c r="B46" s="123"/>
      <c r="C46" s="122"/>
      <c r="D46" s="124">
        <v>45804</v>
      </c>
      <c r="E46" s="132" t="s">
        <v>427</v>
      </c>
      <c r="F46" s="122"/>
      <c r="G46" s="132" t="s">
        <v>426</v>
      </c>
      <c r="H46" s="125">
        <v>950</v>
      </c>
      <c r="I46" s="125">
        <v>60</v>
      </c>
      <c r="J46" s="126">
        <v>1</v>
      </c>
      <c r="K46" s="125"/>
      <c r="L46" s="95"/>
      <c r="M46" s="95">
        <f>L46*1.1</f>
        <v>0</v>
      </c>
      <c r="N46" s="56"/>
      <c r="O46" s="49"/>
      <c r="P46" s="59"/>
      <c r="Q46" s="67">
        <f t="shared" si="1"/>
        <v>0</v>
      </c>
    </row>
    <row r="47" spans="1:17" ht="18.75" customHeight="1">
      <c r="A47" s="122"/>
      <c r="B47" s="123"/>
      <c r="C47" s="122"/>
      <c r="D47" s="124">
        <v>45804</v>
      </c>
      <c r="E47" s="132" t="s">
        <v>428</v>
      </c>
      <c r="F47" s="122"/>
      <c r="G47" s="132" t="s">
        <v>426</v>
      </c>
      <c r="H47" s="125">
        <v>950</v>
      </c>
      <c r="I47" s="125">
        <v>60</v>
      </c>
      <c r="J47" s="126">
        <v>1</v>
      </c>
      <c r="K47" s="125"/>
      <c r="L47" s="95"/>
      <c r="M47" s="95">
        <f t="shared" ref="M47:M62" si="2">L47*1.1</f>
        <v>0</v>
      </c>
      <c r="N47" s="56"/>
      <c r="O47" s="49"/>
      <c r="P47" s="59"/>
      <c r="Q47" s="67">
        <f t="shared" si="1"/>
        <v>0</v>
      </c>
    </row>
    <row r="48" spans="1:17" ht="18.75" customHeight="1">
      <c r="A48" s="122"/>
      <c r="B48" s="123"/>
      <c r="C48" s="122"/>
      <c r="D48" s="124">
        <v>45791</v>
      </c>
      <c r="E48" s="132" t="s">
        <v>34</v>
      </c>
      <c r="F48" s="122"/>
      <c r="G48" s="132" t="s">
        <v>429</v>
      </c>
      <c r="H48" s="125">
        <v>1000</v>
      </c>
      <c r="I48" s="125">
        <v>72</v>
      </c>
      <c r="J48" s="126">
        <v>2</v>
      </c>
      <c r="K48" s="125"/>
      <c r="L48" s="95"/>
      <c r="M48" s="95">
        <f t="shared" si="2"/>
        <v>0</v>
      </c>
      <c r="N48" s="56"/>
      <c r="O48" s="49"/>
      <c r="P48" s="59"/>
      <c r="Q48" s="67">
        <f t="shared" si="1"/>
        <v>0</v>
      </c>
    </row>
    <row r="49" spans="1:17" ht="18.75" customHeight="1">
      <c r="A49" s="122"/>
      <c r="B49" s="123"/>
      <c r="C49" s="122"/>
      <c r="D49" s="124">
        <v>45791</v>
      </c>
      <c r="E49" s="132" t="s">
        <v>32</v>
      </c>
      <c r="F49" s="122"/>
      <c r="G49" s="132" t="s">
        <v>429</v>
      </c>
      <c r="H49" s="125">
        <v>1000</v>
      </c>
      <c r="I49" s="125">
        <v>72</v>
      </c>
      <c r="J49" s="126">
        <v>2</v>
      </c>
      <c r="K49" s="125"/>
      <c r="L49" s="95"/>
      <c r="M49" s="95">
        <f t="shared" si="2"/>
        <v>0</v>
      </c>
      <c r="N49" s="56"/>
      <c r="O49" s="49"/>
      <c r="P49" s="59"/>
      <c r="Q49" s="67">
        <f t="shared" si="1"/>
        <v>0</v>
      </c>
    </row>
    <row r="50" spans="1:17" ht="18.75" customHeight="1">
      <c r="A50" s="122"/>
      <c r="B50" s="123"/>
      <c r="C50" s="122"/>
      <c r="D50" s="124">
        <v>45791</v>
      </c>
      <c r="E50" s="132" t="s">
        <v>428</v>
      </c>
      <c r="F50" s="122"/>
      <c r="G50" s="132" t="s">
        <v>429</v>
      </c>
      <c r="H50" s="125">
        <v>1000</v>
      </c>
      <c r="I50" s="125">
        <v>72</v>
      </c>
      <c r="J50" s="126">
        <v>2</v>
      </c>
      <c r="K50" s="125"/>
      <c r="L50" s="95"/>
      <c r="M50" s="95">
        <f t="shared" si="2"/>
        <v>0</v>
      </c>
      <c r="N50" s="56"/>
      <c r="O50" s="49"/>
      <c r="P50" s="59"/>
      <c r="Q50" s="67">
        <f t="shared" si="1"/>
        <v>0</v>
      </c>
    </row>
    <row r="51" spans="1:17" ht="18.75" customHeight="1">
      <c r="A51" s="122"/>
      <c r="B51" s="123"/>
      <c r="C51" s="122"/>
      <c r="D51" s="124">
        <v>45815</v>
      </c>
      <c r="E51" s="132" t="s">
        <v>34</v>
      </c>
      <c r="F51" s="122"/>
      <c r="G51" s="132" t="s">
        <v>430</v>
      </c>
      <c r="H51" s="125">
        <v>800</v>
      </c>
      <c r="I51" s="125">
        <v>100</v>
      </c>
      <c r="J51" s="126">
        <v>1</v>
      </c>
      <c r="K51" s="125"/>
      <c r="L51" s="95"/>
      <c r="M51" s="95">
        <f t="shared" si="2"/>
        <v>0</v>
      </c>
      <c r="N51" s="56"/>
      <c r="O51" s="49"/>
      <c r="P51" s="59"/>
      <c r="Q51" s="67">
        <f t="shared" si="1"/>
        <v>0</v>
      </c>
    </row>
    <row r="52" spans="1:17" ht="18.75" customHeight="1">
      <c r="A52" s="122"/>
      <c r="B52" s="123"/>
      <c r="C52" s="122"/>
      <c r="D52" s="124"/>
      <c r="E52" s="132"/>
      <c r="F52" s="122"/>
      <c r="G52" s="132"/>
      <c r="H52" s="125"/>
      <c r="I52" s="125"/>
      <c r="J52" s="126"/>
      <c r="K52" s="125"/>
      <c r="L52" s="95"/>
      <c r="M52" s="95">
        <f t="shared" si="2"/>
        <v>0</v>
      </c>
      <c r="N52" s="56"/>
      <c r="O52" s="49"/>
      <c r="P52" s="59"/>
      <c r="Q52" s="67" t="e">
        <f t="shared" si="1"/>
        <v>#DIV/0!</v>
      </c>
    </row>
    <row r="53" spans="1:17" ht="18.75" customHeight="1">
      <c r="A53" s="122"/>
      <c r="B53" s="123"/>
      <c r="C53" s="122"/>
      <c r="D53" s="124"/>
      <c r="E53" s="132"/>
      <c r="F53" s="122"/>
      <c r="G53" s="132"/>
      <c r="H53" s="125"/>
      <c r="I53" s="125"/>
      <c r="J53" s="126"/>
      <c r="K53" s="125"/>
      <c r="L53" s="95"/>
      <c r="M53" s="95">
        <f t="shared" si="2"/>
        <v>0</v>
      </c>
      <c r="N53" s="56"/>
      <c r="O53" s="49"/>
      <c r="P53" s="59"/>
      <c r="Q53" s="67" t="e">
        <f t="shared" si="1"/>
        <v>#DIV/0!</v>
      </c>
    </row>
    <row r="54" spans="1:17" ht="18.75" customHeight="1">
      <c r="A54" s="122"/>
      <c r="B54" s="123"/>
      <c r="C54" s="122"/>
      <c r="D54" s="124"/>
      <c r="E54" s="132"/>
      <c r="F54" s="122"/>
      <c r="G54" s="132"/>
      <c r="H54" s="125"/>
      <c r="I54" s="125"/>
      <c r="J54" s="126"/>
      <c r="K54" s="125"/>
      <c r="L54" s="95"/>
      <c r="M54" s="95">
        <f t="shared" si="2"/>
        <v>0</v>
      </c>
      <c r="N54" s="56"/>
      <c r="O54" s="49"/>
      <c r="P54" s="59"/>
      <c r="Q54" s="67" t="e">
        <f t="shared" si="1"/>
        <v>#DIV/0!</v>
      </c>
    </row>
    <row r="55" spans="1:17" ht="18.75" customHeight="1">
      <c r="A55" s="122"/>
      <c r="B55" s="123"/>
      <c r="C55" s="122"/>
      <c r="D55" s="124"/>
      <c r="E55" s="132"/>
      <c r="F55" s="122"/>
      <c r="G55" s="132"/>
      <c r="H55" s="125"/>
      <c r="I55" s="125"/>
      <c r="J55" s="126"/>
      <c r="K55" s="125"/>
      <c r="L55" s="95"/>
      <c r="M55" s="95">
        <f t="shared" si="2"/>
        <v>0</v>
      </c>
      <c r="N55" s="56"/>
      <c r="O55" s="49"/>
      <c r="P55" s="59"/>
      <c r="Q55" s="67" t="e">
        <f t="shared" si="1"/>
        <v>#DIV/0!</v>
      </c>
    </row>
    <row r="56" spans="1:17" ht="18.75" customHeight="1">
      <c r="A56" s="122"/>
      <c r="B56" s="123"/>
      <c r="C56" s="122"/>
      <c r="D56" s="124"/>
      <c r="E56" s="132"/>
      <c r="F56" s="122"/>
      <c r="G56" s="132"/>
      <c r="H56" s="125"/>
      <c r="I56" s="125"/>
      <c r="J56" s="126"/>
      <c r="K56" s="125"/>
      <c r="L56" s="95"/>
      <c r="M56" s="95">
        <f t="shared" si="2"/>
        <v>0</v>
      </c>
      <c r="N56" s="56"/>
      <c r="O56" s="49"/>
      <c r="P56" s="59"/>
      <c r="Q56" s="67" t="e">
        <f t="shared" si="1"/>
        <v>#DIV/0!</v>
      </c>
    </row>
    <row r="57" spans="1:17" ht="18.75" customHeight="1">
      <c r="A57" s="122"/>
      <c r="B57" s="123"/>
      <c r="C57" s="122"/>
      <c r="D57" s="124"/>
      <c r="E57" s="132"/>
      <c r="F57" s="122"/>
      <c r="G57" s="132"/>
      <c r="H57" s="125"/>
      <c r="I57" s="125"/>
      <c r="J57" s="126"/>
      <c r="K57" s="125"/>
      <c r="L57" s="95"/>
      <c r="M57" s="95">
        <f t="shared" si="2"/>
        <v>0</v>
      </c>
      <c r="N57" s="56"/>
      <c r="O57" s="49"/>
      <c r="P57" s="59"/>
      <c r="Q57" s="67" t="e">
        <f t="shared" si="1"/>
        <v>#DIV/0!</v>
      </c>
    </row>
    <row r="58" spans="1:17" ht="18.75" customHeight="1">
      <c r="A58" s="122"/>
      <c r="B58" s="123"/>
      <c r="C58" s="122"/>
      <c r="D58" s="124"/>
      <c r="E58" s="132"/>
      <c r="F58" s="122"/>
      <c r="G58" s="132"/>
      <c r="H58" s="125"/>
      <c r="I58" s="125"/>
      <c r="J58" s="126"/>
      <c r="K58" s="125"/>
      <c r="L58" s="95"/>
      <c r="M58" s="95">
        <f t="shared" si="2"/>
        <v>0</v>
      </c>
      <c r="N58" s="56"/>
      <c r="O58" s="49"/>
      <c r="P58" s="59"/>
      <c r="Q58" s="67" t="e">
        <f t="shared" si="1"/>
        <v>#DIV/0!</v>
      </c>
    </row>
    <row r="59" spans="1:17" ht="18.75" customHeight="1">
      <c r="A59" s="122"/>
      <c r="B59" s="123"/>
      <c r="C59" s="122"/>
      <c r="D59" s="124"/>
      <c r="E59" s="132"/>
      <c r="F59" s="122"/>
      <c r="G59" s="132"/>
      <c r="H59" s="125"/>
      <c r="I59" s="125"/>
      <c r="J59" s="126"/>
      <c r="K59" s="125"/>
      <c r="L59" s="95"/>
      <c r="M59" s="95">
        <f t="shared" si="2"/>
        <v>0</v>
      </c>
      <c r="N59" s="56"/>
      <c r="O59" s="49"/>
      <c r="P59" s="59"/>
      <c r="Q59" s="67" t="e">
        <f t="shared" si="1"/>
        <v>#DIV/0!</v>
      </c>
    </row>
    <row r="60" spans="1:17" ht="18.75" customHeight="1">
      <c r="A60" s="122"/>
      <c r="B60" s="123"/>
      <c r="C60" s="122"/>
      <c r="D60" s="124"/>
      <c r="E60" s="132"/>
      <c r="F60" s="122"/>
      <c r="G60" s="132"/>
      <c r="H60" s="125"/>
      <c r="I60" s="125"/>
      <c r="J60" s="126"/>
      <c r="K60" s="125"/>
      <c r="L60" s="95"/>
      <c r="M60" s="95">
        <f t="shared" si="2"/>
        <v>0</v>
      </c>
      <c r="N60" s="56"/>
      <c r="O60" s="49"/>
      <c r="P60" s="59"/>
      <c r="Q60" s="67" t="e">
        <f t="shared" si="1"/>
        <v>#DIV/0!</v>
      </c>
    </row>
    <row r="61" spans="1:17" ht="18.75" customHeight="1">
      <c r="A61" s="122"/>
      <c r="B61" s="123"/>
      <c r="C61" s="122"/>
      <c r="D61" s="124"/>
      <c r="E61" s="96"/>
      <c r="F61" s="122"/>
      <c r="G61" s="96"/>
      <c r="H61" s="125"/>
      <c r="I61" s="125"/>
      <c r="J61" s="126"/>
      <c r="K61" s="125"/>
      <c r="L61" s="95"/>
      <c r="M61" s="95">
        <f t="shared" si="2"/>
        <v>0</v>
      </c>
      <c r="N61" s="56"/>
      <c r="O61" s="49"/>
      <c r="P61" s="59"/>
      <c r="Q61" s="67" t="e">
        <f t="shared" si="1"/>
        <v>#DIV/0!</v>
      </c>
    </row>
    <row r="62" spans="1:17" ht="18.75" customHeight="1">
      <c r="A62" s="122"/>
      <c r="B62" s="123"/>
      <c r="C62" s="122"/>
      <c r="D62" s="124"/>
      <c r="E62" s="96"/>
      <c r="F62" s="122"/>
      <c r="G62" s="96"/>
      <c r="H62" s="125"/>
      <c r="I62" s="125"/>
      <c r="J62" s="126"/>
      <c r="K62" s="125"/>
      <c r="L62" s="95"/>
      <c r="M62" s="95">
        <f t="shared" si="2"/>
        <v>0</v>
      </c>
      <c r="N62" s="56"/>
      <c r="O62" s="49"/>
      <c r="P62" s="59"/>
      <c r="Q62" s="67" t="e">
        <f t="shared" si="1"/>
        <v>#DIV/0!</v>
      </c>
    </row>
    <row r="63" spans="1:17" ht="18.75" customHeight="1">
      <c r="A63" s="12"/>
      <c r="B63" s="68"/>
      <c r="C63" s="12"/>
      <c r="D63" s="69"/>
      <c r="E63" s="12"/>
      <c r="F63" s="12"/>
      <c r="G63" s="70"/>
      <c r="H63" s="71"/>
      <c r="I63" s="71"/>
      <c r="J63" s="72"/>
      <c r="K63" s="71"/>
      <c r="L63" s="73"/>
      <c r="M63" s="73">
        <f>SUM(M44:N62)</f>
        <v>0</v>
      </c>
      <c r="N63" s="74"/>
      <c r="O63" s="11"/>
      <c r="P63" s="75"/>
      <c r="Q63" s="74"/>
    </row>
    <row r="64" spans="1:17" ht="18.75" customHeight="1">
      <c r="A64" s="12"/>
      <c r="B64" s="68"/>
      <c r="C64" s="12"/>
      <c r="D64" s="69"/>
      <c r="E64" s="12"/>
      <c r="F64" s="12"/>
      <c r="G64" s="70"/>
      <c r="H64" s="71"/>
      <c r="I64" s="71"/>
      <c r="J64" s="72"/>
      <c r="K64" s="71"/>
      <c r="L64" s="73"/>
      <c r="M64" s="73"/>
      <c r="N64" s="74"/>
      <c r="O64" s="11"/>
      <c r="P64" s="75"/>
      <c r="Q64" s="74"/>
    </row>
    <row r="65" spans="1:17" ht="18.75" customHeight="1">
      <c r="A65" s="122" t="s">
        <v>28</v>
      </c>
      <c r="B65" s="123"/>
      <c r="C65" s="122"/>
      <c r="D65" s="124"/>
      <c r="E65" s="132"/>
      <c r="F65" s="122"/>
      <c r="G65" s="96"/>
      <c r="H65" s="125"/>
      <c r="I65" s="125"/>
      <c r="J65" s="126"/>
      <c r="K65" s="125"/>
      <c r="L65" s="95"/>
      <c r="M65" s="95">
        <f>L65*1.1</f>
        <v>0</v>
      </c>
      <c r="N65" s="56"/>
      <c r="O65" s="49"/>
      <c r="P65" s="59"/>
      <c r="Q65" s="67" t="e">
        <f t="shared" ref="Q65:Q70" si="3">(M65+N65*1.1)/(I65*J65)</f>
        <v>#DIV/0!</v>
      </c>
    </row>
    <row r="66" spans="1:17" ht="18.75" customHeight="1">
      <c r="A66" s="122"/>
      <c r="B66" s="123"/>
      <c r="C66" s="122"/>
      <c r="D66" s="124"/>
      <c r="E66" s="132"/>
      <c r="F66" s="122"/>
      <c r="G66" s="96"/>
      <c r="H66" s="125"/>
      <c r="I66" s="125"/>
      <c r="J66" s="126"/>
      <c r="K66" s="125"/>
      <c r="L66" s="95"/>
      <c r="M66" s="95">
        <f>L66*1.1</f>
        <v>0</v>
      </c>
      <c r="N66" s="56"/>
      <c r="O66" s="49"/>
      <c r="P66" s="59"/>
      <c r="Q66" s="67" t="e">
        <f t="shared" si="3"/>
        <v>#DIV/0!</v>
      </c>
    </row>
    <row r="67" spans="1:17" ht="18.75" customHeight="1">
      <c r="A67" s="122"/>
      <c r="B67" s="123"/>
      <c r="C67" s="122"/>
      <c r="D67" s="124"/>
      <c r="E67" s="132"/>
      <c r="F67" s="122"/>
      <c r="G67" s="132"/>
      <c r="H67" s="125"/>
      <c r="I67" s="125"/>
      <c r="J67" s="126"/>
      <c r="K67" s="125"/>
      <c r="L67" s="95"/>
      <c r="M67" s="95">
        <f>L67*1.1</f>
        <v>0</v>
      </c>
      <c r="N67" s="56"/>
      <c r="O67" s="49"/>
      <c r="P67" s="59"/>
      <c r="Q67" s="67" t="e">
        <f t="shared" si="3"/>
        <v>#DIV/0!</v>
      </c>
    </row>
    <row r="68" spans="1:17" ht="18.75" customHeight="1">
      <c r="A68" s="122"/>
      <c r="B68" s="123"/>
      <c r="C68" s="122"/>
      <c r="D68" s="124"/>
      <c r="E68" s="96"/>
      <c r="F68" s="122"/>
      <c r="G68" s="96"/>
      <c r="H68" s="125"/>
      <c r="I68" s="125"/>
      <c r="J68" s="126"/>
      <c r="K68" s="125"/>
      <c r="L68" s="95"/>
      <c r="M68" s="95">
        <f t="shared" ref="M68:M69" si="4">L68*1.1</f>
        <v>0</v>
      </c>
      <c r="N68" s="56"/>
      <c r="O68" s="49"/>
      <c r="P68" s="59"/>
      <c r="Q68" s="67" t="e">
        <f t="shared" si="3"/>
        <v>#DIV/0!</v>
      </c>
    </row>
    <row r="69" spans="1:17" ht="18.75" customHeight="1">
      <c r="A69" s="122"/>
      <c r="B69" s="123"/>
      <c r="C69" s="122"/>
      <c r="D69" s="124"/>
      <c r="E69" s="96"/>
      <c r="F69" s="122"/>
      <c r="G69" s="96"/>
      <c r="H69" s="125"/>
      <c r="I69" s="125"/>
      <c r="J69" s="126"/>
      <c r="K69" s="125"/>
      <c r="L69" s="95"/>
      <c r="M69" s="95">
        <f t="shared" si="4"/>
        <v>0</v>
      </c>
      <c r="N69" s="56"/>
      <c r="O69" s="49"/>
      <c r="P69" s="59"/>
      <c r="Q69" s="67" t="e">
        <f t="shared" si="3"/>
        <v>#DIV/0!</v>
      </c>
    </row>
    <row r="70" spans="1:17" ht="18.75" customHeight="1">
      <c r="A70" s="11"/>
      <c r="B70" s="68"/>
      <c r="C70" s="12"/>
      <c r="D70" s="69"/>
      <c r="E70" s="12"/>
      <c r="F70" s="12"/>
      <c r="G70" s="70"/>
      <c r="H70" s="71"/>
      <c r="I70" s="71"/>
      <c r="J70" s="72"/>
      <c r="K70" s="71"/>
      <c r="L70" s="73"/>
      <c r="M70" s="73">
        <f>SUM(M65:N69)</f>
        <v>0</v>
      </c>
      <c r="N70" s="74"/>
      <c r="O70" s="11"/>
      <c r="P70" s="75"/>
      <c r="Q70" s="74" t="e">
        <f t="shared" si="3"/>
        <v>#DIV/0!</v>
      </c>
    </row>
    <row r="71" spans="1:17" ht="18.75" customHeight="1">
      <c r="A71" s="11"/>
      <c r="B71" s="68"/>
      <c r="C71" s="12"/>
      <c r="D71" s="69"/>
      <c r="E71" s="12"/>
      <c r="F71" s="12"/>
      <c r="G71" s="70"/>
      <c r="H71" s="71"/>
      <c r="I71" s="71"/>
      <c r="J71" s="72"/>
      <c r="K71" s="71"/>
      <c r="L71" s="73"/>
      <c r="M71" s="73"/>
      <c r="N71" s="74"/>
      <c r="O71" s="11"/>
      <c r="P71" s="75"/>
      <c r="Q71" s="74"/>
    </row>
    <row r="72" spans="1:17" ht="18.75" customHeight="1">
      <c r="A72" s="122" t="s">
        <v>29</v>
      </c>
      <c r="B72" s="123"/>
      <c r="C72" s="122"/>
      <c r="D72" s="124"/>
      <c r="E72" s="96"/>
      <c r="F72" s="122"/>
      <c r="G72" s="96"/>
      <c r="H72" s="125"/>
      <c r="I72" s="125"/>
      <c r="J72" s="126"/>
      <c r="K72" s="125"/>
      <c r="L72" s="95"/>
      <c r="M72" s="95">
        <f>L72*1.1</f>
        <v>0</v>
      </c>
      <c r="N72" s="56"/>
      <c r="O72" s="49"/>
      <c r="P72" s="59"/>
      <c r="Q72" s="67" t="e">
        <f t="shared" ref="Q72:Q77" si="5">(M72+N72*1.1)/(I72*J72)</f>
        <v>#DIV/0!</v>
      </c>
    </row>
    <row r="73" spans="1:17" ht="18.75" customHeight="1">
      <c r="A73" s="122"/>
      <c r="B73" s="123"/>
      <c r="C73" s="122"/>
      <c r="D73" s="124"/>
      <c r="E73" s="96"/>
      <c r="F73" s="122"/>
      <c r="G73" s="96"/>
      <c r="H73" s="125"/>
      <c r="I73" s="125"/>
      <c r="J73" s="126"/>
      <c r="K73" s="125"/>
      <c r="L73" s="95"/>
      <c r="M73" s="95">
        <f>L73*1.1</f>
        <v>0</v>
      </c>
      <c r="N73" s="56"/>
      <c r="O73" s="49"/>
      <c r="P73" s="59"/>
      <c r="Q73" s="67" t="e">
        <f t="shared" si="5"/>
        <v>#DIV/0!</v>
      </c>
    </row>
    <row r="74" spans="1:17" ht="18.75" customHeight="1">
      <c r="A74" s="122"/>
      <c r="B74" s="123"/>
      <c r="C74" s="122"/>
      <c r="D74" s="124"/>
      <c r="E74" s="96"/>
      <c r="F74" s="122"/>
      <c r="G74" s="96"/>
      <c r="H74" s="125"/>
      <c r="I74" s="125"/>
      <c r="J74" s="126"/>
      <c r="K74" s="125"/>
      <c r="L74" s="95"/>
      <c r="M74" s="95">
        <f>L74*1.1</f>
        <v>0</v>
      </c>
      <c r="N74" s="56"/>
      <c r="O74" s="49"/>
      <c r="P74" s="59"/>
      <c r="Q74" s="67" t="e">
        <f t="shared" si="5"/>
        <v>#DIV/0!</v>
      </c>
    </row>
    <row r="75" spans="1:17" ht="18.75" customHeight="1">
      <c r="A75" s="122"/>
      <c r="B75" s="123"/>
      <c r="C75" s="122"/>
      <c r="D75" s="124"/>
      <c r="E75" s="96"/>
      <c r="F75" s="122"/>
      <c r="G75" s="96"/>
      <c r="H75" s="125"/>
      <c r="I75" s="125"/>
      <c r="J75" s="126"/>
      <c r="K75" s="125"/>
      <c r="L75" s="95"/>
      <c r="M75" s="95">
        <f t="shared" ref="M75:M76" si="6">L75*1.1</f>
        <v>0</v>
      </c>
      <c r="N75" s="56"/>
      <c r="O75" s="49"/>
      <c r="P75" s="59"/>
      <c r="Q75" s="67" t="e">
        <f t="shared" si="5"/>
        <v>#DIV/0!</v>
      </c>
    </row>
    <row r="76" spans="1:17" ht="18.75" customHeight="1">
      <c r="A76" s="122"/>
      <c r="B76" s="123"/>
      <c r="C76" s="122"/>
      <c r="D76" s="124"/>
      <c r="E76" s="96"/>
      <c r="F76" s="122"/>
      <c r="G76" s="96"/>
      <c r="H76" s="125"/>
      <c r="I76" s="125"/>
      <c r="J76" s="126"/>
      <c r="K76" s="125"/>
      <c r="L76" s="95"/>
      <c r="M76" s="95">
        <f t="shared" si="6"/>
        <v>0</v>
      </c>
      <c r="N76" s="56"/>
      <c r="O76" s="49"/>
      <c r="P76" s="59"/>
      <c r="Q76" s="67" t="e">
        <f t="shared" si="5"/>
        <v>#DIV/0!</v>
      </c>
    </row>
    <row r="77" spans="1:17" ht="18.75" customHeight="1">
      <c r="A77" s="12"/>
      <c r="B77" s="68"/>
      <c r="C77" s="12"/>
      <c r="D77" s="69"/>
      <c r="E77" s="12"/>
      <c r="F77" s="12"/>
      <c r="G77" s="70"/>
      <c r="H77" s="71"/>
      <c r="I77" s="71"/>
      <c r="J77" s="72"/>
      <c r="K77" s="71"/>
      <c r="L77" s="73"/>
      <c r="M77" s="73">
        <f>SUM(M72:N76)</f>
        <v>0</v>
      </c>
      <c r="N77" s="74"/>
      <c r="O77" s="11"/>
      <c r="P77" s="75"/>
      <c r="Q77" s="74" t="e">
        <f t="shared" si="5"/>
        <v>#DIV/0!</v>
      </c>
    </row>
    <row r="78" spans="1:17" ht="18.75" customHeight="1">
      <c r="A78" s="12"/>
      <c r="B78" s="68"/>
      <c r="C78" s="12"/>
      <c r="D78" s="69"/>
      <c r="E78" s="12"/>
      <c r="F78" s="12"/>
      <c r="G78" s="70"/>
      <c r="H78" s="71"/>
      <c r="I78" s="71"/>
      <c r="J78" s="72"/>
      <c r="K78" s="71"/>
      <c r="L78" s="73"/>
      <c r="M78" s="73"/>
      <c r="N78" s="74"/>
      <c r="O78" s="11"/>
      <c r="P78" s="75"/>
      <c r="Q78" s="74"/>
    </row>
    <row r="79" spans="1:17" ht="18.75" customHeight="1">
      <c r="A79" s="148" t="s">
        <v>30</v>
      </c>
      <c r="B79" s="123"/>
      <c r="C79" s="122"/>
      <c r="D79" s="124"/>
      <c r="E79" s="132" t="s">
        <v>34</v>
      </c>
      <c r="F79" s="122"/>
      <c r="G79" s="48" t="s">
        <v>431</v>
      </c>
      <c r="H79" s="125"/>
      <c r="I79" s="125">
        <v>200</v>
      </c>
      <c r="J79" s="126">
        <v>4</v>
      </c>
      <c r="K79" s="125"/>
      <c r="L79" s="95">
        <v>160000</v>
      </c>
      <c r="M79" s="95">
        <f>L79*1.1</f>
        <v>176000</v>
      </c>
      <c r="N79" s="56"/>
      <c r="O79" s="49"/>
      <c r="P79" s="59"/>
      <c r="Q79" s="67">
        <f t="shared" ref="Q79:Q84" si="7">(M79+N79*1.1)/(I79*J79)</f>
        <v>220</v>
      </c>
    </row>
    <row r="80" spans="1:17" ht="18.75" customHeight="1">
      <c r="A80" s="122"/>
      <c r="B80" s="123"/>
      <c r="C80" s="122"/>
      <c r="D80" s="124"/>
      <c r="E80" s="132" t="s">
        <v>427</v>
      </c>
      <c r="F80" s="122"/>
      <c r="G80" s="48" t="s">
        <v>431</v>
      </c>
      <c r="H80" s="125"/>
      <c r="I80" s="125">
        <v>200</v>
      </c>
      <c r="J80" s="126">
        <v>1</v>
      </c>
      <c r="K80" s="125"/>
      <c r="L80" s="95">
        <v>40000</v>
      </c>
      <c r="M80" s="95">
        <f>L80*1.1</f>
        <v>44000</v>
      </c>
      <c r="N80" s="56"/>
      <c r="O80" s="49"/>
      <c r="P80" s="59"/>
      <c r="Q80" s="67">
        <f t="shared" si="7"/>
        <v>220</v>
      </c>
    </row>
    <row r="81" spans="1:17" ht="18.75" customHeight="1">
      <c r="A81" s="122"/>
      <c r="B81" s="123"/>
      <c r="C81" s="122"/>
      <c r="D81" s="124"/>
      <c r="E81" s="96"/>
      <c r="F81" s="122"/>
      <c r="G81" s="96"/>
      <c r="H81" s="125"/>
      <c r="I81" s="125"/>
      <c r="J81" s="126"/>
      <c r="K81" s="125"/>
      <c r="L81" s="95"/>
      <c r="M81" s="95">
        <f>L81*1.1</f>
        <v>0</v>
      </c>
      <c r="N81" s="56"/>
      <c r="O81" s="49"/>
      <c r="P81" s="59"/>
      <c r="Q81" s="67" t="e">
        <f t="shared" si="7"/>
        <v>#DIV/0!</v>
      </c>
    </row>
    <row r="82" spans="1:17" ht="18.75" customHeight="1">
      <c r="A82" s="122"/>
      <c r="B82" s="123"/>
      <c r="C82" s="122"/>
      <c r="D82" s="124"/>
      <c r="E82" s="96"/>
      <c r="F82" s="122"/>
      <c r="G82" s="96"/>
      <c r="H82" s="125"/>
      <c r="I82" s="125"/>
      <c r="J82" s="126"/>
      <c r="K82" s="125"/>
      <c r="L82" s="95"/>
      <c r="M82" s="95">
        <f t="shared" ref="M82:M83" si="8">L82*1.1</f>
        <v>0</v>
      </c>
      <c r="N82" s="56"/>
      <c r="O82" s="49"/>
      <c r="P82" s="59"/>
      <c r="Q82" s="67" t="e">
        <f t="shared" si="7"/>
        <v>#DIV/0!</v>
      </c>
    </row>
    <row r="83" spans="1:17" ht="18.75" customHeight="1">
      <c r="A83" s="122"/>
      <c r="B83" s="123"/>
      <c r="C83" s="122"/>
      <c r="D83" s="124"/>
      <c r="E83" s="96"/>
      <c r="F83" s="122"/>
      <c r="G83" s="96"/>
      <c r="H83" s="125"/>
      <c r="I83" s="125"/>
      <c r="J83" s="126"/>
      <c r="K83" s="125"/>
      <c r="L83" s="95"/>
      <c r="M83" s="95">
        <f t="shared" si="8"/>
        <v>0</v>
      </c>
      <c r="N83" s="56"/>
      <c r="O83" s="49"/>
      <c r="P83" s="59"/>
      <c r="Q83" s="67" t="e">
        <f t="shared" si="7"/>
        <v>#DIV/0!</v>
      </c>
    </row>
    <row r="84" spans="1:17" ht="18.75" customHeight="1">
      <c r="A84" s="11"/>
      <c r="B84" s="127"/>
      <c r="C84" s="11"/>
      <c r="D84" s="128"/>
      <c r="E84" s="11"/>
      <c r="F84" s="11"/>
      <c r="G84" s="70"/>
      <c r="H84" s="11"/>
      <c r="I84" s="11"/>
      <c r="J84" s="129"/>
      <c r="K84" s="11"/>
      <c r="L84" s="74"/>
      <c r="M84" s="73">
        <f>SUM(M79:N83)</f>
        <v>220000</v>
      </c>
      <c r="N84" s="74"/>
      <c r="O84" s="11"/>
      <c r="P84" s="75"/>
      <c r="Q84" s="74" t="e">
        <f t="shared" si="7"/>
        <v>#DIV/0!</v>
      </c>
    </row>
    <row r="85" spans="1:17" s="40" customFormat="1" ht="18.75" customHeight="1">
      <c r="A85"/>
      <c r="B85" s="31"/>
      <c r="C85"/>
      <c r="D85" s="25"/>
      <c r="F85"/>
      <c r="G85" s="33"/>
      <c r="H85"/>
      <c r="I85"/>
      <c r="J85" s="65"/>
      <c r="K85"/>
      <c r="O85"/>
      <c r="P85" s="58"/>
    </row>
    <row r="86" spans="1:17" ht="18.75" customHeight="1">
      <c r="A86" s="151" t="s">
        <v>31</v>
      </c>
      <c r="B86" s="123"/>
      <c r="C86" s="122"/>
      <c r="D86" s="124"/>
      <c r="E86" s="96"/>
      <c r="F86" s="122"/>
      <c r="G86" s="96"/>
      <c r="H86" s="125"/>
      <c r="I86" s="125"/>
      <c r="J86" s="126"/>
      <c r="K86" s="125"/>
      <c r="L86" s="95"/>
      <c r="M86" s="95">
        <f>L86*1.1</f>
        <v>0</v>
      </c>
      <c r="N86" s="56"/>
      <c r="O86" s="49"/>
      <c r="P86" s="59"/>
      <c r="Q86" s="67" t="e">
        <f t="shared" ref="Q86:Q91" si="9">(M86+N86*1.1)/(I86*J86)</f>
        <v>#DIV/0!</v>
      </c>
    </row>
    <row r="87" spans="1:17" ht="18.75" customHeight="1">
      <c r="A87" s="122"/>
      <c r="B87" s="123"/>
      <c r="C87" s="122"/>
      <c r="D87" s="124"/>
      <c r="E87" s="96"/>
      <c r="F87" s="122"/>
      <c r="G87" s="96"/>
      <c r="H87" s="125"/>
      <c r="I87" s="125"/>
      <c r="J87" s="126"/>
      <c r="K87" s="125"/>
      <c r="L87" s="95"/>
      <c r="M87" s="95">
        <f>L87*1.1</f>
        <v>0</v>
      </c>
      <c r="N87" s="56"/>
      <c r="O87" s="49"/>
      <c r="P87" s="59"/>
      <c r="Q87" s="67" t="e">
        <f t="shared" si="9"/>
        <v>#DIV/0!</v>
      </c>
    </row>
    <row r="88" spans="1:17" ht="18.75" customHeight="1">
      <c r="A88" s="122"/>
      <c r="B88" s="123"/>
      <c r="C88" s="122"/>
      <c r="D88" s="124"/>
      <c r="E88" s="96"/>
      <c r="F88" s="122"/>
      <c r="G88" s="96"/>
      <c r="H88" s="125"/>
      <c r="I88" s="125"/>
      <c r="J88" s="126"/>
      <c r="K88" s="125"/>
      <c r="L88" s="95"/>
      <c r="M88" s="95">
        <f>L88*1.1</f>
        <v>0</v>
      </c>
      <c r="N88" s="56"/>
      <c r="O88" s="49"/>
      <c r="P88" s="59"/>
      <c r="Q88" s="67" t="e">
        <f t="shared" si="9"/>
        <v>#DIV/0!</v>
      </c>
    </row>
    <row r="89" spans="1:17" ht="18.75" customHeight="1">
      <c r="A89" s="122"/>
      <c r="B89" s="123"/>
      <c r="C89" s="122"/>
      <c r="D89" s="124"/>
      <c r="E89" s="96"/>
      <c r="F89" s="122"/>
      <c r="G89" s="96"/>
      <c r="H89" s="125"/>
      <c r="I89" s="125"/>
      <c r="J89" s="126"/>
      <c r="K89" s="125"/>
      <c r="L89" s="95"/>
      <c r="M89" s="95">
        <f t="shared" ref="M89:M90" si="10">L89*1.1</f>
        <v>0</v>
      </c>
      <c r="N89" s="56"/>
      <c r="O89" s="49"/>
      <c r="P89" s="59"/>
      <c r="Q89" s="67" t="e">
        <f t="shared" si="9"/>
        <v>#DIV/0!</v>
      </c>
    </row>
    <row r="90" spans="1:17" ht="18.75" customHeight="1">
      <c r="A90" s="122"/>
      <c r="B90" s="123"/>
      <c r="C90" s="122"/>
      <c r="D90" s="124"/>
      <c r="E90" s="96"/>
      <c r="F90" s="122"/>
      <c r="G90" s="96"/>
      <c r="H90" s="125"/>
      <c r="I90" s="125"/>
      <c r="J90" s="126"/>
      <c r="K90" s="125"/>
      <c r="L90" s="95"/>
      <c r="M90" s="95">
        <f t="shared" si="10"/>
        <v>0</v>
      </c>
      <c r="N90" s="56"/>
      <c r="O90" s="49"/>
      <c r="P90" s="59"/>
      <c r="Q90" s="67" t="e">
        <f t="shared" si="9"/>
        <v>#DIV/0!</v>
      </c>
    </row>
    <row r="91" spans="1:17" s="40" customFormat="1" ht="18.75" customHeight="1">
      <c r="A91"/>
      <c r="B91" s="31"/>
      <c r="C91"/>
      <c r="D91" s="25"/>
      <c r="E91"/>
      <c r="F91"/>
      <c r="G91" s="33"/>
      <c r="H91"/>
      <c r="I91"/>
      <c r="J91" s="65"/>
      <c r="K91"/>
      <c r="M91" s="40">
        <f>SUM(M86:N90)</f>
        <v>0</v>
      </c>
      <c r="O91"/>
      <c r="P91" s="58"/>
      <c r="Q91" s="40" t="e">
        <f t="shared" si="9"/>
        <v>#DIV/0!</v>
      </c>
    </row>
    <row r="92" spans="1:17" s="40" customFormat="1" ht="18.75" customHeight="1">
      <c r="A92"/>
      <c r="B92" s="26"/>
      <c r="C92" s="1"/>
      <c r="D92" s="20"/>
      <c r="E92" s="1"/>
      <c r="F92" s="1"/>
      <c r="G92" s="32"/>
      <c r="H92" s="2"/>
      <c r="I92" s="2"/>
      <c r="J92" s="60"/>
      <c r="K92" s="2"/>
      <c r="L92" s="34"/>
      <c r="M92" s="34"/>
      <c r="O92"/>
      <c r="P92" s="58"/>
    </row>
    <row r="93" spans="1:17" s="40" customFormat="1" ht="18.75" customHeight="1">
      <c r="A93"/>
      <c r="B93" s="26"/>
      <c r="C93" s="1"/>
      <c r="D93" s="20"/>
      <c r="E93" s="1"/>
      <c r="F93" s="1"/>
      <c r="G93" s="32"/>
      <c r="H93" s="2"/>
      <c r="I93" s="2"/>
      <c r="J93" s="60"/>
      <c r="K93" s="2"/>
      <c r="L93" s="34"/>
      <c r="M93" s="34"/>
      <c r="O93"/>
      <c r="P93" s="58"/>
    </row>
    <row r="94" spans="1:17" s="40" customFormat="1" ht="18.75" customHeight="1">
      <c r="A94"/>
      <c r="B94" s="26"/>
      <c r="C94" s="1"/>
      <c r="D94" s="20"/>
      <c r="E94" s="1"/>
      <c r="F94" s="1"/>
      <c r="G94" s="32"/>
      <c r="H94" s="2"/>
      <c r="I94" s="2"/>
      <c r="J94" s="60"/>
      <c r="K94" s="2"/>
      <c r="L94" s="34"/>
      <c r="M94" s="34"/>
      <c r="O94"/>
      <c r="P94" s="58"/>
    </row>
    <row r="95" spans="1:17" s="40" customFormat="1" ht="18.75" customHeight="1">
      <c r="A95"/>
      <c r="B95" s="26"/>
      <c r="C95" s="1"/>
      <c r="D95" s="20"/>
      <c r="E95" s="1"/>
      <c r="F95" s="1"/>
      <c r="G95" s="32"/>
      <c r="H95" s="2"/>
      <c r="I95" s="2"/>
      <c r="J95" s="60"/>
      <c r="K95" s="2"/>
      <c r="L95" s="34"/>
      <c r="M95" s="149">
        <f>M42+M63+M70+M77+M84+M91</f>
        <v>1167738</v>
      </c>
      <c r="O95"/>
      <c r="P95" s="58"/>
    </row>
    <row r="96" spans="1:17" s="40" customFormat="1" ht="18.75" customHeight="1">
      <c r="A96"/>
      <c r="B96" s="26"/>
      <c r="C96" s="1"/>
      <c r="D96" s="20"/>
      <c r="E96" s="1"/>
      <c r="F96" s="1"/>
      <c r="G96" s="32"/>
      <c r="H96" s="2"/>
      <c r="I96" s="2"/>
      <c r="J96" s="60"/>
      <c r="K96" s="2"/>
      <c r="L96" s="34"/>
      <c r="M96" s="34"/>
      <c r="O96"/>
      <c r="P96" s="58"/>
    </row>
    <row r="97" spans="1:16" s="40" customFormat="1" ht="18.75" customHeight="1">
      <c r="A97"/>
      <c r="B97" s="26"/>
      <c r="C97" s="1"/>
      <c r="D97" s="20"/>
      <c r="E97" s="1"/>
      <c r="F97" s="1"/>
      <c r="G97" s="32"/>
      <c r="H97" s="2"/>
      <c r="I97" s="2"/>
      <c r="J97" s="60"/>
      <c r="K97" s="2"/>
      <c r="L97" s="34"/>
      <c r="M97" s="34"/>
      <c r="O97"/>
      <c r="P97" s="58"/>
    </row>
    <row r="98" spans="1:16" s="40" customFormat="1" ht="18.75" customHeight="1">
      <c r="A98"/>
      <c r="B98" s="26"/>
      <c r="C98" s="1"/>
      <c r="D98" s="20"/>
      <c r="E98" s="1"/>
      <c r="F98" s="1"/>
      <c r="G98" s="32"/>
      <c r="H98" s="2"/>
      <c r="I98" s="2"/>
      <c r="J98" s="60"/>
      <c r="K98" s="2"/>
      <c r="L98" s="34"/>
      <c r="M98" s="34"/>
      <c r="O98"/>
      <c r="P98" s="58"/>
    </row>
    <row r="99" spans="1:16" s="40" customFormat="1" ht="18.75" customHeight="1">
      <c r="A99"/>
      <c r="B99" s="26"/>
      <c r="C99" s="1"/>
      <c r="D99" s="20"/>
      <c r="E99" s="1"/>
      <c r="F99" s="1"/>
      <c r="G99" s="32"/>
      <c r="H99" s="2"/>
      <c r="I99" s="2"/>
      <c r="J99" s="60"/>
      <c r="K99" s="2"/>
      <c r="L99" s="34"/>
      <c r="M99" s="34"/>
      <c r="O99"/>
      <c r="P99" s="58"/>
    </row>
    <row r="100" spans="1:16" s="40" customFormat="1" ht="18.75" customHeight="1">
      <c r="A100"/>
      <c r="B100" s="26"/>
      <c r="C100" s="1"/>
      <c r="D100" s="20"/>
      <c r="E100" s="1"/>
      <c r="F100" s="1"/>
      <c r="G100" s="32"/>
      <c r="H100" s="2"/>
      <c r="I100" s="2"/>
      <c r="J100" s="60"/>
      <c r="K100" s="2"/>
      <c r="L100" s="34"/>
      <c r="M100" s="34"/>
      <c r="O100"/>
      <c r="P100" s="58"/>
    </row>
    <row r="101" spans="1:16" s="40" customFormat="1" ht="18.75" customHeight="1">
      <c r="A101"/>
      <c r="B101" s="26"/>
      <c r="C101" s="1"/>
      <c r="D101" s="20"/>
      <c r="E101" s="1"/>
      <c r="F101" s="1"/>
      <c r="G101" s="32"/>
      <c r="H101" s="2"/>
      <c r="I101" s="2"/>
      <c r="J101" s="60"/>
      <c r="K101" s="2"/>
      <c r="L101" s="34"/>
      <c r="M101" s="34"/>
      <c r="O101"/>
      <c r="P101" s="58"/>
    </row>
    <row r="102" spans="1:16" s="40" customFormat="1" ht="18.75" customHeight="1">
      <c r="A102"/>
      <c r="B102" s="26"/>
      <c r="C102" s="1"/>
      <c r="D102" s="20"/>
      <c r="E102" s="1"/>
      <c r="F102" s="1"/>
      <c r="G102" s="32"/>
      <c r="H102" s="2"/>
      <c r="I102" s="2"/>
      <c r="J102" s="60"/>
      <c r="K102" s="2"/>
      <c r="L102" s="34"/>
      <c r="M102" s="34"/>
      <c r="O102"/>
      <c r="P102" s="58"/>
    </row>
    <row r="103" spans="1:16" s="40" customFormat="1" ht="18.75" customHeight="1">
      <c r="A103"/>
      <c r="B103" s="26"/>
      <c r="C103" s="1"/>
      <c r="D103" s="20"/>
      <c r="E103" s="1"/>
      <c r="F103" s="1"/>
      <c r="G103" s="32"/>
      <c r="H103" s="2"/>
      <c r="I103" s="2"/>
      <c r="J103" s="60"/>
      <c r="K103" s="2"/>
      <c r="L103" s="34"/>
      <c r="M103" s="34"/>
      <c r="O103"/>
      <c r="P103" s="58"/>
    </row>
    <row r="104" spans="1:16" s="40" customFormat="1" ht="18.75" customHeight="1">
      <c r="A104"/>
      <c r="B104" s="26"/>
      <c r="C104" s="1"/>
      <c r="D104" s="20"/>
      <c r="E104" s="1"/>
      <c r="F104" s="1"/>
      <c r="G104" s="32"/>
      <c r="H104" s="2"/>
      <c r="I104" s="2"/>
      <c r="J104" s="60"/>
      <c r="K104" s="2"/>
      <c r="L104" s="34"/>
      <c r="M104" s="34"/>
      <c r="O104"/>
      <c r="P104" s="58"/>
    </row>
    <row r="105" spans="1:16" s="40" customFormat="1" ht="18.75" customHeight="1">
      <c r="A105"/>
      <c r="B105" s="26"/>
      <c r="C105" s="1"/>
      <c r="D105" s="20"/>
      <c r="E105" s="1"/>
      <c r="F105" s="1"/>
      <c r="G105" s="32"/>
      <c r="H105" s="2"/>
      <c r="I105" s="2"/>
      <c r="J105" s="60"/>
      <c r="K105" s="2"/>
      <c r="L105" s="34"/>
      <c r="M105" s="34"/>
      <c r="O105"/>
      <c r="P105" s="58"/>
    </row>
    <row r="106" spans="1:16" s="40" customFormat="1" ht="18.75" customHeight="1">
      <c r="A106"/>
      <c r="B106" s="26"/>
      <c r="C106" s="1"/>
      <c r="D106" s="20"/>
      <c r="E106" s="1"/>
      <c r="F106" s="1"/>
      <c r="G106" s="32"/>
      <c r="H106" s="2"/>
      <c r="I106" s="2"/>
      <c r="J106" s="60"/>
      <c r="K106" s="2"/>
      <c r="L106" s="34"/>
      <c r="M106" s="34"/>
      <c r="O106"/>
      <c r="P106" s="58"/>
    </row>
    <row r="107" spans="1:16" s="40" customFormat="1" ht="18.75" customHeight="1">
      <c r="A107"/>
      <c r="B107" s="26"/>
      <c r="C107" s="1"/>
      <c r="D107" s="20"/>
      <c r="E107" s="1"/>
      <c r="F107" s="1"/>
      <c r="G107" s="32"/>
      <c r="H107" s="2"/>
      <c r="I107" s="2"/>
      <c r="J107" s="60"/>
      <c r="K107" s="2"/>
      <c r="L107" s="34"/>
      <c r="M107" s="34"/>
      <c r="O107"/>
      <c r="P107" s="58"/>
    </row>
    <row r="108" spans="1:16" s="40" customFormat="1" ht="18.75" customHeight="1">
      <c r="A108"/>
      <c r="B108" s="26"/>
      <c r="C108" s="1"/>
      <c r="D108" s="20"/>
      <c r="E108" s="1"/>
      <c r="F108" s="1"/>
      <c r="G108" s="32"/>
      <c r="H108" s="2"/>
      <c r="I108" s="2"/>
      <c r="J108" s="60"/>
      <c r="K108" s="2"/>
      <c r="L108" s="34"/>
      <c r="M108" s="34"/>
      <c r="O108"/>
      <c r="P108" s="58"/>
    </row>
    <row r="109" spans="1:16" s="40" customFormat="1" ht="18.75" customHeight="1">
      <c r="A109"/>
      <c r="B109" s="26"/>
      <c r="C109" s="1"/>
      <c r="D109" s="20"/>
      <c r="E109" s="1"/>
      <c r="F109" s="1"/>
      <c r="G109" s="32"/>
      <c r="H109" s="2"/>
      <c r="I109" s="2"/>
      <c r="J109" s="60"/>
      <c r="K109" s="2"/>
      <c r="L109" s="34"/>
      <c r="M109" s="34"/>
      <c r="O109"/>
      <c r="P109" s="58"/>
    </row>
    <row r="110" spans="1:16" s="40" customFormat="1" ht="18.75" customHeight="1">
      <c r="A110"/>
      <c r="B110" s="26"/>
      <c r="C110" s="1"/>
      <c r="D110" s="20"/>
      <c r="E110" s="1"/>
      <c r="F110" s="1"/>
      <c r="G110" s="32"/>
      <c r="H110" s="2"/>
      <c r="I110" s="2"/>
      <c r="J110" s="60"/>
      <c r="K110" s="2"/>
      <c r="L110" s="34"/>
      <c r="M110" s="34"/>
      <c r="O110"/>
      <c r="P110" s="58"/>
    </row>
    <row r="111" spans="1:16" s="40" customFormat="1" ht="18.75" customHeight="1">
      <c r="A111"/>
      <c r="B111" s="26"/>
      <c r="C111" s="1"/>
      <c r="D111" s="20"/>
      <c r="E111" s="1"/>
      <c r="F111" s="1"/>
      <c r="G111" s="32"/>
      <c r="H111" s="2"/>
      <c r="I111" s="2"/>
      <c r="J111" s="60"/>
      <c r="K111" s="2"/>
      <c r="L111" s="34"/>
      <c r="M111" s="34"/>
      <c r="O111"/>
      <c r="P111" s="58"/>
    </row>
    <row r="112" spans="1:16" s="40" customFormat="1" ht="18.75" customHeight="1">
      <c r="A112"/>
      <c r="B112" s="26"/>
      <c r="C112" s="1"/>
      <c r="D112" s="20"/>
      <c r="E112" s="1"/>
      <c r="F112" s="1"/>
      <c r="G112" s="32"/>
      <c r="H112" s="2"/>
      <c r="I112" s="2"/>
      <c r="J112" s="60"/>
      <c r="K112" s="2"/>
      <c r="L112" s="34"/>
      <c r="M112" s="34"/>
      <c r="O112"/>
      <c r="P112" s="58"/>
    </row>
    <row r="113" spans="1:16" s="40" customFormat="1" ht="18.75" customHeight="1">
      <c r="A113"/>
      <c r="B113" s="26"/>
      <c r="C113" s="1"/>
      <c r="D113" s="20"/>
      <c r="E113" s="1"/>
      <c r="F113" s="1"/>
      <c r="G113" s="32"/>
      <c r="H113" s="2"/>
      <c r="I113" s="2"/>
      <c r="J113" s="60"/>
      <c r="K113" s="2"/>
      <c r="L113" s="34"/>
      <c r="M113" s="34"/>
      <c r="O113"/>
      <c r="P113" s="58"/>
    </row>
    <row r="114" spans="1:16" s="40" customFormat="1" ht="18.75" customHeight="1">
      <c r="A114"/>
      <c r="B114" s="26"/>
      <c r="C114" s="1"/>
      <c r="D114" s="20"/>
      <c r="E114" s="1"/>
      <c r="F114" s="1"/>
      <c r="G114" s="32"/>
      <c r="H114" s="2"/>
      <c r="I114" s="2"/>
      <c r="J114" s="60"/>
      <c r="K114" s="2"/>
      <c r="L114" s="34"/>
      <c r="M114" s="34"/>
      <c r="O114"/>
      <c r="P114" s="58"/>
    </row>
    <row r="115" spans="1:16" s="40" customFormat="1" ht="18.75" customHeight="1">
      <c r="A115"/>
      <c r="B115" s="26"/>
      <c r="C115" s="1"/>
      <c r="D115" s="20"/>
      <c r="E115" s="1"/>
      <c r="F115" s="1"/>
      <c r="G115" s="32"/>
      <c r="H115" s="2"/>
      <c r="I115" s="2"/>
      <c r="J115" s="60"/>
      <c r="K115" s="2"/>
      <c r="L115" s="34"/>
      <c r="M115" s="34"/>
      <c r="O115"/>
      <c r="P115" s="58"/>
    </row>
    <row r="116" spans="1:16" s="40" customFormat="1" ht="18.75" customHeight="1">
      <c r="A116"/>
      <c r="B116" s="26"/>
      <c r="C116" s="1"/>
      <c r="D116" s="20"/>
      <c r="E116" s="1"/>
      <c r="F116" s="1"/>
      <c r="G116" s="32"/>
      <c r="H116" s="2"/>
      <c r="I116" s="2"/>
      <c r="J116" s="60"/>
      <c r="K116" s="2"/>
      <c r="L116" s="34"/>
      <c r="M116" s="34"/>
      <c r="O116"/>
      <c r="P116" s="58"/>
    </row>
    <row r="117" spans="1:16" s="40" customFormat="1" ht="18.75" customHeight="1">
      <c r="A117"/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  <c r="O117"/>
      <c r="P117" s="58"/>
    </row>
    <row r="118" spans="1:16" s="40" customFormat="1" ht="18.75" customHeight="1">
      <c r="A118"/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M118" s="34"/>
      <c r="O118"/>
      <c r="P118" s="58"/>
    </row>
    <row r="119" spans="1:16" s="40" customFormat="1" ht="18.75" customHeight="1">
      <c r="A119"/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  <c r="O119"/>
      <c r="P119" s="58"/>
    </row>
    <row r="120" spans="1:16" s="40" customFormat="1" ht="18.75" customHeight="1">
      <c r="A120"/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34"/>
      <c r="O120"/>
      <c r="P120" s="58"/>
    </row>
    <row r="121" spans="1:16" s="40" customFormat="1" ht="18.75" customHeight="1">
      <c r="A121"/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  <c r="O121"/>
      <c r="P121" s="58"/>
    </row>
    <row r="122" spans="1:16" s="40" customFormat="1" ht="18.75" customHeight="1">
      <c r="A122"/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  <c r="O122"/>
      <c r="P122" s="58"/>
    </row>
    <row r="123" spans="1:16" s="40" customFormat="1" ht="18.75" customHeight="1">
      <c r="A123"/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  <c r="O123"/>
      <c r="P123" s="58"/>
    </row>
    <row r="124" spans="1:16" s="40" customFormat="1" ht="18.75" customHeight="1">
      <c r="A124"/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  <c r="O124"/>
      <c r="P124" s="58"/>
    </row>
    <row r="125" spans="1:16" s="40" customFormat="1" ht="18.75" customHeight="1">
      <c r="A125"/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  <c r="O125"/>
      <c r="P125" s="58"/>
    </row>
    <row r="126" spans="1:16" s="40" customFormat="1" ht="18.75" customHeight="1">
      <c r="A126"/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  <c r="O126"/>
      <c r="P126" s="58"/>
    </row>
    <row r="127" spans="1:16" s="40" customFormat="1" ht="18.75" customHeight="1">
      <c r="A127"/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  <c r="O127"/>
      <c r="P127" s="58"/>
    </row>
    <row r="128" spans="1:16" s="40" customFormat="1" ht="18.75" customHeight="1">
      <c r="A128"/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  <c r="O128"/>
      <c r="P128" s="58"/>
    </row>
    <row r="129" spans="1:16" s="40" customFormat="1" ht="18.75" customHeight="1">
      <c r="A129"/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  <c r="O129"/>
      <c r="P129" s="58"/>
    </row>
    <row r="130" spans="1:16" s="40" customFormat="1" ht="18.75" customHeight="1">
      <c r="A130"/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  <c r="O130"/>
      <c r="P130" s="58"/>
    </row>
    <row r="131" spans="1:16" s="40" customFormat="1" ht="18.75" customHeight="1">
      <c r="A131"/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  <c r="O131"/>
      <c r="P131" s="58"/>
    </row>
    <row r="132" spans="1:16" s="40" customFormat="1" ht="18.75" customHeight="1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6" s="40" customFormat="1" ht="18.75" customHeight="1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6" s="40" customFormat="1" ht="18.75" customHeight="1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6" s="40" customFormat="1" ht="18.75" customHeight="1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  <c r="O135"/>
      <c r="P135" s="58"/>
    </row>
    <row r="136" spans="1:16" s="40" customFormat="1" ht="18.75" customHeight="1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6" s="40" customFormat="1" ht="18.75" customHeight="1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6" s="40" customFormat="1" ht="18.75" customHeight="1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6" s="40" customFormat="1" ht="18.75" customHeight="1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6" s="40" customFormat="1" ht="18.75" customHeight="1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6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6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6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6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5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5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5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5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5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5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5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5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5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5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5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5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5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5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5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5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5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5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5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5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5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5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5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5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5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5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5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5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5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5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5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5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5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5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5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5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5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5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5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5.75" customHeight="1">
      <c r="A282"/>
      <c r="B282" s="31"/>
      <c r="C282"/>
      <c r="D282" s="25"/>
      <c r="E282"/>
      <c r="F282"/>
      <c r="G282" s="33"/>
      <c r="H282"/>
      <c r="I282"/>
      <c r="J282" s="65"/>
      <c r="K282"/>
      <c r="O282"/>
      <c r="P282" s="58"/>
    </row>
    <row r="283" spans="1:16" s="40" customFormat="1" ht="15.75" customHeight="1">
      <c r="A283"/>
      <c r="B283" s="31"/>
      <c r="C283"/>
      <c r="D283" s="25"/>
      <c r="E283"/>
      <c r="F283"/>
      <c r="G283" s="33"/>
      <c r="H283"/>
      <c r="I283"/>
      <c r="J283" s="65"/>
      <c r="K283"/>
      <c r="O283"/>
      <c r="P283" s="58"/>
    </row>
    <row r="284" spans="1:16" s="40" customFormat="1" ht="15.75" customHeight="1">
      <c r="A284"/>
      <c r="B284" s="31"/>
      <c r="C284"/>
      <c r="D284" s="25"/>
      <c r="E284"/>
      <c r="F284"/>
      <c r="G284" s="33"/>
      <c r="H284"/>
      <c r="I284"/>
      <c r="J284" s="65"/>
      <c r="K284"/>
      <c r="O284"/>
      <c r="P284" s="58"/>
    </row>
    <row r="285" spans="1:16" s="40" customFormat="1" ht="15.75" customHeight="1">
      <c r="A285"/>
      <c r="B285" s="31"/>
      <c r="C285"/>
      <c r="D285" s="25"/>
      <c r="E285"/>
      <c r="F285"/>
      <c r="G285" s="33"/>
      <c r="H285"/>
      <c r="I285"/>
      <c r="J285" s="65"/>
      <c r="K285"/>
      <c r="O285"/>
      <c r="P285" s="58"/>
    </row>
    <row r="286" spans="1:16" s="40" customFormat="1" ht="15.75" customHeight="1">
      <c r="A286"/>
      <c r="B286" s="31"/>
      <c r="C286"/>
      <c r="D286" s="25"/>
      <c r="E286"/>
      <c r="F286"/>
      <c r="G286" s="33"/>
      <c r="H286"/>
      <c r="I286"/>
      <c r="J286" s="65"/>
      <c r="K286"/>
      <c r="O286"/>
      <c r="P286" s="58"/>
    </row>
    <row r="287" spans="1:16" s="40" customFormat="1" ht="15.75" customHeight="1">
      <c r="A287"/>
      <c r="B287" s="31"/>
      <c r="C287"/>
      <c r="D287" s="25"/>
      <c r="E287"/>
      <c r="F287"/>
      <c r="G287" s="33"/>
      <c r="H287"/>
      <c r="I287"/>
      <c r="J287" s="65"/>
      <c r="K287"/>
      <c r="O287"/>
      <c r="P287" s="58"/>
    </row>
    <row r="288" spans="1:16" s="40" customFormat="1" ht="15.75" customHeight="1">
      <c r="A288"/>
      <c r="B288" s="31"/>
      <c r="C288"/>
      <c r="D288" s="25"/>
      <c r="E288"/>
      <c r="F288"/>
      <c r="G288" s="33"/>
      <c r="H288"/>
      <c r="I288"/>
      <c r="J288" s="65"/>
      <c r="K288"/>
      <c r="O288"/>
      <c r="P288" s="58"/>
    </row>
    <row r="289" spans="1:16" s="40" customFormat="1" ht="15.75" customHeight="1">
      <c r="A289"/>
      <c r="B289" s="31"/>
      <c r="C289"/>
      <c r="D289" s="25"/>
      <c r="E289"/>
      <c r="F289"/>
      <c r="G289" s="33"/>
      <c r="H289"/>
      <c r="I289"/>
      <c r="J289" s="65"/>
      <c r="K289"/>
      <c r="O289"/>
      <c r="P289" s="58"/>
    </row>
    <row r="290" spans="1:16" s="40" customFormat="1" ht="15.75" customHeight="1">
      <c r="A290"/>
      <c r="B290" s="31"/>
      <c r="C290"/>
      <c r="D290" s="25"/>
      <c r="E290"/>
      <c r="F290"/>
      <c r="G290" s="33"/>
      <c r="H290"/>
      <c r="I290"/>
      <c r="J290" s="65"/>
      <c r="K290"/>
      <c r="O290"/>
      <c r="P290" s="58"/>
    </row>
    <row r="291" spans="1:16" s="40" customFormat="1" ht="15.75" customHeight="1">
      <c r="A291"/>
      <c r="B291" s="31"/>
      <c r="C291"/>
      <c r="D291" s="25"/>
      <c r="E291"/>
      <c r="F291"/>
      <c r="G291" s="33"/>
      <c r="H291"/>
      <c r="I291"/>
      <c r="J291" s="65"/>
      <c r="K291"/>
      <c r="O291"/>
      <c r="P291" s="58"/>
    </row>
    <row r="292" spans="1:16" s="40" customFormat="1" ht="15.75" customHeight="1">
      <c r="A292"/>
      <c r="B292" s="31"/>
      <c r="C292"/>
      <c r="D292" s="25"/>
      <c r="E292"/>
      <c r="F292"/>
      <c r="G292" s="33"/>
      <c r="H292"/>
      <c r="I292"/>
      <c r="J292" s="65"/>
      <c r="K292"/>
      <c r="O292"/>
      <c r="P292" s="58"/>
    </row>
    <row r="293" spans="1:16" ht="15.75" customHeight="1"/>
    <row r="294" spans="1:16" ht="15.75" customHeight="1"/>
    <row r="295" spans="1:16" ht="15.75" customHeight="1"/>
    <row r="296" spans="1:16" ht="15.75" customHeight="1"/>
    <row r="297" spans="1:16" ht="15.75" customHeight="1"/>
    <row r="298" spans="1:16" ht="15.75" customHeight="1"/>
    <row r="299" spans="1:16" ht="15.75" customHeight="1"/>
    <row r="300" spans="1:16" ht="15.75" customHeight="1"/>
    <row r="301" spans="1:16" ht="15.75" customHeight="1"/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phoneticPr fontId="5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C6A6-3CEC-4F69-8189-EF7D34CAF54A}">
  <dimension ref="A1:Q332"/>
  <sheetViews>
    <sheetView tabSelected="1" zoomScale="90" zoomScaleNormal="90" workbookViewId="0">
      <pane xSplit="1" ySplit="2" topLeftCell="G77" activePane="bottomRight" state="frozen"/>
      <selection pane="bottomRight" activeCell="G77" sqref="G77:I77"/>
      <selection pane="bottomLeft" activeCell="A3" sqref="A3"/>
      <selection pane="topRight" activeCell="B1" sqref="B1"/>
    </sheetView>
  </sheetViews>
  <sheetFormatPr defaultColWidth="14.42578125" defaultRowHeight="15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33.140625" customWidth="1"/>
    <col min="6" max="6" width="13.42578125" bestFit="1" customWidth="1"/>
    <col min="7" max="7" width="54.855468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29.28515625" bestFit="1" customWidth="1"/>
    <col min="16" max="16" width="20.42578125" style="58" bestFit="1" customWidth="1"/>
    <col min="17" max="17" width="14.85546875" style="40" bestFit="1" customWidth="1"/>
  </cols>
  <sheetData>
    <row r="1" spans="1:17" ht="18.75">
      <c r="A1" s="13" t="s">
        <v>432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>
      <c r="A2" s="177" t="s">
        <v>1</v>
      </c>
      <c r="B2" s="178" t="s">
        <v>2</v>
      </c>
      <c r="C2" s="177" t="s">
        <v>3</v>
      </c>
      <c r="D2" s="179" t="s">
        <v>4</v>
      </c>
      <c r="E2" s="177" t="s">
        <v>5</v>
      </c>
      <c r="F2" s="177" t="s">
        <v>6</v>
      </c>
      <c r="G2" s="177" t="s">
        <v>7</v>
      </c>
      <c r="H2" s="180" t="s">
        <v>8</v>
      </c>
      <c r="I2" s="180" t="s">
        <v>9</v>
      </c>
      <c r="J2" s="181" t="s">
        <v>10</v>
      </c>
      <c r="K2" s="180" t="s">
        <v>11</v>
      </c>
      <c r="L2" s="182" t="s">
        <v>12</v>
      </c>
      <c r="M2" s="184" t="s">
        <v>13</v>
      </c>
      <c r="N2" s="185" t="s">
        <v>14</v>
      </c>
      <c r="O2" s="186" t="s">
        <v>15</v>
      </c>
      <c r="P2" s="187" t="s">
        <v>16</v>
      </c>
      <c r="Q2" s="188" t="s">
        <v>17</v>
      </c>
    </row>
    <row r="3" spans="1:17" ht="18">
      <c r="A3" s="48">
        <v>1066591</v>
      </c>
      <c r="B3" s="48">
        <v>126852</v>
      </c>
      <c r="C3" s="48" t="s">
        <v>59</v>
      </c>
      <c r="D3" s="183">
        <v>45810.648611111108</v>
      </c>
      <c r="E3" s="48" t="s">
        <v>23</v>
      </c>
      <c r="F3" s="48" t="s">
        <v>433</v>
      </c>
      <c r="G3" s="48" t="s">
        <v>434</v>
      </c>
      <c r="H3" s="48">
        <v>44</v>
      </c>
      <c r="I3" s="48">
        <v>604</v>
      </c>
      <c r="J3" s="48">
        <v>1</v>
      </c>
      <c r="K3" s="48" t="s">
        <v>435</v>
      </c>
      <c r="L3" s="48">
        <v>26576</v>
      </c>
      <c r="M3" s="48">
        <v>29234</v>
      </c>
      <c r="N3" s="48">
        <v>0</v>
      </c>
      <c r="O3" s="48" t="s">
        <v>436</v>
      </c>
      <c r="P3" s="48" t="s">
        <v>437</v>
      </c>
      <c r="Q3" s="67">
        <f>(M3+N3*1.1)/(I3*J3)</f>
        <v>48.400662251655632</v>
      </c>
    </row>
    <row r="4" spans="1:17" ht="18">
      <c r="A4" s="48">
        <v>1066598</v>
      </c>
      <c r="B4" s="48">
        <v>126852</v>
      </c>
      <c r="C4" s="48" t="s">
        <v>59</v>
      </c>
      <c r="D4" s="183">
        <v>45810.648611111108</v>
      </c>
      <c r="E4" s="48" t="s">
        <v>23</v>
      </c>
      <c r="F4" s="48" t="s">
        <v>438</v>
      </c>
      <c r="G4" s="48" t="s">
        <v>439</v>
      </c>
      <c r="H4" s="48">
        <v>52</v>
      </c>
      <c r="I4" s="48">
        <v>960</v>
      </c>
      <c r="J4" s="48">
        <v>0.5</v>
      </c>
      <c r="K4" s="48" t="s">
        <v>56</v>
      </c>
      <c r="L4" s="48">
        <v>24960</v>
      </c>
      <c r="M4" s="48">
        <v>27456</v>
      </c>
      <c r="N4" s="48">
        <v>800</v>
      </c>
      <c r="O4" s="48" t="s">
        <v>71</v>
      </c>
      <c r="P4" s="48" t="s">
        <v>440</v>
      </c>
      <c r="Q4" s="67">
        <f t="shared" ref="Q4:Q67" si="0">(M4+N4*1.1)/(I4*J4)</f>
        <v>59.033333333333331</v>
      </c>
    </row>
    <row r="5" spans="1:17" ht="18">
      <c r="A5" s="48">
        <v>1066034</v>
      </c>
      <c r="B5" s="48">
        <v>126772</v>
      </c>
      <c r="C5" s="48" t="s">
        <v>53</v>
      </c>
      <c r="D5" s="183">
        <v>45808.35833333333</v>
      </c>
      <c r="E5" s="48" t="s">
        <v>22</v>
      </c>
      <c r="F5" s="48" t="s">
        <v>227</v>
      </c>
      <c r="G5" s="48" t="s">
        <v>228</v>
      </c>
      <c r="H5" s="48">
        <v>180</v>
      </c>
      <c r="I5" s="48">
        <v>270</v>
      </c>
      <c r="J5" s="48">
        <v>1</v>
      </c>
      <c r="K5" s="48" t="s">
        <v>56</v>
      </c>
      <c r="L5" s="48">
        <v>48600</v>
      </c>
      <c r="M5" s="48">
        <v>53460</v>
      </c>
      <c r="N5" s="48">
        <v>0</v>
      </c>
      <c r="O5" s="48" t="s">
        <v>71</v>
      </c>
      <c r="P5" s="48" t="s">
        <v>230</v>
      </c>
      <c r="Q5" s="67">
        <f t="shared" si="0"/>
        <v>198</v>
      </c>
    </row>
    <row r="6" spans="1:17" ht="18">
      <c r="A6" s="48">
        <v>1066032</v>
      </c>
      <c r="B6" s="48">
        <v>126770</v>
      </c>
      <c r="C6" s="48" t="s">
        <v>53</v>
      </c>
      <c r="D6" s="183">
        <v>45808.35833333333</v>
      </c>
      <c r="E6" s="48" t="s">
        <v>19</v>
      </c>
      <c r="F6" s="48" t="s">
        <v>316</v>
      </c>
      <c r="G6" s="48" t="s">
        <v>317</v>
      </c>
      <c r="H6" s="48">
        <v>450</v>
      </c>
      <c r="I6" s="48">
        <v>160</v>
      </c>
      <c r="J6" s="48">
        <v>0.5</v>
      </c>
      <c r="K6" s="48" t="s">
        <v>56</v>
      </c>
      <c r="L6" s="48">
        <v>36000</v>
      </c>
      <c r="M6" s="48">
        <v>39600</v>
      </c>
      <c r="N6" s="48">
        <v>0</v>
      </c>
      <c r="O6" s="48" t="s">
        <v>71</v>
      </c>
      <c r="P6" s="48" t="s">
        <v>230</v>
      </c>
      <c r="Q6" s="67">
        <f t="shared" si="0"/>
        <v>495</v>
      </c>
    </row>
    <row r="7" spans="1:17" ht="18">
      <c r="A7" s="48">
        <v>1066033</v>
      </c>
      <c r="B7" s="48">
        <v>126770</v>
      </c>
      <c r="C7" s="48" t="s">
        <v>53</v>
      </c>
      <c r="D7" s="183">
        <v>45808.35833333333</v>
      </c>
      <c r="E7" s="48" t="s">
        <v>19</v>
      </c>
      <c r="F7" s="48" t="s">
        <v>227</v>
      </c>
      <c r="G7" s="48" t="s">
        <v>228</v>
      </c>
      <c r="H7" s="48">
        <v>180</v>
      </c>
      <c r="I7" s="48">
        <v>270</v>
      </c>
      <c r="J7" s="48">
        <v>1</v>
      </c>
      <c r="K7" s="48" t="s">
        <v>56</v>
      </c>
      <c r="L7" s="48">
        <v>48600</v>
      </c>
      <c r="M7" s="48">
        <v>53460</v>
      </c>
      <c r="N7" s="48">
        <v>0</v>
      </c>
      <c r="O7" s="48" t="s">
        <v>71</v>
      </c>
      <c r="P7" s="48" t="s">
        <v>230</v>
      </c>
      <c r="Q7" s="67">
        <f t="shared" si="0"/>
        <v>198</v>
      </c>
    </row>
    <row r="8" spans="1:17" ht="30">
      <c r="A8" s="48">
        <v>1063737</v>
      </c>
      <c r="B8" s="48">
        <v>126586</v>
      </c>
      <c r="C8" s="48" t="s">
        <v>59</v>
      </c>
      <c r="D8" s="183">
        <v>45806.554861111108</v>
      </c>
      <c r="E8" s="48" t="s">
        <v>19</v>
      </c>
      <c r="F8" s="48" t="s">
        <v>441</v>
      </c>
      <c r="G8" s="48" t="s">
        <v>442</v>
      </c>
      <c r="H8" s="48">
        <v>65</v>
      </c>
      <c r="I8" s="48">
        <v>480</v>
      </c>
      <c r="J8" s="48">
        <v>1</v>
      </c>
      <c r="K8" s="48" t="s">
        <v>56</v>
      </c>
      <c r="L8" s="48">
        <v>31200</v>
      </c>
      <c r="M8" s="48">
        <v>34320</v>
      </c>
      <c r="N8" s="48">
        <v>0</v>
      </c>
      <c r="O8" s="192" t="s">
        <v>443</v>
      </c>
      <c r="P8" s="48" t="s">
        <v>444</v>
      </c>
      <c r="Q8" s="67">
        <f t="shared" si="0"/>
        <v>71.5</v>
      </c>
    </row>
    <row r="9" spans="1:17" ht="30">
      <c r="A9" s="48">
        <v>1063093</v>
      </c>
      <c r="B9" s="48">
        <v>126506</v>
      </c>
      <c r="C9" s="48" t="s">
        <v>59</v>
      </c>
      <c r="D9" s="183">
        <v>45805.938194444447</v>
      </c>
      <c r="E9" s="48" t="s">
        <v>23</v>
      </c>
      <c r="F9" s="48" t="s">
        <v>445</v>
      </c>
      <c r="G9" s="48" t="s">
        <v>446</v>
      </c>
      <c r="H9" s="48">
        <v>750</v>
      </c>
      <c r="I9" s="48">
        <v>48</v>
      </c>
      <c r="J9" s="48">
        <v>0.5</v>
      </c>
      <c r="K9" s="48" t="s">
        <v>56</v>
      </c>
      <c r="L9" s="48">
        <v>18000</v>
      </c>
      <c r="M9" s="48">
        <v>19440</v>
      </c>
      <c r="N9" s="48">
        <v>0</v>
      </c>
      <c r="O9" s="192" t="s">
        <v>447</v>
      </c>
      <c r="P9" s="48" t="s">
        <v>440</v>
      </c>
      <c r="Q9" s="67">
        <f t="shared" si="0"/>
        <v>810</v>
      </c>
    </row>
    <row r="10" spans="1:17" ht="30">
      <c r="A10" s="48">
        <v>1062748</v>
      </c>
      <c r="B10" s="48">
        <v>126457</v>
      </c>
      <c r="C10" s="48" t="s">
        <v>59</v>
      </c>
      <c r="D10" s="183">
        <v>45805.612500000003</v>
      </c>
      <c r="E10" s="48" t="s">
        <v>23</v>
      </c>
      <c r="F10" s="48" t="s">
        <v>448</v>
      </c>
      <c r="G10" s="48" t="s">
        <v>449</v>
      </c>
      <c r="H10" s="48">
        <v>180</v>
      </c>
      <c r="I10" s="48">
        <v>240</v>
      </c>
      <c r="J10" s="48">
        <v>0.5</v>
      </c>
      <c r="K10" s="48" t="s">
        <v>56</v>
      </c>
      <c r="L10" s="48">
        <v>21600</v>
      </c>
      <c r="M10" s="48">
        <v>23760</v>
      </c>
      <c r="N10" s="48">
        <v>800</v>
      </c>
      <c r="O10" s="192" t="s">
        <v>450</v>
      </c>
      <c r="P10" s="48" t="s">
        <v>326</v>
      </c>
      <c r="Q10" s="67">
        <f t="shared" si="0"/>
        <v>205.33333333333334</v>
      </c>
    </row>
    <row r="11" spans="1:17" ht="18">
      <c r="A11" s="48">
        <v>1062716</v>
      </c>
      <c r="B11" s="48">
        <v>126448</v>
      </c>
      <c r="C11" s="48" t="s">
        <v>59</v>
      </c>
      <c r="D11" s="183">
        <v>45805.582638888889</v>
      </c>
      <c r="E11" s="48" t="s">
        <v>22</v>
      </c>
      <c r="F11" s="48" t="s">
        <v>451</v>
      </c>
      <c r="G11" s="48" t="s">
        <v>452</v>
      </c>
      <c r="H11" s="48">
        <v>145</v>
      </c>
      <c r="I11" s="48">
        <v>320</v>
      </c>
      <c r="J11" s="48">
        <v>1</v>
      </c>
      <c r="K11" s="48" t="s">
        <v>56</v>
      </c>
      <c r="L11" s="48">
        <v>46400</v>
      </c>
      <c r="M11" s="48">
        <v>51040</v>
      </c>
      <c r="N11" s="48">
        <v>0</v>
      </c>
      <c r="O11" s="48" t="s">
        <v>453</v>
      </c>
      <c r="P11" s="48" t="s">
        <v>454</v>
      </c>
      <c r="Q11" s="67">
        <f t="shared" si="0"/>
        <v>159.5</v>
      </c>
    </row>
    <row r="12" spans="1:17" ht="18">
      <c r="A12" s="48">
        <v>1062700</v>
      </c>
      <c r="B12" s="48">
        <v>126442</v>
      </c>
      <c r="C12" s="48" t="s">
        <v>59</v>
      </c>
      <c r="D12" s="183">
        <v>45805.570138888892</v>
      </c>
      <c r="E12" s="48" t="s">
        <v>23</v>
      </c>
      <c r="F12" s="48" t="s">
        <v>287</v>
      </c>
      <c r="G12" s="48" t="s">
        <v>288</v>
      </c>
      <c r="H12" s="48">
        <v>40000</v>
      </c>
      <c r="I12" s="48">
        <v>180</v>
      </c>
      <c r="J12" s="48">
        <v>1</v>
      </c>
      <c r="K12" s="48" t="s">
        <v>56</v>
      </c>
      <c r="L12" s="48">
        <v>40000</v>
      </c>
      <c r="M12" s="48">
        <v>44000</v>
      </c>
      <c r="N12" s="48">
        <v>0</v>
      </c>
      <c r="O12" s="48" t="s">
        <v>455</v>
      </c>
      <c r="P12" s="48" t="s">
        <v>440</v>
      </c>
      <c r="Q12" s="67">
        <f t="shared" si="0"/>
        <v>244.44444444444446</v>
      </c>
    </row>
    <row r="13" spans="1:17" ht="18">
      <c r="A13" s="48">
        <v>1062693</v>
      </c>
      <c r="B13" s="48">
        <v>126441</v>
      </c>
      <c r="C13" s="48" t="s">
        <v>59</v>
      </c>
      <c r="D13" s="183">
        <v>45805.561805555553</v>
      </c>
      <c r="E13" s="48" t="s">
        <v>23</v>
      </c>
      <c r="F13" s="48" t="s">
        <v>456</v>
      </c>
      <c r="G13" s="48" t="s">
        <v>457</v>
      </c>
      <c r="H13" s="48">
        <v>9000</v>
      </c>
      <c r="I13" s="48">
        <v>10</v>
      </c>
      <c r="J13" s="48">
        <v>2</v>
      </c>
      <c r="K13" s="48" t="s">
        <v>56</v>
      </c>
      <c r="L13" s="48">
        <v>18000</v>
      </c>
      <c r="M13" s="48">
        <v>19800</v>
      </c>
      <c r="N13" s="48">
        <v>2000</v>
      </c>
      <c r="O13" s="48" t="s">
        <v>455</v>
      </c>
      <c r="P13" s="48" t="s">
        <v>440</v>
      </c>
      <c r="Q13" s="67">
        <f t="shared" si="0"/>
        <v>1100</v>
      </c>
    </row>
    <row r="14" spans="1:17" ht="18">
      <c r="A14" s="48">
        <v>1062694</v>
      </c>
      <c r="B14" s="48">
        <v>126441</v>
      </c>
      <c r="C14" s="48" t="s">
        <v>59</v>
      </c>
      <c r="D14" s="183">
        <v>45805.561805555553</v>
      </c>
      <c r="E14" s="48" t="s">
        <v>23</v>
      </c>
      <c r="F14" s="48" t="s">
        <v>196</v>
      </c>
      <c r="G14" s="48" t="s">
        <v>458</v>
      </c>
      <c r="H14" s="48">
        <v>9000</v>
      </c>
      <c r="I14" s="48">
        <v>10</v>
      </c>
      <c r="J14" s="48">
        <v>2</v>
      </c>
      <c r="K14" s="48" t="s">
        <v>56</v>
      </c>
      <c r="L14" s="48">
        <v>18000</v>
      </c>
      <c r="M14" s="48">
        <v>19800</v>
      </c>
      <c r="N14" s="48">
        <v>2000</v>
      </c>
      <c r="O14" s="48" t="s">
        <v>455</v>
      </c>
      <c r="P14" s="48" t="s">
        <v>440</v>
      </c>
      <c r="Q14" s="67">
        <f t="shared" si="0"/>
        <v>1100</v>
      </c>
    </row>
    <row r="15" spans="1:17" ht="18">
      <c r="A15" s="48">
        <v>1062695</v>
      </c>
      <c r="B15" s="48">
        <v>126441</v>
      </c>
      <c r="C15" s="48" t="s">
        <v>59</v>
      </c>
      <c r="D15" s="183">
        <v>45805.561805555553</v>
      </c>
      <c r="E15" s="48" t="s">
        <v>23</v>
      </c>
      <c r="F15" s="48" t="s">
        <v>162</v>
      </c>
      <c r="G15" s="48" t="s">
        <v>459</v>
      </c>
      <c r="H15" s="48">
        <v>9000</v>
      </c>
      <c r="I15" s="48">
        <v>10</v>
      </c>
      <c r="J15" s="48">
        <v>4</v>
      </c>
      <c r="K15" s="48" t="s">
        <v>56</v>
      </c>
      <c r="L15" s="48">
        <v>36000</v>
      </c>
      <c r="M15" s="48">
        <v>39600</v>
      </c>
      <c r="N15" s="48">
        <v>4000</v>
      </c>
      <c r="O15" s="48" t="s">
        <v>455</v>
      </c>
      <c r="P15" s="48" t="s">
        <v>440</v>
      </c>
      <c r="Q15" s="67">
        <f t="shared" si="0"/>
        <v>1100</v>
      </c>
    </row>
    <row r="16" spans="1:17" ht="18">
      <c r="A16" s="48">
        <v>1062696</v>
      </c>
      <c r="B16" s="48">
        <v>126441</v>
      </c>
      <c r="C16" s="48" t="s">
        <v>59</v>
      </c>
      <c r="D16" s="183">
        <v>45805.561805555553</v>
      </c>
      <c r="E16" s="48" t="s">
        <v>23</v>
      </c>
      <c r="F16" s="48" t="s">
        <v>159</v>
      </c>
      <c r="G16" s="48" t="s">
        <v>460</v>
      </c>
      <c r="H16" s="48">
        <v>9000</v>
      </c>
      <c r="I16" s="48">
        <v>10</v>
      </c>
      <c r="J16" s="48">
        <v>2</v>
      </c>
      <c r="K16" s="48" t="s">
        <v>56</v>
      </c>
      <c r="L16" s="48">
        <v>18000</v>
      </c>
      <c r="M16" s="48">
        <v>19800</v>
      </c>
      <c r="N16" s="48">
        <v>2000</v>
      </c>
      <c r="O16" s="48" t="s">
        <v>455</v>
      </c>
      <c r="P16" s="48" t="s">
        <v>440</v>
      </c>
      <c r="Q16" s="67">
        <f t="shared" si="0"/>
        <v>1100</v>
      </c>
    </row>
    <row r="17" spans="1:17" ht="30">
      <c r="A17" s="48">
        <v>1062697</v>
      </c>
      <c r="B17" s="48">
        <v>126441</v>
      </c>
      <c r="C17" s="48" t="s">
        <v>59</v>
      </c>
      <c r="D17" s="183">
        <v>45805.561805555553</v>
      </c>
      <c r="E17" s="48" t="s">
        <v>23</v>
      </c>
      <c r="F17" s="48" t="s">
        <v>461</v>
      </c>
      <c r="G17" s="48" t="s">
        <v>313</v>
      </c>
      <c r="H17" s="48">
        <v>90</v>
      </c>
      <c r="I17" s="48">
        <v>288</v>
      </c>
      <c r="J17" s="48">
        <v>1</v>
      </c>
      <c r="K17" s="48" t="s">
        <v>56</v>
      </c>
      <c r="L17" s="48">
        <v>25920</v>
      </c>
      <c r="M17" s="48">
        <v>28512</v>
      </c>
      <c r="N17" s="48">
        <v>0</v>
      </c>
      <c r="O17" s="192" t="s">
        <v>462</v>
      </c>
      <c r="P17" s="48" t="s">
        <v>463</v>
      </c>
      <c r="Q17" s="67">
        <f t="shared" si="0"/>
        <v>99</v>
      </c>
    </row>
    <row r="18" spans="1:17" ht="30">
      <c r="A18" s="48">
        <v>1062594</v>
      </c>
      <c r="B18" s="48">
        <v>126430</v>
      </c>
      <c r="C18" s="48" t="s">
        <v>59</v>
      </c>
      <c r="D18" s="183">
        <v>45805.511111111111</v>
      </c>
      <c r="E18" s="48" t="s">
        <v>23</v>
      </c>
      <c r="F18" s="48" t="s">
        <v>464</v>
      </c>
      <c r="G18" s="48" t="s">
        <v>465</v>
      </c>
      <c r="H18" s="48">
        <v>800</v>
      </c>
      <c r="I18" s="48">
        <v>60</v>
      </c>
      <c r="J18" s="48">
        <v>0.5</v>
      </c>
      <c r="K18" s="48" t="s">
        <v>56</v>
      </c>
      <c r="L18" s="48">
        <v>24000</v>
      </c>
      <c r="M18" s="48">
        <v>26400</v>
      </c>
      <c r="N18" s="48">
        <v>800</v>
      </c>
      <c r="O18" s="192" t="s">
        <v>466</v>
      </c>
      <c r="P18" s="48" t="s">
        <v>467</v>
      </c>
      <c r="Q18" s="67">
        <f t="shared" si="0"/>
        <v>909.33333333333337</v>
      </c>
    </row>
    <row r="19" spans="1:17" ht="18">
      <c r="A19" s="48">
        <v>1062581</v>
      </c>
      <c r="B19" s="48">
        <v>126417</v>
      </c>
      <c r="C19" s="48" t="s">
        <v>59</v>
      </c>
      <c r="D19" s="183">
        <v>45805.509027777778</v>
      </c>
      <c r="E19" s="48" t="s">
        <v>23</v>
      </c>
      <c r="F19" s="48" t="s">
        <v>468</v>
      </c>
      <c r="G19" s="48" t="s">
        <v>469</v>
      </c>
      <c r="H19" s="48">
        <v>63000</v>
      </c>
      <c r="I19" s="48">
        <v>64</v>
      </c>
      <c r="J19" s="48">
        <v>0.5</v>
      </c>
      <c r="K19" s="48" t="s">
        <v>56</v>
      </c>
      <c r="L19" s="48">
        <v>31500</v>
      </c>
      <c r="M19" s="48">
        <v>34650</v>
      </c>
      <c r="N19" s="48">
        <v>1000</v>
      </c>
      <c r="O19" s="48" t="s">
        <v>455</v>
      </c>
      <c r="P19" s="48" t="s">
        <v>440</v>
      </c>
      <c r="Q19" s="67">
        <f t="shared" si="0"/>
        <v>1117.1875</v>
      </c>
    </row>
    <row r="20" spans="1:17" ht="18">
      <c r="A20" s="48">
        <v>1062479</v>
      </c>
      <c r="B20" s="48">
        <v>126416</v>
      </c>
      <c r="C20" s="48" t="s">
        <v>59</v>
      </c>
      <c r="D20" s="183">
        <v>45805.47152777778</v>
      </c>
      <c r="E20" s="48" t="s">
        <v>19</v>
      </c>
      <c r="F20" s="48" t="s">
        <v>470</v>
      </c>
      <c r="G20" s="48" t="s">
        <v>471</v>
      </c>
      <c r="H20" s="48">
        <v>300</v>
      </c>
      <c r="I20" s="48">
        <v>20</v>
      </c>
      <c r="J20" s="48">
        <v>2</v>
      </c>
      <c r="K20" s="48" t="s">
        <v>107</v>
      </c>
      <c r="L20" s="48">
        <v>12000</v>
      </c>
      <c r="M20" s="48">
        <v>13200</v>
      </c>
      <c r="N20" s="48">
        <v>500</v>
      </c>
      <c r="O20" s="48" t="s">
        <v>472</v>
      </c>
      <c r="P20" s="193">
        <v>45778</v>
      </c>
      <c r="Q20" s="67">
        <f t="shared" si="0"/>
        <v>343.75</v>
      </c>
    </row>
    <row r="21" spans="1:17" ht="18">
      <c r="A21" s="48">
        <v>1062315</v>
      </c>
      <c r="B21" s="48">
        <v>126407</v>
      </c>
      <c r="C21" s="48" t="s">
        <v>59</v>
      </c>
      <c r="D21" s="183">
        <v>45805.455555555556</v>
      </c>
      <c r="E21" s="48" t="s">
        <v>22</v>
      </c>
      <c r="F21" s="48" t="s">
        <v>473</v>
      </c>
      <c r="G21" s="48" t="s">
        <v>474</v>
      </c>
      <c r="H21" s="48">
        <v>120</v>
      </c>
      <c r="I21" s="48">
        <v>50</v>
      </c>
      <c r="J21" s="48">
        <v>2</v>
      </c>
      <c r="K21" s="48" t="s">
        <v>107</v>
      </c>
      <c r="L21" s="48">
        <v>12000</v>
      </c>
      <c r="M21" s="48">
        <v>13200</v>
      </c>
      <c r="N21" s="48">
        <v>500</v>
      </c>
      <c r="O21" s="48" t="s">
        <v>472</v>
      </c>
      <c r="P21" s="193">
        <v>45809</v>
      </c>
      <c r="Q21" s="67">
        <f t="shared" si="0"/>
        <v>137.5</v>
      </c>
    </row>
    <row r="22" spans="1:17" ht="30">
      <c r="A22" s="48">
        <v>1060728</v>
      </c>
      <c r="B22" s="48">
        <v>126250</v>
      </c>
      <c r="C22" s="48" t="s">
        <v>59</v>
      </c>
      <c r="D22" s="183">
        <v>45805.347222222219</v>
      </c>
      <c r="E22" s="48" t="s">
        <v>22</v>
      </c>
      <c r="F22" s="48" t="s">
        <v>475</v>
      </c>
      <c r="G22" s="48" t="s">
        <v>476</v>
      </c>
      <c r="H22" s="48">
        <v>1000</v>
      </c>
      <c r="I22" s="48">
        <v>48</v>
      </c>
      <c r="J22" s="48">
        <v>1</v>
      </c>
      <c r="K22" s="48" t="s">
        <v>56</v>
      </c>
      <c r="L22" s="48">
        <v>48000</v>
      </c>
      <c r="M22" s="48">
        <v>52800</v>
      </c>
      <c r="N22" s="48">
        <v>10000</v>
      </c>
      <c r="O22" s="192" t="s">
        <v>477</v>
      </c>
      <c r="P22" s="48" t="s">
        <v>478</v>
      </c>
      <c r="Q22" s="67">
        <f t="shared" si="0"/>
        <v>1329.1666666666667</v>
      </c>
    </row>
    <row r="23" spans="1:17" ht="30">
      <c r="A23" s="48">
        <v>1060726</v>
      </c>
      <c r="B23" s="48">
        <v>126250</v>
      </c>
      <c r="C23" s="48" t="s">
        <v>59</v>
      </c>
      <c r="D23" s="183">
        <v>45805.347222222219</v>
      </c>
      <c r="E23" s="48" t="s">
        <v>22</v>
      </c>
      <c r="F23" s="48" t="s">
        <v>479</v>
      </c>
      <c r="G23" s="48" t="s">
        <v>480</v>
      </c>
      <c r="H23" s="48">
        <v>1000</v>
      </c>
      <c r="I23" s="48">
        <v>48</v>
      </c>
      <c r="J23" s="48">
        <v>1</v>
      </c>
      <c r="K23" s="48" t="s">
        <v>56</v>
      </c>
      <c r="L23" s="48">
        <v>48000</v>
      </c>
      <c r="M23" s="48">
        <v>52800</v>
      </c>
      <c r="N23" s="48">
        <v>10000</v>
      </c>
      <c r="O23" s="192" t="s">
        <v>481</v>
      </c>
      <c r="P23" s="48" t="s">
        <v>478</v>
      </c>
      <c r="Q23" s="67">
        <f t="shared" si="0"/>
        <v>1329.1666666666667</v>
      </c>
    </row>
    <row r="24" spans="1:17" ht="75">
      <c r="A24" s="48">
        <v>1060518</v>
      </c>
      <c r="B24" s="48">
        <v>126193</v>
      </c>
      <c r="C24" s="48" t="s">
        <v>59</v>
      </c>
      <c r="D24" s="183">
        <v>45803.685416666667</v>
      </c>
      <c r="E24" s="48" t="s">
        <v>22</v>
      </c>
      <c r="F24" s="48" t="s">
        <v>482</v>
      </c>
      <c r="G24" s="48" t="s">
        <v>483</v>
      </c>
      <c r="H24" s="48">
        <v>150</v>
      </c>
      <c r="I24" s="48">
        <v>240</v>
      </c>
      <c r="J24" s="48">
        <v>1</v>
      </c>
      <c r="K24" s="48" t="s">
        <v>56</v>
      </c>
      <c r="L24" s="48">
        <v>36000</v>
      </c>
      <c r="M24" s="48">
        <v>39600</v>
      </c>
      <c r="N24" s="48">
        <v>0</v>
      </c>
      <c r="O24" s="192" t="s">
        <v>484</v>
      </c>
      <c r="P24" s="48" t="s">
        <v>485</v>
      </c>
      <c r="Q24" s="67">
        <f t="shared" si="0"/>
        <v>165</v>
      </c>
    </row>
    <row r="25" spans="1:17" ht="18">
      <c r="A25" s="48">
        <v>1059369</v>
      </c>
      <c r="B25" s="48">
        <v>126002</v>
      </c>
      <c r="C25" s="48" t="s">
        <v>59</v>
      </c>
      <c r="D25" s="183">
        <v>45801.675694444442</v>
      </c>
      <c r="E25" s="48" t="s">
        <v>23</v>
      </c>
      <c r="F25" s="48" t="s">
        <v>486</v>
      </c>
      <c r="G25" s="48" t="s">
        <v>487</v>
      </c>
      <c r="H25" s="48">
        <v>680</v>
      </c>
      <c r="I25" s="48">
        <v>96</v>
      </c>
      <c r="J25" s="48">
        <v>0.5</v>
      </c>
      <c r="K25" s="48" t="s">
        <v>56</v>
      </c>
      <c r="L25" s="48">
        <v>32640</v>
      </c>
      <c r="M25" s="48">
        <v>35904</v>
      </c>
      <c r="N25" s="48">
        <v>1000</v>
      </c>
      <c r="O25" s="48" t="s">
        <v>71</v>
      </c>
      <c r="P25" s="48" t="s">
        <v>488</v>
      </c>
      <c r="Q25" s="67">
        <f t="shared" si="0"/>
        <v>770.91666666666663</v>
      </c>
    </row>
    <row r="26" spans="1:17" ht="18">
      <c r="A26" s="48">
        <v>1059354</v>
      </c>
      <c r="B26" s="48">
        <v>125996</v>
      </c>
      <c r="C26" s="48" t="s">
        <v>59</v>
      </c>
      <c r="D26" s="183">
        <v>45801.649305555555</v>
      </c>
      <c r="E26" s="48" t="s">
        <v>122</v>
      </c>
      <c r="F26" s="48" t="s">
        <v>486</v>
      </c>
      <c r="G26" s="48" t="s">
        <v>487</v>
      </c>
      <c r="H26" s="48">
        <v>680</v>
      </c>
      <c r="I26" s="48">
        <v>96</v>
      </c>
      <c r="J26" s="48">
        <v>1</v>
      </c>
      <c r="K26" s="48" t="s">
        <v>56</v>
      </c>
      <c r="L26" s="48">
        <v>65280</v>
      </c>
      <c r="M26" s="48">
        <v>71808</v>
      </c>
      <c r="N26" s="48">
        <v>0</v>
      </c>
      <c r="O26" s="48" t="s">
        <v>71</v>
      </c>
      <c r="P26" s="48" t="s">
        <v>488</v>
      </c>
      <c r="Q26" s="67">
        <f t="shared" si="0"/>
        <v>748</v>
      </c>
    </row>
    <row r="27" spans="1:17" ht="18">
      <c r="A27" s="48">
        <v>1059352</v>
      </c>
      <c r="B27" s="48">
        <v>125995</v>
      </c>
      <c r="C27" s="48" t="s">
        <v>59</v>
      </c>
      <c r="D27" s="183">
        <v>45801.648611111108</v>
      </c>
      <c r="E27" s="48" t="s">
        <v>19</v>
      </c>
      <c r="F27" s="48" t="s">
        <v>486</v>
      </c>
      <c r="G27" s="48" t="s">
        <v>487</v>
      </c>
      <c r="H27" s="48">
        <v>680</v>
      </c>
      <c r="I27" s="48">
        <v>96</v>
      </c>
      <c r="J27" s="48">
        <v>2</v>
      </c>
      <c r="K27" s="48" t="s">
        <v>56</v>
      </c>
      <c r="L27" s="48">
        <v>130560</v>
      </c>
      <c r="M27" s="48">
        <v>143616</v>
      </c>
      <c r="N27" s="48">
        <v>0</v>
      </c>
      <c r="O27" s="48" t="s">
        <v>71</v>
      </c>
      <c r="P27" s="48" t="s">
        <v>488</v>
      </c>
      <c r="Q27" s="67">
        <f t="shared" si="0"/>
        <v>748</v>
      </c>
    </row>
    <row r="28" spans="1:17" ht="18">
      <c r="A28" s="48">
        <v>1059351</v>
      </c>
      <c r="B28" s="48">
        <v>125846</v>
      </c>
      <c r="C28" s="48" t="s">
        <v>59</v>
      </c>
      <c r="D28" s="183">
        <v>45801.648611111108</v>
      </c>
      <c r="E28" s="48" t="s">
        <v>22</v>
      </c>
      <c r="F28" s="48" t="s">
        <v>486</v>
      </c>
      <c r="G28" s="48" t="s">
        <v>487</v>
      </c>
      <c r="H28" s="48">
        <v>680</v>
      </c>
      <c r="I28" s="48">
        <v>96</v>
      </c>
      <c r="J28" s="48">
        <v>2</v>
      </c>
      <c r="K28" s="48" t="s">
        <v>56</v>
      </c>
      <c r="L28" s="48">
        <v>130560</v>
      </c>
      <c r="M28" s="48">
        <v>143616</v>
      </c>
      <c r="N28" s="48">
        <v>0</v>
      </c>
      <c r="O28" s="48" t="s">
        <v>71</v>
      </c>
      <c r="P28" s="48" t="s">
        <v>488</v>
      </c>
      <c r="Q28" s="67">
        <f t="shared" si="0"/>
        <v>748</v>
      </c>
    </row>
    <row r="29" spans="1:17" ht="18">
      <c r="A29" s="48">
        <v>1057877</v>
      </c>
      <c r="B29" s="48">
        <v>125846</v>
      </c>
      <c r="C29" s="48" t="s">
        <v>53</v>
      </c>
      <c r="D29" s="183">
        <v>45801.648611111108</v>
      </c>
      <c r="E29" s="48" t="s">
        <v>22</v>
      </c>
      <c r="F29" s="48" t="s">
        <v>489</v>
      </c>
      <c r="G29" s="48" t="s">
        <v>490</v>
      </c>
      <c r="H29" s="48">
        <v>680</v>
      </c>
      <c r="I29" s="48">
        <v>96</v>
      </c>
      <c r="J29" s="48">
        <v>0.5</v>
      </c>
      <c r="K29" s="48" t="s">
        <v>56</v>
      </c>
      <c r="L29" s="48">
        <v>32640</v>
      </c>
      <c r="M29" s="48">
        <v>35904</v>
      </c>
      <c r="N29" s="48">
        <v>0</v>
      </c>
      <c r="O29" s="48" t="s">
        <v>71</v>
      </c>
      <c r="P29" s="48" t="s">
        <v>491</v>
      </c>
      <c r="Q29" s="67">
        <f t="shared" si="0"/>
        <v>748</v>
      </c>
    </row>
    <row r="30" spans="1:17" ht="18">
      <c r="A30" s="48">
        <v>1053999</v>
      </c>
      <c r="B30" s="48">
        <v>125348</v>
      </c>
      <c r="C30" s="48" t="s">
        <v>53</v>
      </c>
      <c r="D30" s="183">
        <v>45794.931944444441</v>
      </c>
      <c r="E30" s="48" t="s">
        <v>23</v>
      </c>
      <c r="F30" s="48" t="s">
        <v>492</v>
      </c>
      <c r="G30" s="48" t="s">
        <v>120</v>
      </c>
      <c r="H30" s="48">
        <v>870</v>
      </c>
      <c r="I30" s="48">
        <v>60</v>
      </c>
      <c r="J30" s="48">
        <v>0.5</v>
      </c>
      <c r="K30" s="48" t="s">
        <v>56</v>
      </c>
      <c r="L30" s="48">
        <v>26100</v>
      </c>
      <c r="M30" s="48">
        <v>28710</v>
      </c>
      <c r="N30" s="48">
        <v>1000</v>
      </c>
      <c r="O30" s="48" t="s">
        <v>493</v>
      </c>
      <c r="P30" s="48" t="s">
        <v>494</v>
      </c>
      <c r="Q30" s="67">
        <f t="shared" si="0"/>
        <v>993.66666666666663</v>
      </c>
    </row>
    <row r="31" spans="1:17" ht="90">
      <c r="A31" s="48">
        <v>1052011</v>
      </c>
      <c r="B31" s="48">
        <v>125120</v>
      </c>
      <c r="C31" s="48" t="s">
        <v>59</v>
      </c>
      <c r="D31" s="183">
        <v>45792.564583333333</v>
      </c>
      <c r="E31" s="48" t="s">
        <v>22</v>
      </c>
      <c r="F31" s="48" t="s">
        <v>323</v>
      </c>
      <c r="G31" s="48" t="s">
        <v>324</v>
      </c>
      <c r="H31" s="48">
        <v>350</v>
      </c>
      <c r="I31" s="48">
        <v>162</v>
      </c>
      <c r="J31" s="48">
        <v>2</v>
      </c>
      <c r="K31" s="48" t="s">
        <v>56</v>
      </c>
      <c r="L31" s="48">
        <v>113400</v>
      </c>
      <c r="M31" s="48">
        <v>124740</v>
      </c>
      <c r="N31" s="48">
        <v>0</v>
      </c>
      <c r="O31" s="192" t="s">
        <v>495</v>
      </c>
      <c r="P31" s="48" t="s">
        <v>326</v>
      </c>
      <c r="Q31" s="67">
        <f t="shared" si="0"/>
        <v>385</v>
      </c>
    </row>
    <row r="32" spans="1:17" ht="18">
      <c r="A32" s="48">
        <v>1041770</v>
      </c>
      <c r="B32" s="48">
        <v>124191</v>
      </c>
      <c r="C32" s="48" t="s">
        <v>53</v>
      </c>
      <c r="D32" s="183">
        <v>45785.375694444447</v>
      </c>
      <c r="E32" s="48" t="s">
        <v>22</v>
      </c>
      <c r="F32" s="48" t="s">
        <v>496</v>
      </c>
      <c r="G32" s="48" t="s">
        <v>70</v>
      </c>
      <c r="H32" s="48">
        <v>423</v>
      </c>
      <c r="I32" s="48">
        <v>120</v>
      </c>
      <c r="J32" s="48">
        <v>2</v>
      </c>
      <c r="K32" s="48" t="s">
        <v>56</v>
      </c>
      <c r="L32" s="48">
        <v>101520</v>
      </c>
      <c r="M32" s="48">
        <v>111672</v>
      </c>
      <c r="N32" s="48">
        <v>0</v>
      </c>
      <c r="O32" s="48" t="s">
        <v>71</v>
      </c>
      <c r="P32" s="48" t="s">
        <v>497</v>
      </c>
      <c r="Q32" s="67">
        <f t="shared" si="0"/>
        <v>465.3</v>
      </c>
    </row>
    <row r="33" spans="1:17" ht="18">
      <c r="A33" s="48">
        <v>1041769</v>
      </c>
      <c r="B33" s="48">
        <v>124190</v>
      </c>
      <c r="C33" s="48" t="s">
        <v>53</v>
      </c>
      <c r="D33" s="183">
        <v>45784.918055555558</v>
      </c>
      <c r="E33" s="48" t="s">
        <v>122</v>
      </c>
      <c r="F33" s="48" t="s">
        <v>496</v>
      </c>
      <c r="G33" s="48" t="s">
        <v>70</v>
      </c>
      <c r="H33" s="48">
        <v>423</v>
      </c>
      <c r="I33" s="48">
        <v>120</v>
      </c>
      <c r="J33" s="48">
        <v>1</v>
      </c>
      <c r="K33" s="48" t="s">
        <v>56</v>
      </c>
      <c r="L33" s="48">
        <v>50760</v>
      </c>
      <c r="M33" s="48">
        <v>55836</v>
      </c>
      <c r="N33" s="48">
        <v>0</v>
      </c>
      <c r="O33" s="48" t="s">
        <v>71</v>
      </c>
      <c r="P33" s="48" t="s">
        <v>497</v>
      </c>
      <c r="Q33" s="67">
        <f t="shared" si="0"/>
        <v>465.3</v>
      </c>
    </row>
    <row r="34" spans="1:17" ht="18">
      <c r="A34" s="48">
        <v>1041768</v>
      </c>
      <c r="B34" s="48">
        <v>124189</v>
      </c>
      <c r="C34" s="48" t="s">
        <v>53</v>
      </c>
      <c r="D34" s="183">
        <v>45784.918055555558</v>
      </c>
      <c r="E34" s="48" t="s">
        <v>23</v>
      </c>
      <c r="F34" s="48" t="s">
        <v>496</v>
      </c>
      <c r="G34" s="48" t="s">
        <v>70</v>
      </c>
      <c r="H34" s="48">
        <v>423</v>
      </c>
      <c r="I34" s="48">
        <v>120</v>
      </c>
      <c r="J34" s="48">
        <v>1</v>
      </c>
      <c r="K34" s="48" t="s">
        <v>56</v>
      </c>
      <c r="L34" s="48">
        <v>50760</v>
      </c>
      <c r="M34" s="48">
        <v>55836</v>
      </c>
      <c r="N34" s="48">
        <v>0</v>
      </c>
      <c r="O34" s="48" t="s">
        <v>71</v>
      </c>
      <c r="P34" s="48" t="s">
        <v>497</v>
      </c>
      <c r="Q34" s="67">
        <f t="shared" si="0"/>
        <v>465.3</v>
      </c>
    </row>
    <row r="35" spans="1:17" ht="18">
      <c r="A35" s="48">
        <v>1041767</v>
      </c>
      <c r="B35" s="48">
        <v>124188</v>
      </c>
      <c r="C35" s="48" t="s">
        <v>53</v>
      </c>
      <c r="D35" s="183">
        <v>45784.917361111111</v>
      </c>
      <c r="E35" s="48" t="s">
        <v>19</v>
      </c>
      <c r="F35" s="48" t="s">
        <v>496</v>
      </c>
      <c r="G35" s="48" t="s">
        <v>70</v>
      </c>
      <c r="H35" s="48">
        <v>423</v>
      </c>
      <c r="I35" s="48">
        <v>120</v>
      </c>
      <c r="J35" s="48">
        <v>2</v>
      </c>
      <c r="K35" s="48" t="s">
        <v>56</v>
      </c>
      <c r="L35" s="48">
        <v>101520</v>
      </c>
      <c r="M35" s="48">
        <v>111672</v>
      </c>
      <c r="N35" s="48">
        <v>0</v>
      </c>
      <c r="O35" s="48" t="s">
        <v>71</v>
      </c>
      <c r="P35" s="48" t="s">
        <v>497</v>
      </c>
      <c r="Q35" s="67">
        <f t="shared" si="0"/>
        <v>465.3</v>
      </c>
    </row>
    <row r="36" spans="1:17" ht="18">
      <c r="A36" s="48">
        <v>1033760</v>
      </c>
      <c r="B36" s="48">
        <v>123643</v>
      </c>
      <c r="C36" s="48" t="s">
        <v>59</v>
      </c>
      <c r="D36" s="183">
        <v>45779.847222222219</v>
      </c>
      <c r="E36" s="48" t="s">
        <v>22</v>
      </c>
      <c r="F36" s="48" t="s">
        <v>498</v>
      </c>
      <c r="G36" s="48" t="s">
        <v>499</v>
      </c>
      <c r="H36" s="48">
        <v>178</v>
      </c>
      <c r="I36" s="48">
        <v>192</v>
      </c>
      <c r="J36" s="48">
        <v>0.5</v>
      </c>
      <c r="K36" s="48" t="s">
        <v>56</v>
      </c>
      <c r="L36" s="48">
        <v>17088</v>
      </c>
      <c r="M36" s="48">
        <v>18797</v>
      </c>
      <c r="N36" s="48">
        <v>1000</v>
      </c>
      <c r="O36" s="48" t="s">
        <v>71</v>
      </c>
      <c r="P36" s="48" t="s">
        <v>500</v>
      </c>
      <c r="Q36" s="67">
        <f t="shared" si="0"/>
        <v>207.26041666666666</v>
      </c>
    </row>
    <row r="37" spans="1:17" ht="120">
      <c r="A37" s="48">
        <v>1021372</v>
      </c>
      <c r="B37" s="48">
        <v>122300</v>
      </c>
      <c r="C37" s="48" t="s">
        <v>59</v>
      </c>
      <c r="D37" s="183">
        <v>45767.6875</v>
      </c>
      <c r="E37" s="48" t="s">
        <v>22</v>
      </c>
      <c r="F37" s="48" t="s">
        <v>501</v>
      </c>
      <c r="G37" s="48" t="s">
        <v>502</v>
      </c>
      <c r="H37" s="48">
        <v>400</v>
      </c>
      <c r="I37" s="48">
        <v>96</v>
      </c>
      <c r="J37" s="48">
        <v>1</v>
      </c>
      <c r="K37" s="48" t="s">
        <v>56</v>
      </c>
      <c r="L37" s="48">
        <v>38400</v>
      </c>
      <c r="M37" s="48">
        <v>42240</v>
      </c>
      <c r="N37" s="48">
        <v>0</v>
      </c>
      <c r="O37" s="192" t="s">
        <v>503</v>
      </c>
      <c r="P37" s="48" t="s">
        <v>504</v>
      </c>
      <c r="Q37" s="67">
        <f t="shared" si="0"/>
        <v>440</v>
      </c>
    </row>
    <row r="38" spans="1:17" ht="18">
      <c r="A38" s="48">
        <v>1009797</v>
      </c>
      <c r="B38" s="48">
        <v>120857</v>
      </c>
      <c r="C38" s="48" t="s">
        <v>59</v>
      </c>
      <c r="D38" s="183">
        <v>45756.686805555553</v>
      </c>
      <c r="E38" s="48" t="s">
        <v>19</v>
      </c>
      <c r="F38" s="48" t="s">
        <v>505</v>
      </c>
      <c r="G38" s="48" t="s">
        <v>342</v>
      </c>
      <c r="H38" s="48">
        <v>634</v>
      </c>
      <c r="I38" s="48">
        <v>100</v>
      </c>
      <c r="J38" s="48">
        <v>0.5</v>
      </c>
      <c r="K38" s="48" t="s">
        <v>56</v>
      </c>
      <c r="L38" s="48">
        <v>31700</v>
      </c>
      <c r="M38" s="48">
        <v>34870</v>
      </c>
      <c r="N38" s="48">
        <v>1000</v>
      </c>
      <c r="O38" s="48" t="s">
        <v>71</v>
      </c>
      <c r="P38" s="48" t="s">
        <v>497</v>
      </c>
      <c r="Q38" s="67">
        <f t="shared" si="0"/>
        <v>719.4</v>
      </c>
    </row>
    <row r="39" spans="1:17" ht="18">
      <c r="A39" s="48">
        <v>993974</v>
      </c>
      <c r="B39" s="48">
        <v>119618</v>
      </c>
      <c r="C39" s="48" t="s">
        <v>59</v>
      </c>
      <c r="D39" s="183">
        <v>45747.517361111109</v>
      </c>
      <c r="E39" s="48" t="s">
        <v>22</v>
      </c>
      <c r="F39" s="48" t="s">
        <v>506</v>
      </c>
      <c r="G39" s="48" t="s">
        <v>507</v>
      </c>
      <c r="H39" s="48">
        <v>50</v>
      </c>
      <c r="I39" s="48">
        <v>960</v>
      </c>
      <c r="J39" s="48">
        <v>0.5</v>
      </c>
      <c r="K39" s="48" t="s">
        <v>56</v>
      </c>
      <c r="L39" s="48">
        <v>24000</v>
      </c>
      <c r="M39" s="48">
        <v>26400</v>
      </c>
      <c r="N39" s="48">
        <v>800</v>
      </c>
      <c r="O39" s="48" t="s">
        <v>71</v>
      </c>
      <c r="P39" s="48" t="s">
        <v>508</v>
      </c>
      <c r="Q39" s="67">
        <f t="shared" si="0"/>
        <v>56.833333333333336</v>
      </c>
    </row>
    <row r="40" spans="1:17" ht="18">
      <c r="A40" s="48">
        <v>993984</v>
      </c>
      <c r="B40" s="48">
        <v>119618</v>
      </c>
      <c r="C40" s="48" t="s">
        <v>59</v>
      </c>
      <c r="D40" s="183">
        <v>45747.517361111109</v>
      </c>
      <c r="E40" s="48" t="s">
        <v>22</v>
      </c>
      <c r="F40" s="48" t="s">
        <v>509</v>
      </c>
      <c r="G40" s="48" t="s">
        <v>510</v>
      </c>
      <c r="H40" s="48">
        <v>52</v>
      </c>
      <c r="I40" s="48">
        <v>960</v>
      </c>
      <c r="J40" s="48">
        <v>0.5</v>
      </c>
      <c r="K40" s="48" t="s">
        <v>56</v>
      </c>
      <c r="L40" s="48">
        <v>24960</v>
      </c>
      <c r="M40" s="48">
        <v>27456</v>
      </c>
      <c r="N40" s="48">
        <v>800</v>
      </c>
      <c r="O40" s="48" t="s">
        <v>71</v>
      </c>
      <c r="P40" s="48" t="s">
        <v>440</v>
      </c>
      <c r="Q40" s="67">
        <f t="shared" si="0"/>
        <v>59.033333333333331</v>
      </c>
    </row>
    <row r="41" spans="1:17" ht="18">
      <c r="A41" s="48">
        <v>992343</v>
      </c>
      <c r="B41" s="48">
        <v>119416</v>
      </c>
      <c r="C41" s="48" t="s">
        <v>53</v>
      </c>
      <c r="D41" s="183">
        <v>45745.843055555553</v>
      </c>
      <c r="E41" s="48" t="s">
        <v>122</v>
      </c>
      <c r="F41" s="48" t="s">
        <v>511</v>
      </c>
      <c r="G41" s="48" t="s">
        <v>126</v>
      </c>
      <c r="H41" s="48">
        <v>935</v>
      </c>
      <c r="I41" s="48">
        <v>48</v>
      </c>
      <c r="J41" s="48">
        <v>2</v>
      </c>
      <c r="K41" s="48" t="s">
        <v>56</v>
      </c>
      <c r="L41" s="48">
        <v>89760</v>
      </c>
      <c r="M41" s="48">
        <v>98736</v>
      </c>
      <c r="N41" s="48">
        <v>0</v>
      </c>
      <c r="O41" s="48" t="s">
        <v>493</v>
      </c>
      <c r="P41" s="48" t="s">
        <v>512</v>
      </c>
      <c r="Q41" s="67">
        <f t="shared" si="0"/>
        <v>1028.5</v>
      </c>
    </row>
    <row r="42" spans="1:17" ht="18">
      <c r="A42" s="48">
        <v>992342</v>
      </c>
      <c r="B42" s="48">
        <v>119415</v>
      </c>
      <c r="C42" s="48" t="s">
        <v>53</v>
      </c>
      <c r="D42" s="183">
        <v>45745.843055555553</v>
      </c>
      <c r="E42" s="48" t="s">
        <v>23</v>
      </c>
      <c r="F42" s="48" t="s">
        <v>511</v>
      </c>
      <c r="G42" s="48" t="s">
        <v>126</v>
      </c>
      <c r="H42" s="48">
        <v>935</v>
      </c>
      <c r="I42" s="48">
        <v>48</v>
      </c>
      <c r="J42" s="48">
        <v>1</v>
      </c>
      <c r="K42" s="48" t="s">
        <v>56</v>
      </c>
      <c r="L42" s="48">
        <v>44880</v>
      </c>
      <c r="M42" s="48">
        <v>49368</v>
      </c>
      <c r="N42" s="48">
        <v>0</v>
      </c>
      <c r="O42" s="48" t="s">
        <v>493</v>
      </c>
      <c r="P42" s="48" t="s">
        <v>512</v>
      </c>
      <c r="Q42" s="67">
        <f t="shared" si="0"/>
        <v>1028.5</v>
      </c>
    </row>
    <row r="43" spans="1:17" ht="18">
      <c r="A43" s="48">
        <v>992341</v>
      </c>
      <c r="B43" s="48">
        <v>119414</v>
      </c>
      <c r="C43" s="48" t="s">
        <v>53</v>
      </c>
      <c r="D43" s="183">
        <v>45745.843055555553</v>
      </c>
      <c r="E43" s="48" t="s">
        <v>19</v>
      </c>
      <c r="F43" s="48" t="s">
        <v>511</v>
      </c>
      <c r="G43" s="48" t="s">
        <v>126</v>
      </c>
      <c r="H43" s="48">
        <v>935</v>
      </c>
      <c r="I43" s="48">
        <v>48</v>
      </c>
      <c r="J43" s="48">
        <v>2</v>
      </c>
      <c r="K43" s="48" t="s">
        <v>56</v>
      </c>
      <c r="L43" s="48">
        <v>89760</v>
      </c>
      <c r="M43" s="48">
        <v>98736</v>
      </c>
      <c r="N43" s="48">
        <v>0</v>
      </c>
      <c r="O43" s="48" t="s">
        <v>493</v>
      </c>
      <c r="P43" s="48" t="s">
        <v>512</v>
      </c>
      <c r="Q43" s="67">
        <f t="shared" si="0"/>
        <v>1028.5</v>
      </c>
    </row>
    <row r="44" spans="1:17" ht="18">
      <c r="A44" s="48">
        <v>992337</v>
      </c>
      <c r="B44" s="48">
        <v>119413</v>
      </c>
      <c r="C44" s="48" t="s">
        <v>53</v>
      </c>
      <c r="D44" s="183">
        <v>45745.841666666667</v>
      </c>
      <c r="E44" s="48" t="s">
        <v>122</v>
      </c>
      <c r="F44" s="48" t="s">
        <v>513</v>
      </c>
      <c r="G44" s="48" t="s">
        <v>124</v>
      </c>
      <c r="H44" s="48">
        <v>870</v>
      </c>
      <c r="I44" s="48">
        <v>48</v>
      </c>
      <c r="J44" s="48">
        <v>4</v>
      </c>
      <c r="K44" s="48" t="s">
        <v>56</v>
      </c>
      <c r="L44" s="48">
        <v>167040</v>
      </c>
      <c r="M44" s="48">
        <v>183744</v>
      </c>
      <c r="N44" s="48">
        <v>0</v>
      </c>
      <c r="O44" s="48" t="s">
        <v>493</v>
      </c>
      <c r="P44" s="48" t="s">
        <v>512</v>
      </c>
      <c r="Q44" s="67">
        <f t="shared" si="0"/>
        <v>957</v>
      </c>
    </row>
    <row r="45" spans="1:17" ht="18">
      <c r="A45" s="48">
        <v>992335</v>
      </c>
      <c r="B45" s="48">
        <v>119411</v>
      </c>
      <c r="C45" s="48" t="s">
        <v>53</v>
      </c>
      <c r="D45" s="183">
        <v>45745.84097222222</v>
      </c>
      <c r="E45" s="48" t="s">
        <v>23</v>
      </c>
      <c r="F45" s="48" t="s">
        <v>513</v>
      </c>
      <c r="G45" s="48" t="s">
        <v>124</v>
      </c>
      <c r="H45" s="48">
        <v>870</v>
      </c>
      <c r="I45" s="48">
        <v>48</v>
      </c>
      <c r="J45" s="48">
        <v>2</v>
      </c>
      <c r="K45" s="48" t="s">
        <v>56</v>
      </c>
      <c r="L45" s="48">
        <v>83520</v>
      </c>
      <c r="M45" s="48">
        <v>91872</v>
      </c>
      <c r="N45" s="48">
        <v>0</v>
      </c>
      <c r="O45" s="48" t="s">
        <v>493</v>
      </c>
      <c r="P45" s="48" t="s">
        <v>512</v>
      </c>
      <c r="Q45" s="67">
        <f t="shared" si="0"/>
        <v>957</v>
      </c>
    </row>
    <row r="46" spans="1:17" ht="18">
      <c r="A46" s="48">
        <v>992334</v>
      </c>
      <c r="B46" s="48">
        <v>119410</v>
      </c>
      <c r="C46" s="48" t="s">
        <v>53</v>
      </c>
      <c r="D46" s="183">
        <v>45745.84097222222</v>
      </c>
      <c r="E46" s="48" t="s">
        <v>19</v>
      </c>
      <c r="F46" s="48" t="s">
        <v>513</v>
      </c>
      <c r="G46" s="48" t="s">
        <v>124</v>
      </c>
      <c r="H46" s="48">
        <v>870</v>
      </c>
      <c r="I46" s="48">
        <v>48</v>
      </c>
      <c r="J46" s="48">
        <v>4</v>
      </c>
      <c r="K46" s="48" t="s">
        <v>56</v>
      </c>
      <c r="L46" s="48">
        <v>167040</v>
      </c>
      <c r="M46" s="48">
        <v>183744</v>
      </c>
      <c r="N46" s="48">
        <v>0</v>
      </c>
      <c r="O46" s="48" t="s">
        <v>493</v>
      </c>
      <c r="P46" s="48" t="s">
        <v>512</v>
      </c>
      <c r="Q46" s="67">
        <f t="shared" si="0"/>
        <v>957</v>
      </c>
    </row>
    <row r="47" spans="1:17" ht="18">
      <c r="A47" s="48">
        <v>992328</v>
      </c>
      <c r="B47" s="48">
        <v>119407</v>
      </c>
      <c r="C47" s="48" t="s">
        <v>53</v>
      </c>
      <c r="D47" s="183">
        <v>45745.838194444441</v>
      </c>
      <c r="E47" s="48" t="s">
        <v>22</v>
      </c>
      <c r="F47" s="48" t="s">
        <v>511</v>
      </c>
      <c r="G47" s="48" t="s">
        <v>126</v>
      </c>
      <c r="H47" s="48">
        <v>935</v>
      </c>
      <c r="I47" s="48">
        <v>48</v>
      </c>
      <c r="J47" s="48">
        <v>3</v>
      </c>
      <c r="K47" s="48" t="s">
        <v>56</v>
      </c>
      <c r="L47" s="48">
        <v>134640</v>
      </c>
      <c r="M47" s="48">
        <v>148104</v>
      </c>
      <c r="N47" s="48">
        <v>0</v>
      </c>
      <c r="O47" s="48" t="s">
        <v>493</v>
      </c>
      <c r="P47" s="48" t="s">
        <v>512</v>
      </c>
      <c r="Q47" s="67">
        <f t="shared" si="0"/>
        <v>1028.5</v>
      </c>
    </row>
    <row r="48" spans="1:17" ht="18">
      <c r="A48" s="48">
        <v>992329</v>
      </c>
      <c r="B48" s="48">
        <v>119407</v>
      </c>
      <c r="C48" s="48" t="s">
        <v>53</v>
      </c>
      <c r="D48" s="183">
        <v>45745.838194444441</v>
      </c>
      <c r="E48" s="48" t="s">
        <v>22</v>
      </c>
      <c r="F48" s="48" t="s">
        <v>513</v>
      </c>
      <c r="G48" s="48" t="s">
        <v>124</v>
      </c>
      <c r="H48" s="48">
        <v>870</v>
      </c>
      <c r="I48" s="48">
        <v>48</v>
      </c>
      <c r="J48" s="48">
        <v>4</v>
      </c>
      <c r="K48" s="48" t="s">
        <v>56</v>
      </c>
      <c r="L48" s="48">
        <v>167040</v>
      </c>
      <c r="M48" s="48">
        <v>183744</v>
      </c>
      <c r="N48" s="48">
        <v>0</v>
      </c>
      <c r="O48" s="48" t="s">
        <v>493</v>
      </c>
      <c r="P48" s="48" t="s">
        <v>512</v>
      </c>
      <c r="Q48" s="67">
        <f t="shared" si="0"/>
        <v>957</v>
      </c>
    </row>
    <row r="49" spans="1:17" ht="75">
      <c r="A49" s="48">
        <v>977654</v>
      </c>
      <c r="B49" s="48">
        <v>117477</v>
      </c>
      <c r="C49" s="48" t="s">
        <v>53</v>
      </c>
      <c r="D49" s="183">
        <v>45728.677083333336</v>
      </c>
      <c r="E49" s="48" t="s">
        <v>23</v>
      </c>
      <c r="F49" s="48" t="s">
        <v>514</v>
      </c>
      <c r="G49" s="48" t="s">
        <v>515</v>
      </c>
      <c r="H49" s="48">
        <v>550</v>
      </c>
      <c r="I49" s="48">
        <v>72</v>
      </c>
      <c r="J49" s="48">
        <v>2</v>
      </c>
      <c r="K49" s="48" t="s">
        <v>56</v>
      </c>
      <c r="L49" s="48">
        <v>79200</v>
      </c>
      <c r="M49" s="48">
        <v>87120</v>
      </c>
      <c r="N49" s="48">
        <v>0</v>
      </c>
      <c r="O49" s="192" t="s">
        <v>516</v>
      </c>
      <c r="P49" s="48" t="s">
        <v>517</v>
      </c>
      <c r="Q49" s="67">
        <f t="shared" si="0"/>
        <v>605</v>
      </c>
    </row>
    <row r="50" spans="1:17" ht="75">
      <c r="A50" s="48">
        <v>977653</v>
      </c>
      <c r="B50" s="48">
        <v>117476</v>
      </c>
      <c r="C50" s="48" t="s">
        <v>53</v>
      </c>
      <c r="D50" s="183">
        <v>45728.677083333336</v>
      </c>
      <c r="E50" s="48" t="s">
        <v>22</v>
      </c>
      <c r="F50" s="48" t="s">
        <v>514</v>
      </c>
      <c r="G50" s="48" t="s">
        <v>515</v>
      </c>
      <c r="H50" s="48">
        <v>550</v>
      </c>
      <c r="I50" s="48">
        <v>72</v>
      </c>
      <c r="J50" s="48">
        <v>8</v>
      </c>
      <c r="K50" s="48" t="s">
        <v>56</v>
      </c>
      <c r="L50" s="48">
        <v>316800</v>
      </c>
      <c r="M50" s="48">
        <v>348480</v>
      </c>
      <c r="N50" s="48">
        <v>0</v>
      </c>
      <c r="O50" s="192" t="s">
        <v>516</v>
      </c>
      <c r="P50" s="48" t="s">
        <v>517</v>
      </c>
      <c r="Q50" s="67">
        <f t="shared" si="0"/>
        <v>605</v>
      </c>
    </row>
    <row r="51" spans="1:17" ht="75">
      <c r="A51" s="48">
        <v>977649</v>
      </c>
      <c r="B51" s="48">
        <v>117474</v>
      </c>
      <c r="C51" s="48" t="s">
        <v>53</v>
      </c>
      <c r="D51" s="183">
        <v>45728.676388888889</v>
      </c>
      <c r="E51" s="48" t="s">
        <v>122</v>
      </c>
      <c r="F51" s="48" t="s">
        <v>514</v>
      </c>
      <c r="G51" s="48" t="s">
        <v>515</v>
      </c>
      <c r="H51" s="48">
        <v>550</v>
      </c>
      <c r="I51" s="48">
        <v>72</v>
      </c>
      <c r="J51" s="48">
        <v>5</v>
      </c>
      <c r="K51" s="48" t="s">
        <v>56</v>
      </c>
      <c r="L51" s="48">
        <v>198000</v>
      </c>
      <c r="M51" s="48">
        <v>217800</v>
      </c>
      <c r="N51" s="48">
        <v>0</v>
      </c>
      <c r="O51" s="192" t="s">
        <v>516</v>
      </c>
      <c r="P51" s="48" t="s">
        <v>517</v>
      </c>
      <c r="Q51" s="67">
        <f t="shared" si="0"/>
        <v>605</v>
      </c>
    </row>
    <row r="52" spans="1:17" ht="75">
      <c r="A52" s="48">
        <v>977644</v>
      </c>
      <c r="B52" s="48">
        <v>117454</v>
      </c>
      <c r="C52" s="48" t="s">
        <v>53</v>
      </c>
      <c r="D52" s="183">
        <v>45728.675694444442</v>
      </c>
      <c r="E52" s="48" t="s">
        <v>19</v>
      </c>
      <c r="F52" s="48" t="s">
        <v>514</v>
      </c>
      <c r="G52" s="48" t="s">
        <v>515</v>
      </c>
      <c r="H52" s="48">
        <v>550</v>
      </c>
      <c r="I52" s="48">
        <v>72</v>
      </c>
      <c r="J52" s="48">
        <v>5</v>
      </c>
      <c r="K52" s="48" t="s">
        <v>56</v>
      </c>
      <c r="L52" s="48">
        <v>198000</v>
      </c>
      <c r="M52" s="48">
        <v>217800</v>
      </c>
      <c r="N52" s="48">
        <v>0</v>
      </c>
      <c r="O52" s="192" t="s">
        <v>516</v>
      </c>
      <c r="P52" s="48" t="s">
        <v>517</v>
      </c>
      <c r="Q52" s="67">
        <f t="shared" si="0"/>
        <v>605</v>
      </c>
    </row>
    <row r="53" spans="1:17" ht="18">
      <c r="A53" s="48">
        <v>975441</v>
      </c>
      <c r="B53" s="48">
        <v>117251</v>
      </c>
      <c r="C53" s="48" t="s">
        <v>53</v>
      </c>
      <c r="D53" s="183">
        <v>45727.470833333333</v>
      </c>
      <c r="E53" s="48" t="s">
        <v>23</v>
      </c>
      <c r="F53" s="48" t="s">
        <v>518</v>
      </c>
      <c r="G53" s="48" t="s">
        <v>519</v>
      </c>
      <c r="H53" s="48">
        <v>1000</v>
      </c>
      <c r="I53" s="48">
        <v>60</v>
      </c>
      <c r="J53" s="48">
        <v>1</v>
      </c>
      <c r="K53" s="48" t="s">
        <v>56</v>
      </c>
      <c r="L53" s="48">
        <v>60000</v>
      </c>
      <c r="M53" s="48">
        <v>66000</v>
      </c>
      <c r="N53" s="48">
        <v>0</v>
      </c>
      <c r="O53" s="48" t="s">
        <v>71</v>
      </c>
      <c r="P53" s="48" t="s">
        <v>491</v>
      </c>
      <c r="Q53" s="67">
        <f t="shared" si="0"/>
        <v>1100</v>
      </c>
    </row>
    <row r="54" spans="1:17" ht="18">
      <c r="A54" s="48">
        <v>962763</v>
      </c>
      <c r="B54" s="48">
        <v>116406</v>
      </c>
      <c r="C54" s="48" t="s">
        <v>53</v>
      </c>
      <c r="D54" s="183">
        <v>45720.330555555556</v>
      </c>
      <c r="E54" s="48" t="s">
        <v>19</v>
      </c>
      <c r="F54" s="48" t="s">
        <v>520</v>
      </c>
      <c r="G54" s="48" t="s">
        <v>521</v>
      </c>
      <c r="H54" s="48">
        <v>240</v>
      </c>
      <c r="I54" s="48">
        <v>30</v>
      </c>
      <c r="J54" s="48">
        <v>10</v>
      </c>
      <c r="K54" s="48" t="s">
        <v>107</v>
      </c>
      <c r="L54" s="48">
        <v>72000</v>
      </c>
      <c r="M54" s="48">
        <v>79200</v>
      </c>
      <c r="N54" s="48">
        <v>0</v>
      </c>
      <c r="O54" s="48" t="s">
        <v>71</v>
      </c>
      <c r="P54" s="48" t="s">
        <v>230</v>
      </c>
      <c r="Q54" s="67">
        <f t="shared" si="0"/>
        <v>264</v>
      </c>
    </row>
    <row r="55" spans="1:17" ht="18">
      <c r="A55" s="48">
        <v>962754</v>
      </c>
      <c r="B55" s="48">
        <v>116405</v>
      </c>
      <c r="C55" s="48" t="s">
        <v>53</v>
      </c>
      <c r="D55" s="183">
        <v>45719.972222222219</v>
      </c>
      <c r="E55" s="48" t="s">
        <v>22</v>
      </c>
      <c r="F55" s="48" t="s">
        <v>520</v>
      </c>
      <c r="G55" s="48" t="s">
        <v>521</v>
      </c>
      <c r="H55" s="48">
        <v>240</v>
      </c>
      <c r="I55" s="48">
        <v>30</v>
      </c>
      <c r="J55" s="48">
        <v>5</v>
      </c>
      <c r="K55" s="48" t="s">
        <v>107</v>
      </c>
      <c r="L55" s="48">
        <v>36000</v>
      </c>
      <c r="M55" s="48">
        <v>39600</v>
      </c>
      <c r="N55" s="48">
        <v>0</v>
      </c>
      <c r="O55" s="48" t="s">
        <v>71</v>
      </c>
      <c r="P55" s="48" t="s">
        <v>230</v>
      </c>
      <c r="Q55" s="67">
        <f t="shared" si="0"/>
        <v>264</v>
      </c>
    </row>
    <row r="56" spans="1:17" ht="18">
      <c r="A56" s="48">
        <v>962753</v>
      </c>
      <c r="B56" s="48">
        <v>116405</v>
      </c>
      <c r="C56" s="48" t="s">
        <v>53</v>
      </c>
      <c r="D56" s="183">
        <v>45719.972222222219</v>
      </c>
      <c r="E56" s="48" t="s">
        <v>22</v>
      </c>
      <c r="F56" s="48" t="s">
        <v>522</v>
      </c>
      <c r="G56" s="48" t="s">
        <v>523</v>
      </c>
      <c r="H56" s="48">
        <v>300</v>
      </c>
      <c r="I56" s="48">
        <v>20</v>
      </c>
      <c r="J56" s="48">
        <v>1</v>
      </c>
      <c r="K56" s="48" t="s">
        <v>107</v>
      </c>
      <c r="L56" s="48">
        <v>6000</v>
      </c>
      <c r="M56" s="48">
        <v>6600</v>
      </c>
      <c r="N56" s="48">
        <v>0</v>
      </c>
      <c r="O56" s="48" t="s">
        <v>71</v>
      </c>
      <c r="P56" s="48" t="s">
        <v>524</v>
      </c>
      <c r="Q56" s="67">
        <f t="shared" si="0"/>
        <v>330</v>
      </c>
    </row>
    <row r="57" spans="1:17" ht="18">
      <c r="A57" s="48">
        <v>962734</v>
      </c>
      <c r="B57" s="48">
        <v>116403</v>
      </c>
      <c r="C57" s="48" t="s">
        <v>53</v>
      </c>
      <c r="D57" s="183">
        <v>45719.970138888886</v>
      </c>
      <c r="E57" s="48" t="s">
        <v>23</v>
      </c>
      <c r="F57" s="48" t="s">
        <v>520</v>
      </c>
      <c r="G57" s="48" t="s">
        <v>521</v>
      </c>
      <c r="H57" s="48">
        <v>240</v>
      </c>
      <c r="I57" s="48">
        <v>30</v>
      </c>
      <c r="J57" s="48">
        <v>5</v>
      </c>
      <c r="K57" s="48" t="s">
        <v>107</v>
      </c>
      <c r="L57" s="48">
        <v>36000</v>
      </c>
      <c r="M57" s="48">
        <v>39600</v>
      </c>
      <c r="N57" s="48">
        <v>0</v>
      </c>
      <c r="O57" s="48" t="s">
        <v>71</v>
      </c>
      <c r="P57" s="48" t="s">
        <v>230</v>
      </c>
      <c r="Q57" s="67">
        <f t="shared" si="0"/>
        <v>264</v>
      </c>
    </row>
    <row r="58" spans="1:17" ht="18">
      <c r="A58" s="48">
        <v>955178</v>
      </c>
      <c r="B58" s="48">
        <v>115565</v>
      </c>
      <c r="C58" s="48" t="s">
        <v>53</v>
      </c>
      <c r="D58" s="183">
        <v>45713.636111111111</v>
      </c>
      <c r="E58" s="48" t="s">
        <v>22</v>
      </c>
      <c r="F58" s="48" t="s">
        <v>525</v>
      </c>
      <c r="G58" s="48" t="s">
        <v>526</v>
      </c>
      <c r="H58" s="48">
        <v>1000</v>
      </c>
      <c r="I58" s="48">
        <v>60</v>
      </c>
      <c r="J58" s="48">
        <v>2</v>
      </c>
      <c r="K58" s="48" t="s">
        <v>56</v>
      </c>
      <c r="L58" s="48">
        <v>120000</v>
      </c>
      <c r="M58" s="48">
        <v>132000</v>
      </c>
      <c r="N58" s="48">
        <v>0</v>
      </c>
      <c r="O58" s="48" t="s">
        <v>71</v>
      </c>
      <c r="P58" s="48" t="s">
        <v>527</v>
      </c>
      <c r="Q58" s="67">
        <f t="shared" si="0"/>
        <v>1100</v>
      </c>
    </row>
    <row r="59" spans="1:17" ht="30">
      <c r="A59" s="48">
        <v>955132</v>
      </c>
      <c r="B59" s="48">
        <v>115552</v>
      </c>
      <c r="C59" s="48" t="s">
        <v>53</v>
      </c>
      <c r="D59" s="183">
        <v>45713.595138888886</v>
      </c>
      <c r="E59" s="48" t="s">
        <v>122</v>
      </c>
      <c r="F59" s="48" t="s">
        <v>528</v>
      </c>
      <c r="G59" s="48" t="s">
        <v>529</v>
      </c>
      <c r="H59" s="48">
        <v>720</v>
      </c>
      <c r="I59" s="48">
        <v>84</v>
      </c>
      <c r="J59" s="48">
        <v>1</v>
      </c>
      <c r="K59" s="48" t="s">
        <v>56</v>
      </c>
      <c r="L59" s="48">
        <v>60480</v>
      </c>
      <c r="M59" s="48">
        <v>66528</v>
      </c>
      <c r="N59" s="48">
        <v>0</v>
      </c>
      <c r="O59" s="192" t="s">
        <v>530</v>
      </c>
      <c r="P59" s="48" t="s">
        <v>531</v>
      </c>
      <c r="Q59" s="67">
        <f t="shared" si="0"/>
        <v>792</v>
      </c>
    </row>
    <row r="60" spans="1:17" ht="30">
      <c r="A60" s="48">
        <v>955130</v>
      </c>
      <c r="B60" s="48">
        <v>115551</v>
      </c>
      <c r="C60" s="48" t="s">
        <v>53</v>
      </c>
      <c r="D60" s="183">
        <v>45713.594444444447</v>
      </c>
      <c r="E60" s="48" t="s">
        <v>23</v>
      </c>
      <c r="F60" s="48" t="s">
        <v>528</v>
      </c>
      <c r="G60" s="48" t="s">
        <v>529</v>
      </c>
      <c r="H60" s="48">
        <v>720</v>
      </c>
      <c r="I60" s="48">
        <v>84</v>
      </c>
      <c r="J60" s="48">
        <v>1</v>
      </c>
      <c r="K60" s="48" t="s">
        <v>56</v>
      </c>
      <c r="L60" s="48">
        <v>60480</v>
      </c>
      <c r="M60" s="48">
        <v>66528</v>
      </c>
      <c r="N60" s="48">
        <v>0</v>
      </c>
      <c r="O60" s="192" t="s">
        <v>532</v>
      </c>
      <c r="P60" s="48" t="s">
        <v>531</v>
      </c>
      <c r="Q60" s="67">
        <f t="shared" si="0"/>
        <v>792</v>
      </c>
    </row>
    <row r="61" spans="1:17" ht="30">
      <c r="A61" s="48">
        <v>955129</v>
      </c>
      <c r="B61" s="48">
        <v>115550</v>
      </c>
      <c r="C61" s="48" t="s">
        <v>53</v>
      </c>
      <c r="D61" s="183">
        <v>45713.594444444447</v>
      </c>
      <c r="E61" s="48" t="s">
        <v>19</v>
      </c>
      <c r="F61" s="48" t="s">
        <v>528</v>
      </c>
      <c r="G61" s="48" t="s">
        <v>529</v>
      </c>
      <c r="H61" s="48">
        <v>720</v>
      </c>
      <c r="I61" s="48">
        <v>84</v>
      </c>
      <c r="J61" s="48">
        <v>2</v>
      </c>
      <c r="K61" s="48" t="s">
        <v>56</v>
      </c>
      <c r="L61" s="48">
        <v>120960</v>
      </c>
      <c r="M61" s="48">
        <v>133056</v>
      </c>
      <c r="N61" s="48">
        <v>0</v>
      </c>
      <c r="O61" s="192" t="s">
        <v>533</v>
      </c>
      <c r="P61" s="48" t="s">
        <v>531</v>
      </c>
      <c r="Q61" s="67">
        <f t="shared" si="0"/>
        <v>792</v>
      </c>
    </row>
    <row r="62" spans="1:17" ht="30">
      <c r="A62" s="48">
        <v>955056</v>
      </c>
      <c r="B62" s="48">
        <v>115540</v>
      </c>
      <c r="C62" s="48" t="s">
        <v>53</v>
      </c>
      <c r="D62" s="183">
        <v>45713.59375</v>
      </c>
      <c r="E62" s="48" t="s">
        <v>22</v>
      </c>
      <c r="F62" s="48" t="s">
        <v>528</v>
      </c>
      <c r="G62" s="48" t="s">
        <v>529</v>
      </c>
      <c r="H62" s="48">
        <v>720</v>
      </c>
      <c r="I62" s="48">
        <v>84</v>
      </c>
      <c r="J62" s="48">
        <v>1</v>
      </c>
      <c r="K62" s="48" t="s">
        <v>56</v>
      </c>
      <c r="L62" s="48">
        <v>60480</v>
      </c>
      <c r="M62" s="48">
        <v>66528</v>
      </c>
      <c r="N62" s="48">
        <v>0</v>
      </c>
      <c r="O62" s="192" t="s">
        <v>534</v>
      </c>
      <c r="P62" s="48" t="s">
        <v>531</v>
      </c>
      <c r="Q62" s="67">
        <f t="shared" si="0"/>
        <v>792</v>
      </c>
    </row>
    <row r="63" spans="1:17" ht="18">
      <c r="A63" s="48">
        <v>946412</v>
      </c>
      <c r="B63" s="48">
        <v>114342</v>
      </c>
      <c r="C63" s="48" t="s">
        <v>53</v>
      </c>
      <c r="D63" s="183">
        <v>45703.800694444442</v>
      </c>
      <c r="E63" s="48" t="s">
        <v>122</v>
      </c>
      <c r="F63" s="48" t="s">
        <v>535</v>
      </c>
      <c r="G63" s="48" t="s">
        <v>536</v>
      </c>
      <c r="H63" s="48">
        <v>480</v>
      </c>
      <c r="I63" s="48">
        <v>120</v>
      </c>
      <c r="J63" s="48">
        <v>2</v>
      </c>
      <c r="K63" s="48" t="s">
        <v>56</v>
      </c>
      <c r="L63" s="48">
        <v>115200</v>
      </c>
      <c r="M63" s="48">
        <v>126720</v>
      </c>
      <c r="N63" s="48">
        <v>0</v>
      </c>
      <c r="O63" s="48" t="s">
        <v>71</v>
      </c>
      <c r="P63" s="48" t="s">
        <v>527</v>
      </c>
      <c r="Q63" s="67">
        <f t="shared" si="0"/>
        <v>528</v>
      </c>
    </row>
    <row r="64" spans="1:17" ht="18">
      <c r="A64" s="48">
        <v>946411</v>
      </c>
      <c r="B64" s="48">
        <v>114341</v>
      </c>
      <c r="C64" s="48" t="s">
        <v>53</v>
      </c>
      <c r="D64" s="183">
        <v>45703.8</v>
      </c>
      <c r="E64" s="48" t="s">
        <v>22</v>
      </c>
      <c r="F64" s="48" t="s">
        <v>535</v>
      </c>
      <c r="G64" s="48" t="s">
        <v>536</v>
      </c>
      <c r="H64" s="48">
        <v>480</v>
      </c>
      <c r="I64" s="48">
        <v>120</v>
      </c>
      <c r="J64" s="48">
        <v>2</v>
      </c>
      <c r="K64" s="48" t="s">
        <v>56</v>
      </c>
      <c r="L64" s="48">
        <v>115200</v>
      </c>
      <c r="M64" s="48">
        <v>126720</v>
      </c>
      <c r="N64" s="48">
        <v>0</v>
      </c>
      <c r="O64" s="48" t="s">
        <v>71</v>
      </c>
      <c r="P64" s="48" t="s">
        <v>527</v>
      </c>
      <c r="Q64" s="67">
        <f t="shared" si="0"/>
        <v>528</v>
      </c>
    </row>
    <row r="65" spans="1:17" ht="18">
      <c r="A65" s="48">
        <v>946410</v>
      </c>
      <c r="B65" s="48">
        <v>114340</v>
      </c>
      <c r="C65" s="48" t="s">
        <v>53</v>
      </c>
      <c r="D65" s="183">
        <v>45703.799305555556</v>
      </c>
      <c r="E65" s="48" t="s">
        <v>23</v>
      </c>
      <c r="F65" s="48" t="s">
        <v>535</v>
      </c>
      <c r="G65" s="48" t="s">
        <v>536</v>
      </c>
      <c r="H65" s="48">
        <v>480</v>
      </c>
      <c r="I65" s="48">
        <v>120</v>
      </c>
      <c r="J65" s="48">
        <v>2</v>
      </c>
      <c r="K65" s="48" t="s">
        <v>56</v>
      </c>
      <c r="L65" s="48">
        <v>115200</v>
      </c>
      <c r="M65" s="48">
        <v>126720</v>
      </c>
      <c r="N65" s="48">
        <v>0</v>
      </c>
      <c r="O65" s="48" t="s">
        <v>71</v>
      </c>
      <c r="P65" s="48" t="s">
        <v>527</v>
      </c>
      <c r="Q65" s="67">
        <f t="shared" si="0"/>
        <v>528</v>
      </c>
    </row>
    <row r="66" spans="1:17" ht="18">
      <c r="A66" s="48">
        <v>946405</v>
      </c>
      <c r="B66" s="48">
        <v>114338</v>
      </c>
      <c r="C66" s="48" t="s">
        <v>53</v>
      </c>
      <c r="D66" s="183">
        <v>45703.798611111109</v>
      </c>
      <c r="E66" s="48" t="s">
        <v>19</v>
      </c>
      <c r="F66" s="48" t="s">
        <v>535</v>
      </c>
      <c r="G66" s="48" t="s">
        <v>536</v>
      </c>
      <c r="H66" s="48">
        <v>480</v>
      </c>
      <c r="I66" s="48">
        <v>120</v>
      </c>
      <c r="J66" s="48">
        <v>3</v>
      </c>
      <c r="K66" s="48" t="s">
        <v>56</v>
      </c>
      <c r="L66" s="48">
        <v>172800</v>
      </c>
      <c r="M66" s="48">
        <v>190080</v>
      </c>
      <c r="N66" s="48">
        <v>0</v>
      </c>
      <c r="O66" s="48" t="s">
        <v>71</v>
      </c>
      <c r="P66" s="48" t="s">
        <v>527</v>
      </c>
      <c r="Q66" s="67">
        <f t="shared" si="0"/>
        <v>528</v>
      </c>
    </row>
    <row r="67" spans="1:17" ht="18">
      <c r="A67" s="48">
        <v>944554</v>
      </c>
      <c r="B67" s="48">
        <v>113737</v>
      </c>
      <c r="C67" s="48" t="s">
        <v>53</v>
      </c>
      <c r="D67" s="183">
        <v>45702.486111111109</v>
      </c>
      <c r="E67" s="48" t="s">
        <v>22</v>
      </c>
      <c r="F67" s="48" t="s">
        <v>525</v>
      </c>
      <c r="G67" s="48" t="s">
        <v>526</v>
      </c>
      <c r="H67" s="48">
        <v>1000</v>
      </c>
      <c r="I67" s="48">
        <v>60</v>
      </c>
      <c r="J67" s="48">
        <v>1</v>
      </c>
      <c r="K67" s="48" t="s">
        <v>56</v>
      </c>
      <c r="L67" s="48">
        <v>60000</v>
      </c>
      <c r="M67" s="48">
        <v>66000</v>
      </c>
      <c r="N67" s="48">
        <v>0</v>
      </c>
      <c r="O67" s="48" t="s">
        <v>71</v>
      </c>
      <c r="P67" s="48" t="s">
        <v>527</v>
      </c>
      <c r="Q67" s="67">
        <f t="shared" si="0"/>
        <v>1100</v>
      </c>
    </row>
    <row r="68" spans="1:17" ht="60">
      <c r="A68" s="48">
        <v>904995</v>
      </c>
      <c r="B68" s="48">
        <v>109791</v>
      </c>
      <c r="C68" s="48" t="s">
        <v>59</v>
      </c>
      <c r="D68" s="183">
        <v>45663.345138888886</v>
      </c>
      <c r="E68" s="48" t="s">
        <v>537</v>
      </c>
      <c r="F68" s="48" t="s">
        <v>538</v>
      </c>
      <c r="G68" s="48" t="s">
        <v>539</v>
      </c>
      <c r="H68" s="48">
        <v>180</v>
      </c>
      <c r="I68" s="48">
        <v>40</v>
      </c>
      <c r="J68" s="48">
        <v>2</v>
      </c>
      <c r="K68" s="48" t="s">
        <v>107</v>
      </c>
      <c r="L68" s="48">
        <v>14400</v>
      </c>
      <c r="M68" s="48">
        <v>15840</v>
      </c>
      <c r="N68" s="48">
        <v>480</v>
      </c>
      <c r="O68" s="192" t="s">
        <v>540</v>
      </c>
      <c r="P68" s="48" t="s">
        <v>541</v>
      </c>
      <c r="Q68" s="67">
        <f t="shared" ref="Q68:Q71" si="1">(M68+N68*1.1)/(I68*J68)</f>
        <v>204.6</v>
      </c>
    </row>
    <row r="69" spans="1:17" ht="18.75">
      <c r="A69" s="7"/>
      <c r="B69" s="30"/>
      <c r="C69" s="8"/>
      <c r="D69" s="24"/>
      <c r="E69" s="19"/>
      <c r="F69" s="8"/>
      <c r="G69" s="19"/>
      <c r="H69" s="9"/>
      <c r="I69" s="9"/>
      <c r="J69" s="64"/>
      <c r="K69" s="9"/>
      <c r="L69" s="39"/>
      <c r="M69" s="46"/>
      <c r="N69" s="189"/>
      <c r="O69" s="190"/>
      <c r="P69" s="191"/>
      <c r="Q69" s="67" t="e">
        <f t="shared" si="1"/>
        <v>#DIV/0!</v>
      </c>
    </row>
    <row r="70" spans="1:17" ht="18.75">
      <c r="A70" s="137"/>
      <c r="B70" s="28"/>
      <c r="C70" s="5"/>
      <c r="D70" s="22"/>
      <c r="E70" s="17"/>
      <c r="F70" s="5"/>
      <c r="G70" s="17"/>
      <c r="H70" s="6"/>
      <c r="I70" s="6"/>
      <c r="J70" s="62"/>
      <c r="K70" s="6"/>
      <c r="L70" s="36"/>
      <c r="M70" s="46"/>
      <c r="N70" s="53"/>
      <c r="O70" s="48"/>
      <c r="P70" s="51"/>
      <c r="Q70" s="67" t="e">
        <f t="shared" si="1"/>
        <v>#DIV/0!</v>
      </c>
    </row>
    <row r="71" spans="1:17" ht="18.75">
      <c r="A71" s="137"/>
      <c r="B71" s="28"/>
      <c r="C71" s="5"/>
      <c r="D71" s="22"/>
      <c r="E71" s="17"/>
      <c r="F71" s="5"/>
      <c r="G71" s="17"/>
      <c r="H71" s="6"/>
      <c r="I71" s="6"/>
      <c r="J71" s="62"/>
      <c r="K71" s="6"/>
      <c r="L71" s="36"/>
      <c r="M71" s="46"/>
      <c r="N71" s="53"/>
      <c r="O71" s="48"/>
      <c r="P71" s="51"/>
      <c r="Q71" s="67" t="e">
        <f t="shared" si="1"/>
        <v>#DIV/0!</v>
      </c>
    </row>
    <row r="72" spans="1:17" ht="18.75">
      <c r="A72" s="137"/>
      <c r="B72" s="28"/>
      <c r="C72" s="5"/>
      <c r="D72" s="22"/>
      <c r="E72" s="17"/>
      <c r="F72" s="5"/>
      <c r="G72" s="17"/>
      <c r="H72" s="6"/>
      <c r="I72" s="6"/>
      <c r="J72" s="62"/>
      <c r="K72" s="6"/>
      <c r="L72" s="36"/>
      <c r="M72" s="46"/>
      <c r="N72" s="53"/>
      <c r="O72" s="48"/>
      <c r="P72" s="51"/>
      <c r="Q72" s="67"/>
    </row>
    <row r="73" spans="1:17" ht="18.75">
      <c r="A73" s="10"/>
      <c r="B73" s="138"/>
      <c r="C73" s="134"/>
      <c r="D73" s="139"/>
      <c r="E73" s="135"/>
      <c r="F73" s="134"/>
      <c r="G73" s="135"/>
      <c r="H73" s="16"/>
      <c r="I73" s="16"/>
      <c r="J73" s="136"/>
      <c r="K73" s="16"/>
      <c r="L73" s="140"/>
      <c r="M73" s="45"/>
      <c r="N73" s="53"/>
      <c r="O73" s="48"/>
      <c r="P73" s="51"/>
      <c r="Q73" s="67"/>
    </row>
    <row r="74" spans="1:17" ht="18.75">
      <c r="A74" s="5"/>
      <c r="B74" s="28"/>
      <c r="C74" s="5"/>
      <c r="D74" s="22"/>
      <c r="E74" s="17"/>
      <c r="F74" s="5"/>
      <c r="G74" s="17"/>
      <c r="H74" s="6"/>
      <c r="I74" s="6"/>
      <c r="J74" s="62"/>
      <c r="K74" s="6"/>
      <c r="L74" s="36"/>
      <c r="M74" s="42"/>
      <c r="N74" s="53"/>
      <c r="O74" s="48"/>
      <c r="P74" s="51"/>
      <c r="Q74" s="67"/>
    </row>
    <row r="75" spans="1:17" ht="18.75">
      <c r="A75" s="1"/>
      <c r="B75" s="26"/>
      <c r="C75" s="1"/>
      <c r="D75" s="20"/>
      <c r="E75" s="1"/>
      <c r="F75" s="1"/>
      <c r="G75" s="32"/>
      <c r="H75" s="2"/>
      <c r="I75" s="2"/>
      <c r="J75" s="60"/>
      <c r="K75" s="2"/>
      <c r="L75" s="34"/>
      <c r="M75" s="34">
        <f>SUM(M3:N74)</f>
        <v>5102457</v>
      </c>
      <c r="N75" s="34"/>
      <c r="O75" s="131"/>
    </row>
    <row r="76" spans="1:17" ht="18.75">
      <c r="A76" s="1"/>
      <c r="B76" s="26"/>
      <c r="C76" s="1"/>
      <c r="D76" s="20"/>
      <c r="E76" s="1"/>
      <c r="F76" s="1"/>
      <c r="G76" s="32"/>
      <c r="H76" s="2"/>
      <c r="I76" s="2"/>
      <c r="J76" s="60"/>
      <c r="K76" s="2"/>
      <c r="L76" s="34"/>
      <c r="M76" s="34"/>
    </row>
    <row r="77" spans="1:17" ht="18">
      <c r="A77" s="122" t="s">
        <v>18</v>
      </c>
      <c r="B77" s="123"/>
      <c r="C77" s="122"/>
      <c r="D77" s="124">
        <v>45742</v>
      </c>
      <c r="E77" s="132" t="s">
        <v>32</v>
      </c>
      <c r="F77" s="122"/>
      <c r="G77" s="132" t="s">
        <v>542</v>
      </c>
      <c r="H77" s="125">
        <v>920</v>
      </c>
      <c r="I77" s="125">
        <v>72</v>
      </c>
      <c r="J77" s="126">
        <v>2</v>
      </c>
      <c r="K77" s="125"/>
      <c r="L77" s="95">
        <f>H77*I77*J77</f>
        <v>132480</v>
      </c>
      <c r="M77" s="95">
        <f>L77*1.1</f>
        <v>145728</v>
      </c>
      <c r="N77" s="56"/>
      <c r="O77" s="48"/>
      <c r="P77" s="59"/>
      <c r="Q77" s="67">
        <f t="shared" ref="Q77:Q96" si="2">(M77+N77*1.1)/(I77*J77)</f>
        <v>1012</v>
      </c>
    </row>
    <row r="78" spans="1:17" ht="18">
      <c r="A78" s="122"/>
      <c r="B78" s="123"/>
      <c r="C78" s="122"/>
      <c r="D78" s="124">
        <v>45742</v>
      </c>
      <c r="E78" s="132" t="s">
        <v>34</v>
      </c>
      <c r="F78" s="122"/>
      <c r="G78" s="132" t="s">
        <v>542</v>
      </c>
      <c r="H78" s="125">
        <v>920</v>
      </c>
      <c r="I78" s="125">
        <v>72</v>
      </c>
      <c r="J78" s="126">
        <v>2</v>
      </c>
      <c r="K78" s="125"/>
      <c r="L78" s="95">
        <f t="shared" ref="L78:L92" si="3">H78*I78*J78</f>
        <v>132480</v>
      </c>
      <c r="M78" s="95">
        <f>L78*1.1</f>
        <v>145728</v>
      </c>
      <c r="N78" s="56"/>
      <c r="O78" s="49"/>
      <c r="P78" s="59"/>
      <c r="Q78" s="67">
        <f t="shared" si="2"/>
        <v>1012</v>
      </c>
    </row>
    <row r="79" spans="1:17" ht="18">
      <c r="A79" s="122"/>
      <c r="B79" s="123"/>
      <c r="C79" s="122"/>
      <c r="D79" s="124">
        <v>45742</v>
      </c>
      <c r="E79" s="132" t="s">
        <v>543</v>
      </c>
      <c r="F79" s="122"/>
      <c r="G79" s="132" t="s">
        <v>542</v>
      </c>
      <c r="H79" s="125">
        <v>920</v>
      </c>
      <c r="I79" s="125">
        <v>72</v>
      </c>
      <c r="J79" s="126">
        <v>2</v>
      </c>
      <c r="K79" s="125"/>
      <c r="L79" s="95">
        <f t="shared" si="3"/>
        <v>132480</v>
      </c>
      <c r="M79" s="95">
        <f>L79*1.1</f>
        <v>145728</v>
      </c>
      <c r="N79" s="56"/>
      <c r="O79" s="49"/>
      <c r="P79" s="59"/>
      <c r="Q79" s="67">
        <f t="shared" si="2"/>
        <v>1012</v>
      </c>
    </row>
    <row r="80" spans="1:17" ht="18">
      <c r="A80" s="122"/>
      <c r="B80" s="123"/>
      <c r="C80" s="122"/>
      <c r="D80" s="124">
        <v>45742</v>
      </c>
      <c r="E80" s="132" t="s">
        <v>427</v>
      </c>
      <c r="F80" s="122"/>
      <c r="G80" s="132" t="s">
        <v>542</v>
      </c>
      <c r="H80" s="125">
        <v>920</v>
      </c>
      <c r="I80" s="125">
        <v>72</v>
      </c>
      <c r="J80" s="126">
        <v>1</v>
      </c>
      <c r="K80" s="125"/>
      <c r="L80" s="95">
        <f t="shared" si="3"/>
        <v>66240</v>
      </c>
      <c r="M80" s="95">
        <f t="shared" ref="M80:M95" si="4">L80*1.1</f>
        <v>72864</v>
      </c>
      <c r="N80" s="56"/>
      <c r="O80" s="49"/>
      <c r="P80" s="59"/>
      <c r="Q80" s="67">
        <f t="shared" si="2"/>
        <v>1012</v>
      </c>
    </row>
    <row r="81" spans="1:17" ht="18">
      <c r="A81" s="122"/>
      <c r="B81" s="123"/>
      <c r="C81" s="122"/>
      <c r="D81" s="124">
        <v>45804</v>
      </c>
      <c r="E81" s="132" t="s">
        <v>32</v>
      </c>
      <c r="F81" s="122"/>
      <c r="G81" s="132" t="s">
        <v>544</v>
      </c>
      <c r="H81" s="125">
        <v>660</v>
      </c>
      <c r="I81" s="125">
        <v>50</v>
      </c>
      <c r="J81" s="126">
        <v>1</v>
      </c>
      <c r="K81" s="125"/>
      <c r="L81" s="95">
        <f t="shared" si="3"/>
        <v>33000</v>
      </c>
      <c r="M81" s="95">
        <f t="shared" si="4"/>
        <v>36300</v>
      </c>
      <c r="N81" s="56"/>
      <c r="O81" s="49"/>
      <c r="P81" s="59"/>
      <c r="Q81" s="67">
        <f t="shared" si="2"/>
        <v>726</v>
      </c>
    </row>
    <row r="82" spans="1:17" ht="18">
      <c r="A82" s="122"/>
      <c r="B82" s="123"/>
      <c r="C82" s="122"/>
      <c r="D82" s="124">
        <v>45804</v>
      </c>
      <c r="E82" s="132" t="s">
        <v>427</v>
      </c>
      <c r="F82" s="122"/>
      <c r="G82" s="132" t="s">
        <v>545</v>
      </c>
      <c r="H82" s="125">
        <v>580</v>
      </c>
      <c r="I82" s="125">
        <v>48</v>
      </c>
      <c r="J82" s="126">
        <v>1</v>
      </c>
      <c r="K82" s="125"/>
      <c r="L82" s="95">
        <f t="shared" si="3"/>
        <v>27840</v>
      </c>
      <c r="M82" s="95">
        <f t="shared" si="4"/>
        <v>30624.000000000004</v>
      </c>
      <c r="N82" s="56"/>
      <c r="O82" s="49"/>
      <c r="P82" s="59"/>
      <c r="Q82" s="67">
        <f t="shared" si="2"/>
        <v>638.00000000000011</v>
      </c>
    </row>
    <row r="83" spans="1:17" ht="18">
      <c r="A83" s="122"/>
      <c r="B83" s="123"/>
      <c r="C83" s="122"/>
      <c r="D83" s="124">
        <v>45806</v>
      </c>
      <c r="E83" s="132" t="s">
        <v>427</v>
      </c>
      <c r="F83" s="122"/>
      <c r="G83" s="132" t="s">
        <v>546</v>
      </c>
      <c r="H83" s="125">
        <v>780</v>
      </c>
      <c r="I83" s="125">
        <v>72</v>
      </c>
      <c r="J83" s="126">
        <v>1</v>
      </c>
      <c r="K83" s="125"/>
      <c r="L83" s="95">
        <f t="shared" si="3"/>
        <v>56160</v>
      </c>
      <c r="M83" s="95">
        <f t="shared" si="4"/>
        <v>61776.000000000007</v>
      </c>
      <c r="N83" s="56"/>
      <c r="O83" s="49"/>
      <c r="P83" s="59"/>
      <c r="Q83" s="67">
        <f t="shared" si="2"/>
        <v>858.00000000000011</v>
      </c>
    </row>
    <row r="84" spans="1:17" ht="18">
      <c r="A84" s="122"/>
      <c r="B84" s="123"/>
      <c r="C84" s="122"/>
      <c r="D84" s="124">
        <v>45791</v>
      </c>
      <c r="E84" s="132" t="s">
        <v>34</v>
      </c>
      <c r="F84" s="122"/>
      <c r="G84" s="132" t="s">
        <v>429</v>
      </c>
      <c r="H84" s="125">
        <v>1000</v>
      </c>
      <c r="I84" s="125">
        <v>72</v>
      </c>
      <c r="J84" s="126">
        <v>2</v>
      </c>
      <c r="K84" s="125"/>
      <c r="L84" s="95">
        <f t="shared" si="3"/>
        <v>144000</v>
      </c>
      <c r="M84" s="95">
        <f t="shared" si="4"/>
        <v>158400</v>
      </c>
      <c r="N84" s="56"/>
      <c r="O84" s="49"/>
      <c r="P84" s="59"/>
      <c r="Q84" s="67">
        <f t="shared" si="2"/>
        <v>1100</v>
      </c>
    </row>
    <row r="85" spans="1:17" ht="18">
      <c r="A85" s="122"/>
      <c r="B85" s="123"/>
      <c r="C85" s="122"/>
      <c r="D85" s="124">
        <v>45791</v>
      </c>
      <c r="E85" s="132" t="s">
        <v>427</v>
      </c>
      <c r="F85" s="122"/>
      <c r="G85" s="132" t="s">
        <v>429</v>
      </c>
      <c r="H85" s="125">
        <v>1000</v>
      </c>
      <c r="I85" s="125">
        <v>72</v>
      </c>
      <c r="J85" s="126">
        <v>1</v>
      </c>
      <c r="K85" s="125"/>
      <c r="L85" s="95">
        <f t="shared" si="3"/>
        <v>72000</v>
      </c>
      <c r="M85" s="95">
        <f t="shared" si="4"/>
        <v>79200</v>
      </c>
      <c r="N85" s="56"/>
      <c r="O85" s="49"/>
      <c r="P85" s="59"/>
      <c r="Q85" s="67">
        <f t="shared" si="2"/>
        <v>1100</v>
      </c>
    </row>
    <row r="86" spans="1:17" ht="18">
      <c r="A86" s="122"/>
      <c r="B86" s="123"/>
      <c r="C86" s="122"/>
      <c r="D86" s="124">
        <v>45791</v>
      </c>
      <c r="E86" s="132" t="s">
        <v>428</v>
      </c>
      <c r="F86" s="122"/>
      <c r="G86" s="132" t="s">
        <v>429</v>
      </c>
      <c r="H86" s="125">
        <v>1000</v>
      </c>
      <c r="I86" s="125">
        <v>72</v>
      </c>
      <c r="J86" s="126">
        <v>1</v>
      </c>
      <c r="K86" s="125"/>
      <c r="L86" s="95">
        <f t="shared" si="3"/>
        <v>72000</v>
      </c>
      <c r="M86" s="95">
        <f t="shared" si="4"/>
        <v>79200</v>
      </c>
      <c r="N86" s="56"/>
      <c r="O86" s="49"/>
      <c r="P86" s="59"/>
      <c r="Q86" s="67">
        <f t="shared" si="2"/>
        <v>1100</v>
      </c>
    </row>
    <row r="87" spans="1:17" ht="18">
      <c r="A87" s="122"/>
      <c r="B87" s="123"/>
      <c r="C87" s="122"/>
      <c r="D87" s="124">
        <v>45810</v>
      </c>
      <c r="E87" s="132" t="s">
        <v>32</v>
      </c>
      <c r="F87" s="122"/>
      <c r="G87" s="132" t="s">
        <v>547</v>
      </c>
      <c r="H87" s="125">
        <v>660</v>
      </c>
      <c r="I87" s="125">
        <v>100</v>
      </c>
      <c r="J87" s="126">
        <v>1</v>
      </c>
      <c r="K87" s="125"/>
      <c r="L87" s="95">
        <f>H87*I87*J87</f>
        <v>66000</v>
      </c>
      <c r="M87" s="95">
        <f t="shared" si="4"/>
        <v>72600</v>
      </c>
      <c r="N87" s="56"/>
      <c r="O87" s="49"/>
      <c r="P87" s="59"/>
      <c r="Q87" s="67">
        <f t="shared" si="2"/>
        <v>726</v>
      </c>
    </row>
    <row r="88" spans="1:17" ht="18">
      <c r="A88" s="122"/>
      <c r="B88" s="123"/>
      <c r="C88" s="122"/>
      <c r="D88" s="124">
        <v>45810</v>
      </c>
      <c r="E88" s="132" t="s">
        <v>32</v>
      </c>
      <c r="F88" s="122"/>
      <c r="G88" s="132" t="s">
        <v>430</v>
      </c>
      <c r="H88" s="125">
        <v>800</v>
      </c>
      <c r="I88" s="125">
        <v>100</v>
      </c>
      <c r="J88" s="126">
        <v>1</v>
      </c>
      <c r="K88" s="125"/>
      <c r="L88" s="95">
        <f>H88*I88*J88</f>
        <v>80000</v>
      </c>
      <c r="M88" s="95">
        <f t="shared" si="4"/>
        <v>88000</v>
      </c>
      <c r="N88" s="56"/>
      <c r="O88" s="49"/>
      <c r="P88" s="59"/>
      <c r="Q88" s="67">
        <f t="shared" si="2"/>
        <v>880</v>
      </c>
    </row>
    <row r="89" spans="1:17" ht="18.75">
      <c r="A89" s="122"/>
      <c r="B89" s="123"/>
      <c r="C89" s="122"/>
      <c r="D89" s="124">
        <v>45816</v>
      </c>
      <c r="E89" s="18" t="s">
        <v>34</v>
      </c>
      <c r="F89" s="122"/>
      <c r="G89" s="132" t="s">
        <v>548</v>
      </c>
      <c r="H89" s="125">
        <v>260</v>
      </c>
      <c r="I89" s="125">
        <v>240</v>
      </c>
      <c r="J89" s="126">
        <v>1</v>
      </c>
      <c r="K89" s="125"/>
      <c r="L89" s="95">
        <f t="shared" si="3"/>
        <v>62400</v>
      </c>
      <c r="M89" s="95">
        <f t="shared" si="4"/>
        <v>68640</v>
      </c>
      <c r="N89" s="56"/>
      <c r="O89" s="49"/>
      <c r="P89" s="59"/>
      <c r="Q89" s="67">
        <f t="shared" si="2"/>
        <v>286</v>
      </c>
    </row>
    <row r="90" spans="1:17" ht="18.75">
      <c r="A90" s="122"/>
      <c r="B90" s="123"/>
      <c r="C90" s="122"/>
      <c r="D90" s="124">
        <v>45816</v>
      </c>
      <c r="E90" s="18" t="s">
        <v>34</v>
      </c>
      <c r="F90" s="122"/>
      <c r="G90" s="132" t="s">
        <v>549</v>
      </c>
      <c r="H90" s="125">
        <v>270</v>
      </c>
      <c r="I90" s="125">
        <v>200</v>
      </c>
      <c r="J90" s="126">
        <v>1</v>
      </c>
      <c r="K90" s="125"/>
      <c r="L90" s="95">
        <f t="shared" si="3"/>
        <v>54000</v>
      </c>
      <c r="M90" s="95">
        <f t="shared" si="4"/>
        <v>59400.000000000007</v>
      </c>
      <c r="N90" s="56"/>
      <c r="O90" s="49"/>
      <c r="P90" s="59"/>
      <c r="Q90" s="67">
        <f t="shared" si="2"/>
        <v>297.00000000000006</v>
      </c>
    </row>
    <row r="91" spans="1:17" ht="18.75">
      <c r="A91" s="122"/>
      <c r="B91" s="123"/>
      <c r="C91" s="122"/>
      <c r="D91" s="124">
        <v>45816</v>
      </c>
      <c r="E91" s="18" t="s">
        <v>34</v>
      </c>
      <c r="F91" s="122"/>
      <c r="G91" s="132" t="s">
        <v>550</v>
      </c>
      <c r="H91" s="125">
        <v>370</v>
      </c>
      <c r="I91" s="125">
        <v>120</v>
      </c>
      <c r="J91" s="126">
        <v>2</v>
      </c>
      <c r="K91" s="125"/>
      <c r="L91" s="95">
        <f t="shared" si="3"/>
        <v>88800</v>
      </c>
      <c r="M91" s="95">
        <f>L91*1.1</f>
        <v>97680.000000000015</v>
      </c>
      <c r="N91" s="56"/>
      <c r="O91" s="49"/>
      <c r="P91" s="59"/>
      <c r="Q91" s="67">
        <f t="shared" si="2"/>
        <v>407.00000000000006</v>
      </c>
    </row>
    <row r="92" spans="1:17" ht="18.75">
      <c r="A92" s="122"/>
      <c r="B92" s="123"/>
      <c r="C92" s="122"/>
      <c r="D92" s="124">
        <v>45816</v>
      </c>
      <c r="E92" s="18" t="s">
        <v>34</v>
      </c>
      <c r="F92" s="122"/>
      <c r="G92" s="132" t="s">
        <v>551</v>
      </c>
      <c r="H92" s="125">
        <v>260</v>
      </c>
      <c r="I92" s="125">
        <v>200</v>
      </c>
      <c r="J92" s="126">
        <v>1</v>
      </c>
      <c r="K92" s="125"/>
      <c r="L92" s="95">
        <f t="shared" si="3"/>
        <v>52000</v>
      </c>
      <c r="M92" s="95">
        <f t="shared" si="4"/>
        <v>57200.000000000007</v>
      </c>
      <c r="N92" s="56"/>
      <c r="O92" s="49"/>
      <c r="P92" s="59"/>
      <c r="Q92" s="67">
        <f t="shared" si="2"/>
        <v>286.00000000000006</v>
      </c>
    </row>
    <row r="93" spans="1:17" ht="18">
      <c r="A93" s="122"/>
      <c r="B93" s="123"/>
      <c r="C93" s="122"/>
      <c r="D93" s="124"/>
      <c r="E93" s="132"/>
      <c r="F93" s="122"/>
      <c r="G93" s="132"/>
      <c r="H93" s="125"/>
      <c r="I93" s="125"/>
      <c r="J93" s="126"/>
      <c r="K93" s="125"/>
      <c r="L93" s="95"/>
      <c r="M93" s="95">
        <f t="shared" si="4"/>
        <v>0</v>
      </c>
      <c r="N93" s="56"/>
      <c r="O93" s="49"/>
      <c r="P93" s="59"/>
      <c r="Q93" s="67" t="e">
        <f t="shared" si="2"/>
        <v>#DIV/0!</v>
      </c>
    </row>
    <row r="94" spans="1:17" ht="18">
      <c r="A94" s="122"/>
      <c r="B94" s="123"/>
      <c r="C94" s="122"/>
      <c r="D94" s="124"/>
      <c r="E94" s="96"/>
      <c r="F94" s="122"/>
      <c r="G94" s="96"/>
      <c r="H94" s="125"/>
      <c r="I94" s="125"/>
      <c r="J94" s="126"/>
      <c r="K94" s="125"/>
      <c r="L94" s="95"/>
      <c r="M94" s="95">
        <f t="shared" si="4"/>
        <v>0</v>
      </c>
      <c r="N94" s="56"/>
      <c r="O94" s="49"/>
      <c r="P94" s="59"/>
      <c r="Q94" s="67" t="e">
        <f t="shared" si="2"/>
        <v>#DIV/0!</v>
      </c>
    </row>
    <row r="95" spans="1:17" ht="18">
      <c r="A95" s="122"/>
      <c r="B95" s="123"/>
      <c r="C95" s="122"/>
      <c r="D95" s="124"/>
      <c r="E95" s="96"/>
      <c r="F95" s="122"/>
      <c r="G95" s="96"/>
      <c r="H95" s="125"/>
      <c r="I95" s="125"/>
      <c r="J95" s="126"/>
      <c r="K95" s="125"/>
      <c r="L95" s="95"/>
      <c r="M95" s="95">
        <f t="shared" si="4"/>
        <v>0</v>
      </c>
      <c r="N95" s="56"/>
      <c r="O95" s="49"/>
      <c r="P95" s="59"/>
      <c r="Q95" s="67" t="e">
        <f t="shared" si="2"/>
        <v>#DIV/0!</v>
      </c>
    </row>
    <row r="96" spans="1:17">
      <c r="A96" s="12"/>
      <c r="B96" s="68"/>
      <c r="C96" s="12"/>
      <c r="D96" s="69"/>
      <c r="E96" s="12"/>
      <c r="F96" s="12"/>
      <c r="G96" s="70"/>
      <c r="H96" s="71"/>
      <c r="I96" s="71"/>
      <c r="J96" s="72"/>
      <c r="K96" s="71"/>
      <c r="L96" s="73"/>
      <c r="M96" s="73">
        <f>SUM(M77:N95)</f>
        <v>1399068</v>
      </c>
      <c r="N96" s="74"/>
      <c r="O96" s="11"/>
      <c r="P96" s="75"/>
      <c r="Q96" s="74" t="e">
        <f t="shared" si="2"/>
        <v>#DIV/0!</v>
      </c>
    </row>
    <row r="97" spans="1:17">
      <c r="A97" s="12"/>
      <c r="B97" s="68"/>
      <c r="C97" s="12"/>
      <c r="D97" s="69"/>
      <c r="E97" s="12"/>
      <c r="F97" s="12"/>
      <c r="G97" s="70"/>
      <c r="H97" s="71"/>
      <c r="I97" s="71"/>
      <c r="J97" s="72"/>
      <c r="K97" s="71"/>
      <c r="L97" s="73"/>
      <c r="M97" s="73"/>
      <c r="N97" s="74"/>
      <c r="O97" s="11"/>
      <c r="P97" s="75"/>
      <c r="Q97" s="74"/>
    </row>
    <row r="98" spans="1:17" ht="18">
      <c r="A98" s="122" t="s">
        <v>28</v>
      </c>
      <c r="B98" s="123"/>
      <c r="C98" s="122"/>
      <c r="D98" s="124"/>
      <c r="E98" s="132"/>
      <c r="F98" s="122"/>
      <c r="G98" s="96"/>
      <c r="H98" s="125"/>
      <c r="I98" s="125"/>
      <c r="J98" s="126"/>
      <c r="K98" s="125"/>
      <c r="L98" s="95"/>
      <c r="M98" s="95">
        <f>L98*1.1</f>
        <v>0</v>
      </c>
      <c r="N98" s="56"/>
      <c r="O98" s="49"/>
      <c r="P98" s="59"/>
      <c r="Q98" s="67" t="e">
        <f t="shared" ref="Q98:Q107" si="5">(M98+N98*1.1)/(I98*J98)</f>
        <v>#DIV/0!</v>
      </c>
    </row>
    <row r="99" spans="1:17" ht="18">
      <c r="A99" s="122"/>
      <c r="B99" s="123"/>
      <c r="C99" s="122"/>
      <c r="D99" s="124"/>
      <c r="E99" s="132"/>
      <c r="F99" s="122"/>
      <c r="G99" s="96"/>
      <c r="H99" s="125"/>
      <c r="I99" s="125"/>
      <c r="J99" s="126"/>
      <c r="K99" s="125"/>
      <c r="L99" s="95"/>
      <c r="M99" s="95">
        <f>L99*1.1</f>
        <v>0</v>
      </c>
      <c r="N99" s="56"/>
      <c r="O99" s="49"/>
      <c r="P99" s="59"/>
      <c r="Q99" s="67" t="e">
        <f t="shared" si="5"/>
        <v>#DIV/0!</v>
      </c>
    </row>
    <row r="100" spans="1:17" ht="18">
      <c r="A100" s="122"/>
      <c r="B100" s="123"/>
      <c r="C100" s="122"/>
      <c r="D100" s="124"/>
      <c r="E100" s="132"/>
      <c r="F100" s="122"/>
      <c r="G100" s="96"/>
      <c r="H100" s="125"/>
      <c r="I100" s="125"/>
      <c r="J100" s="126"/>
      <c r="K100" s="125"/>
      <c r="L100" s="95"/>
      <c r="M100" s="95">
        <f t="shared" ref="M100:M103" si="6">L100*1.1</f>
        <v>0</v>
      </c>
      <c r="N100" s="56"/>
      <c r="O100" s="49"/>
      <c r="P100" s="59"/>
      <c r="Q100" s="67" t="e">
        <f t="shared" ref="Q100:Q103" si="7">(M100+N100*1.1)/(I100*J100)</f>
        <v>#DIV/0!</v>
      </c>
    </row>
    <row r="101" spans="1:17" ht="18">
      <c r="A101" s="122"/>
      <c r="B101" s="123"/>
      <c r="C101" s="122"/>
      <c r="D101" s="124"/>
      <c r="E101" s="132"/>
      <c r="F101" s="122"/>
      <c r="G101" s="96"/>
      <c r="H101" s="125"/>
      <c r="I101" s="125"/>
      <c r="J101" s="126"/>
      <c r="K101" s="125"/>
      <c r="L101" s="95"/>
      <c r="M101" s="95">
        <f t="shared" si="6"/>
        <v>0</v>
      </c>
      <c r="N101" s="56"/>
      <c r="O101" s="49"/>
      <c r="P101" s="59"/>
      <c r="Q101" s="67" t="e">
        <f t="shared" si="7"/>
        <v>#DIV/0!</v>
      </c>
    </row>
    <row r="102" spans="1:17" ht="18">
      <c r="A102" s="122"/>
      <c r="B102" s="123"/>
      <c r="C102" s="122"/>
      <c r="D102" s="124"/>
      <c r="E102" s="132"/>
      <c r="F102" s="122"/>
      <c r="G102" s="96"/>
      <c r="H102" s="125"/>
      <c r="I102" s="125"/>
      <c r="J102" s="126"/>
      <c r="K102" s="125"/>
      <c r="L102" s="95"/>
      <c r="M102" s="95">
        <f t="shared" si="6"/>
        <v>0</v>
      </c>
      <c r="N102" s="56"/>
      <c r="O102" s="49"/>
      <c r="P102" s="59"/>
      <c r="Q102" s="67" t="e">
        <f t="shared" si="7"/>
        <v>#DIV/0!</v>
      </c>
    </row>
    <row r="103" spans="1:17" ht="18">
      <c r="A103" s="122"/>
      <c r="B103" s="123"/>
      <c r="C103" s="122"/>
      <c r="D103" s="124"/>
      <c r="E103" s="132"/>
      <c r="F103" s="122"/>
      <c r="G103" s="96"/>
      <c r="H103" s="125"/>
      <c r="I103" s="125"/>
      <c r="J103" s="126"/>
      <c r="K103" s="125"/>
      <c r="L103" s="95"/>
      <c r="M103" s="95">
        <f t="shared" si="6"/>
        <v>0</v>
      </c>
      <c r="N103" s="56"/>
      <c r="O103" s="49"/>
      <c r="P103" s="59"/>
      <c r="Q103" s="67" t="e">
        <f t="shared" si="7"/>
        <v>#DIV/0!</v>
      </c>
    </row>
    <row r="104" spans="1:17" ht="18">
      <c r="A104" s="122"/>
      <c r="B104" s="123"/>
      <c r="C104" s="122"/>
      <c r="D104" s="124"/>
      <c r="E104" s="132"/>
      <c r="F104" s="122"/>
      <c r="G104" s="132"/>
      <c r="H104" s="125"/>
      <c r="I104" s="125"/>
      <c r="J104" s="126"/>
      <c r="K104" s="125"/>
      <c r="L104" s="95"/>
      <c r="M104" s="95">
        <f>L104*1.1</f>
        <v>0</v>
      </c>
      <c r="N104" s="56"/>
      <c r="O104" s="49"/>
      <c r="P104" s="59"/>
      <c r="Q104" s="67" t="e">
        <f t="shared" si="5"/>
        <v>#DIV/0!</v>
      </c>
    </row>
    <row r="105" spans="1:17" ht="18">
      <c r="A105" s="122"/>
      <c r="B105" s="123"/>
      <c r="C105" s="122"/>
      <c r="D105" s="124"/>
      <c r="E105" s="96"/>
      <c r="F105" s="122"/>
      <c r="G105" s="96"/>
      <c r="H105" s="125"/>
      <c r="I105" s="125"/>
      <c r="J105" s="126"/>
      <c r="K105" s="125"/>
      <c r="L105" s="95"/>
      <c r="M105" s="95">
        <f t="shared" ref="M105:M106" si="8">L105*1.1</f>
        <v>0</v>
      </c>
      <c r="N105" s="56"/>
      <c r="O105" s="49"/>
      <c r="P105" s="59"/>
      <c r="Q105" s="67" t="e">
        <f t="shared" si="5"/>
        <v>#DIV/0!</v>
      </c>
    </row>
    <row r="106" spans="1:17" ht="18">
      <c r="A106" s="122"/>
      <c r="B106" s="123"/>
      <c r="C106" s="122"/>
      <c r="D106" s="124"/>
      <c r="E106" s="96"/>
      <c r="F106" s="122"/>
      <c r="G106" s="96"/>
      <c r="H106" s="125"/>
      <c r="I106" s="125"/>
      <c r="J106" s="126"/>
      <c r="K106" s="125"/>
      <c r="L106" s="95"/>
      <c r="M106" s="95">
        <f t="shared" si="8"/>
        <v>0</v>
      </c>
      <c r="N106" s="56"/>
      <c r="O106" s="49"/>
      <c r="P106" s="59"/>
      <c r="Q106" s="67" t="e">
        <f t="shared" si="5"/>
        <v>#DIV/0!</v>
      </c>
    </row>
    <row r="107" spans="1:17">
      <c r="A107" s="11"/>
      <c r="B107" s="68"/>
      <c r="C107" s="12"/>
      <c r="D107" s="69"/>
      <c r="E107" s="12"/>
      <c r="F107" s="12"/>
      <c r="G107" s="70"/>
      <c r="H107" s="71"/>
      <c r="I107" s="71"/>
      <c r="J107" s="72"/>
      <c r="K107" s="71"/>
      <c r="L107" s="73"/>
      <c r="M107" s="73">
        <f>SUM(M98:N106)</f>
        <v>0</v>
      </c>
      <c r="N107" s="74"/>
      <c r="O107" s="11"/>
      <c r="P107" s="75"/>
      <c r="Q107" s="74" t="e">
        <f t="shared" si="5"/>
        <v>#DIV/0!</v>
      </c>
    </row>
    <row r="108" spans="1:17">
      <c r="A108" s="11"/>
      <c r="B108" s="68"/>
      <c r="C108" s="12"/>
      <c r="D108" s="69"/>
      <c r="E108" s="12"/>
      <c r="F108" s="12"/>
      <c r="G108" s="70"/>
      <c r="H108" s="71"/>
      <c r="I108" s="71"/>
      <c r="J108" s="72"/>
      <c r="K108" s="71"/>
      <c r="L108" s="73"/>
      <c r="M108" s="73"/>
      <c r="N108" s="74"/>
      <c r="O108" s="11"/>
      <c r="P108" s="75"/>
      <c r="Q108" s="74"/>
    </row>
    <row r="109" spans="1:17" ht="18">
      <c r="A109" s="122" t="s">
        <v>29</v>
      </c>
      <c r="B109" s="123"/>
      <c r="C109" s="122"/>
      <c r="D109" s="124"/>
      <c r="E109" s="194" t="s">
        <v>32</v>
      </c>
      <c r="F109" s="122"/>
      <c r="G109" s="194" t="s">
        <v>552</v>
      </c>
      <c r="H109" s="125">
        <v>220</v>
      </c>
      <c r="I109" s="125">
        <v>320</v>
      </c>
      <c r="J109" s="126">
        <v>1</v>
      </c>
      <c r="K109" s="125"/>
      <c r="L109" s="95">
        <v>70400</v>
      </c>
      <c r="M109" s="95">
        <f>L109*1.1</f>
        <v>77440</v>
      </c>
      <c r="N109" s="56"/>
      <c r="O109" s="49"/>
      <c r="P109" s="59" t="s">
        <v>553</v>
      </c>
      <c r="Q109" s="67">
        <f t="shared" ref="Q109:Q115" si="9">(M109+N109*1.1)/(I109*J109)</f>
        <v>242</v>
      </c>
    </row>
    <row r="110" spans="1:17" ht="18">
      <c r="A110" s="122"/>
      <c r="B110" s="123"/>
      <c r="C110" s="122"/>
      <c r="D110" s="124"/>
      <c r="E110" s="194" t="s">
        <v>34</v>
      </c>
      <c r="F110" s="122"/>
      <c r="G110" s="132" t="s">
        <v>552</v>
      </c>
      <c r="H110" s="125">
        <v>220</v>
      </c>
      <c r="I110" s="125">
        <v>320</v>
      </c>
      <c r="J110" s="126">
        <v>1</v>
      </c>
      <c r="K110" s="125"/>
      <c r="L110" s="95">
        <v>70400</v>
      </c>
      <c r="M110" s="95">
        <f>L110*1.1</f>
        <v>77440</v>
      </c>
      <c r="N110" s="56"/>
      <c r="O110" s="49"/>
      <c r="P110" s="59" t="s">
        <v>553</v>
      </c>
      <c r="Q110" s="67">
        <f t="shared" si="9"/>
        <v>242</v>
      </c>
    </row>
    <row r="111" spans="1:17" ht="18">
      <c r="A111" s="122"/>
      <c r="B111" s="123"/>
      <c r="C111" s="122"/>
      <c r="D111" s="124"/>
      <c r="E111" s="194" t="s">
        <v>34</v>
      </c>
      <c r="F111" s="122"/>
      <c r="G111" s="132" t="s">
        <v>554</v>
      </c>
      <c r="H111" s="125">
        <v>57</v>
      </c>
      <c r="I111" s="125">
        <v>500</v>
      </c>
      <c r="J111" s="126">
        <v>0.5</v>
      </c>
      <c r="K111" s="125"/>
      <c r="L111" s="95">
        <f>H111*I111*J111</f>
        <v>14250</v>
      </c>
      <c r="M111" s="95">
        <f>L111*1.1</f>
        <v>15675.000000000002</v>
      </c>
      <c r="N111" s="56">
        <v>1000</v>
      </c>
      <c r="O111" s="49"/>
      <c r="P111" s="59"/>
      <c r="Q111" s="67">
        <f>(M111+N111*1.1)/(I111*J111)</f>
        <v>67.099999999999994</v>
      </c>
    </row>
    <row r="112" spans="1:17" ht="18">
      <c r="A112" s="122"/>
      <c r="B112" s="123"/>
      <c r="C112" s="122"/>
      <c r="D112" s="124"/>
      <c r="E112" s="132" t="s">
        <v>427</v>
      </c>
      <c r="F112" s="122"/>
      <c r="G112" s="132" t="s">
        <v>554</v>
      </c>
      <c r="H112" s="125">
        <v>57</v>
      </c>
      <c r="I112" s="125">
        <v>500</v>
      </c>
      <c r="J112" s="126">
        <v>0.5</v>
      </c>
      <c r="K112" s="125"/>
      <c r="L112" s="95">
        <f>H112*I112*J112</f>
        <v>14250</v>
      </c>
      <c r="M112" s="95">
        <f t="shared" ref="M112:M115" si="10">L112*1.1</f>
        <v>15675.000000000002</v>
      </c>
      <c r="N112" s="56">
        <v>1000</v>
      </c>
      <c r="O112" s="49"/>
      <c r="P112" s="59"/>
      <c r="Q112" s="67">
        <f t="shared" si="9"/>
        <v>67.099999999999994</v>
      </c>
    </row>
    <row r="113" spans="1:17" ht="18">
      <c r="A113" s="122"/>
      <c r="B113" s="123"/>
      <c r="C113" s="122"/>
      <c r="D113" s="124">
        <v>45812</v>
      </c>
      <c r="E113" s="132" t="s">
        <v>34</v>
      </c>
      <c r="F113" s="122"/>
      <c r="G113" s="132" t="s">
        <v>555</v>
      </c>
      <c r="H113" s="125">
        <v>105</v>
      </c>
      <c r="I113" s="125">
        <v>480</v>
      </c>
      <c r="J113" s="126">
        <v>1</v>
      </c>
      <c r="K113" s="125"/>
      <c r="L113" s="95">
        <f>H113*I113*J113</f>
        <v>50400</v>
      </c>
      <c r="M113" s="95">
        <f t="shared" si="10"/>
        <v>55440.000000000007</v>
      </c>
      <c r="N113" s="56"/>
      <c r="O113" s="49"/>
      <c r="P113" s="59"/>
      <c r="Q113" s="67"/>
    </row>
    <row r="114" spans="1:17" ht="18">
      <c r="A114" s="122"/>
      <c r="B114" s="123"/>
      <c r="C114" s="122"/>
      <c r="D114" s="124"/>
      <c r="E114" s="96"/>
      <c r="F114" s="122"/>
      <c r="G114" s="96"/>
      <c r="H114" s="125"/>
      <c r="I114" s="125"/>
      <c r="J114" s="126"/>
      <c r="K114" s="125"/>
      <c r="L114" s="95"/>
      <c r="M114" s="95">
        <f t="shared" ref="M114" si="11">L114*1.1</f>
        <v>0</v>
      </c>
      <c r="N114" s="56"/>
      <c r="O114" s="49"/>
      <c r="P114" s="59"/>
      <c r="Q114" s="67" t="e">
        <f t="shared" ref="Q114" si="12">(M114+N114*1.1)/(I114*J114)</f>
        <v>#DIV/0!</v>
      </c>
    </row>
    <row r="115" spans="1:17" ht="18">
      <c r="A115" s="122"/>
      <c r="B115" s="123"/>
      <c r="C115" s="122"/>
      <c r="D115" s="124"/>
      <c r="E115" s="96"/>
      <c r="F115" s="122"/>
      <c r="G115" s="96"/>
      <c r="H115" s="125"/>
      <c r="I115" s="125"/>
      <c r="J115" s="126"/>
      <c r="K115" s="125"/>
      <c r="L115" s="95"/>
      <c r="M115" s="95">
        <f t="shared" si="10"/>
        <v>0</v>
      </c>
      <c r="N115" s="56"/>
      <c r="O115" s="49"/>
      <c r="P115" s="59"/>
      <c r="Q115" s="67" t="e">
        <f t="shared" si="9"/>
        <v>#DIV/0!</v>
      </c>
    </row>
    <row r="116" spans="1:17">
      <c r="A116" s="12"/>
      <c r="B116" s="68"/>
      <c r="C116" s="12"/>
      <c r="D116" s="69"/>
      <c r="E116" s="12"/>
      <c r="F116" s="12"/>
      <c r="G116" s="70"/>
      <c r="H116" s="71"/>
      <c r="I116" s="71"/>
      <c r="J116" s="72"/>
      <c r="K116" s="71"/>
      <c r="L116" s="73"/>
      <c r="M116" s="73">
        <f>SUM(M109:N115)</f>
        <v>243670</v>
      </c>
      <c r="N116" s="74"/>
      <c r="O116" s="11"/>
      <c r="P116" s="75"/>
      <c r="Q116" s="74"/>
    </row>
    <row r="117" spans="1:17">
      <c r="A117" s="12"/>
      <c r="B117" s="68"/>
      <c r="C117" s="12"/>
      <c r="D117" s="69"/>
      <c r="E117" s="12"/>
      <c r="F117" s="12"/>
      <c r="G117" s="70"/>
      <c r="H117" s="71"/>
      <c r="I117" s="71"/>
      <c r="J117" s="72"/>
      <c r="K117" s="71"/>
      <c r="L117" s="73"/>
      <c r="M117" s="73"/>
      <c r="N117" s="74"/>
      <c r="O117" s="11"/>
      <c r="P117" s="75"/>
      <c r="Q117" s="74"/>
    </row>
    <row r="118" spans="1:17" ht="18">
      <c r="A118" s="151" t="s">
        <v>30</v>
      </c>
      <c r="B118" s="123"/>
      <c r="C118" s="122"/>
      <c r="D118" s="124"/>
      <c r="E118" s="132" t="s">
        <v>34</v>
      </c>
      <c r="F118" s="122"/>
      <c r="G118" s="96" t="s">
        <v>556</v>
      </c>
      <c r="H118" s="125">
        <v>1000</v>
      </c>
      <c r="I118" s="125">
        <v>16</v>
      </c>
      <c r="J118" s="126">
        <v>2</v>
      </c>
      <c r="K118" s="125"/>
      <c r="L118" s="95">
        <f>H118*I118*J118</f>
        <v>32000</v>
      </c>
      <c r="M118" s="95">
        <f>L118*1.1</f>
        <v>35200</v>
      </c>
      <c r="N118" s="56">
        <v>8000</v>
      </c>
      <c r="O118" s="49"/>
      <c r="P118" s="59"/>
      <c r="Q118" s="67">
        <f t="shared" ref="Q118:Q123" si="13">(M118+N118*1.1)/(I118*J118)</f>
        <v>1375</v>
      </c>
    </row>
    <row r="119" spans="1:17" ht="18">
      <c r="A119" s="122"/>
      <c r="B119" s="123"/>
      <c r="C119" s="122"/>
      <c r="D119" s="124"/>
      <c r="E119" s="132" t="s">
        <v>427</v>
      </c>
      <c r="F119" s="122"/>
      <c r="G119" s="96" t="s">
        <v>556</v>
      </c>
      <c r="H119" s="125">
        <v>1000</v>
      </c>
      <c r="I119" s="125">
        <v>16</v>
      </c>
      <c r="J119" s="126">
        <v>2</v>
      </c>
      <c r="K119" s="125"/>
      <c r="L119" s="95">
        <f t="shared" ref="L119:L123" si="14">H119*I119*J119</f>
        <v>32000</v>
      </c>
      <c r="M119" s="95">
        <f>L119*1.1</f>
        <v>35200</v>
      </c>
      <c r="N119" s="56">
        <v>8000</v>
      </c>
      <c r="O119" s="49"/>
      <c r="P119" s="59"/>
      <c r="Q119" s="67">
        <f t="shared" si="13"/>
        <v>1375</v>
      </c>
    </row>
    <row r="120" spans="1:17" ht="18">
      <c r="A120" s="122"/>
      <c r="B120" s="123"/>
      <c r="C120" s="122"/>
      <c r="D120" s="124"/>
      <c r="E120" s="132" t="s">
        <v>34</v>
      </c>
      <c r="F120" s="122"/>
      <c r="G120" s="132" t="s">
        <v>557</v>
      </c>
      <c r="H120" s="125">
        <v>952</v>
      </c>
      <c r="I120" s="125">
        <v>42</v>
      </c>
      <c r="J120" s="126">
        <v>1</v>
      </c>
      <c r="K120" s="125"/>
      <c r="L120" s="95">
        <v>40000</v>
      </c>
      <c r="M120" s="95">
        <f>L120*1.1</f>
        <v>44000</v>
      </c>
      <c r="N120" s="56"/>
      <c r="O120" s="49"/>
      <c r="P120" s="59"/>
      <c r="Q120" s="67">
        <f t="shared" si="13"/>
        <v>1047.6190476190477</v>
      </c>
    </row>
    <row r="121" spans="1:17" ht="18">
      <c r="A121" s="122"/>
      <c r="B121" s="123"/>
      <c r="C121" s="122"/>
      <c r="D121" s="124"/>
      <c r="E121" s="132" t="s">
        <v>427</v>
      </c>
      <c r="F121" s="122"/>
      <c r="G121" s="132" t="s">
        <v>557</v>
      </c>
      <c r="H121" s="125">
        <v>952</v>
      </c>
      <c r="I121" s="125">
        <v>42</v>
      </c>
      <c r="J121" s="126">
        <v>1</v>
      </c>
      <c r="K121" s="125"/>
      <c r="L121" s="95">
        <v>40000</v>
      </c>
      <c r="M121" s="95">
        <f t="shared" ref="M121:M123" si="15">L121*1.1</f>
        <v>44000</v>
      </c>
      <c r="N121" s="56"/>
      <c r="O121" s="49"/>
      <c r="P121" s="59"/>
      <c r="Q121" s="67">
        <f t="shared" si="13"/>
        <v>1047.6190476190477</v>
      </c>
    </row>
    <row r="122" spans="1:17" ht="18">
      <c r="A122" s="122"/>
      <c r="B122" s="123"/>
      <c r="C122" s="122"/>
      <c r="D122" s="124"/>
      <c r="E122" s="132" t="s">
        <v>34</v>
      </c>
      <c r="F122" s="122"/>
      <c r="G122" s="132" t="s">
        <v>558</v>
      </c>
      <c r="H122" s="125">
        <v>500</v>
      </c>
      <c r="I122" s="125">
        <v>80</v>
      </c>
      <c r="J122" s="126">
        <v>1</v>
      </c>
      <c r="K122" s="125"/>
      <c r="L122" s="95">
        <f t="shared" si="14"/>
        <v>40000</v>
      </c>
      <c r="M122" s="95">
        <f t="shared" ref="M122" si="16">L122*1.1</f>
        <v>44000</v>
      </c>
      <c r="N122" s="56"/>
      <c r="O122" s="49"/>
      <c r="P122" s="59"/>
      <c r="Q122" s="67">
        <f t="shared" ref="Q122" si="17">(M122+N122*1.1)/(I122*J122)</f>
        <v>550</v>
      </c>
    </row>
    <row r="123" spans="1:17" ht="18">
      <c r="A123" s="122"/>
      <c r="B123" s="123"/>
      <c r="C123" s="122"/>
      <c r="D123" s="124"/>
      <c r="E123" s="132" t="s">
        <v>427</v>
      </c>
      <c r="F123" s="122"/>
      <c r="G123" s="132" t="s">
        <v>558</v>
      </c>
      <c r="H123" s="125">
        <v>500</v>
      </c>
      <c r="I123" s="125">
        <v>80</v>
      </c>
      <c r="J123" s="126">
        <v>1</v>
      </c>
      <c r="K123" s="125"/>
      <c r="L123" s="95">
        <f t="shared" si="14"/>
        <v>40000</v>
      </c>
      <c r="M123" s="95">
        <f t="shared" si="15"/>
        <v>44000</v>
      </c>
      <c r="N123" s="56"/>
      <c r="O123" s="49"/>
      <c r="P123" s="59"/>
      <c r="Q123" s="67">
        <f t="shared" si="13"/>
        <v>550</v>
      </c>
    </row>
    <row r="124" spans="1:17">
      <c r="A124" s="11"/>
      <c r="B124" s="127"/>
      <c r="C124" s="11"/>
      <c r="D124" s="128"/>
      <c r="E124" s="11"/>
      <c r="F124" s="11"/>
      <c r="G124" s="70"/>
      <c r="H124" s="11"/>
      <c r="I124" s="11"/>
      <c r="J124" s="129"/>
      <c r="K124" s="11"/>
      <c r="L124" s="74"/>
      <c r="M124" s="73">
        <f>SUM(M118:N123)</f>
        <v>262400</v>
      </c>
      <c r="N124" s="74"/>
      <c r="O124" s="11"/>
      <c r="P124" s="75"/>
      <c r="Q124" s="74"/>
    </row>
    <row r="125" spans="1:17" s="40" customFormat="1">
      <c r="A125"/>
      <c r="B125" s="31"/>
      <c r="C125"/>
      <c r="D125" s="25"/>
      <c r="E125"/>
      <c r="F125"/>
      <c r="G125" s="33"/>
      <c r="H125"/>
      <c r="I125"/>
      <c r="J125" s="65"/>
      <c r="K125"/>
      <c r="O125"/>
      <c r="P125" s="58"/>
    </row>
    <row r="126" spans="1:17" ht="18">
      <c r="A126" s="151" t="s">
        <v>31</v>
      </c>
      <c r="B126" s="123"/>
      <c r="C126" s="122"/>
      <c r="D126" s="124"/>
      <c r="E126" s="96"/>
      <c r="F126" s="122"/>
      <c r="G126" s="96"/>
      <c r="H126" s="125"/>
      <c r="I126" s="125"/>
      <c r="J126" s="126"/>
      <c r="K126" s="125"/>
      <c r="L126" s="95"/>
      <c r="M126" s="95">
        <f>L126*1.1</f>
        <v>0</v>
      </c>
      <c r="N126" s="56"/>
      <c r="O126" s="49"/>
      <c r="P126" s="59"/>
      <c r="Q126" s="67" t="e">
        <f t="shared" ref="Q126:Q131" si="18">(M126+N126*1.1)/(I126*J126)</f>
        <v>#DIV/0!</v>
      </c>
    </row>
    <row r="127" spans="1:17" ht="18">
      <c r="A127" s="122"/>
      <c r="B127" s="123"/>
      <c r="C127" s="122"/>
      <c r="D127" s="124"/>
      <c r="E127" s="96"/>
      <c r="F127" s="122"/>
      <c r="G127" s="96"/>
      <c r="H127" s="125"/>
      <c r="I127" s="125"/>
      <c r="J127" s="126"/>
      <c r="K127" s="125"/>
      <c r="L127" s="95"/>
      <c r="M127" s="95">
        <f>L127*1.1</f>
        <v>0</v>
      </c>
      <c r="N127" s="56"/>
      <c r="O127" s="49"/>
      <c r="P127" s="59"/>
      <c r="Q127" s="67" t="e">
        <f t="shared" si="18"/>
        <v>#DIV/0!</v>
      </c>
    </row>
    <row r="128" spans="1:17" ht="18">
      <c r="A128" s="122"/>
      <c r="B128" s="123"/>
      <c r="C128" s="122"/>
      <c r="D128" s="124"/>
      <c r="E128" s="96"/>
      <c r="F128" s="122"/>
      <c r="G128" s="96"/>
      <c r="H128" s="125"/>
      <c r="I128" s="125"/>
      <c r="J128" s="126"/>
      <c r="K128" s="125"/>
      <c r="L128" s="95"/>
      <c r="M128" s="95">
        <f>L128*1.1</f>
        <v>0</v>
      </c>
      <c r="N128" s="56"/>
      <c r="O128" s="49"/>
      <c r="P128" s="59"/>
      <c r="Q128" s="67" t="e">
        <f t="shared" si="18"/>
        <v>#DIV/0!</v>
      </c>
    </row>
    <row r="129" spans="1:17" ht="18">
      <c r="A129" s="122"/>
      <c r="B129" s="123"/>
      <c r="C129" s="122"/>
      <c r="D129" s="124"/>
      <c r="E129" s="96"/>
      <c r="F129" s="122"/>
      <c r="G129" s="96"/>
      <c r="H129" s="125"/>
      <c r="I129" s="125"/>
      <c r="J129" s="126"/>
      <c r="K129" s="125"/>
      <c r="L129" s="95"/>
      <c r="M129" s="95">
        <f t="shared" ref="M129:M130" si="19">L129*1.1</f>
        <v>0</v>
      </c>
      <c r="N129" s="56"/>
      <c r="O129" s="49"/>
      <c r="P129" s="59"/>
      <c r="Q129" s="67" t="e">
        <f t="shared" si="18"/>
        <v>#DIV/0!</v>
      </c>
    </row>
    <row r="130" spans="1:17" ht="18">
      <c r="A130" s="122"/>
      <c r="B130" s="123"/>
      <c r="C130" s="122"/>
      <c r="D130" s="124"/>
      <c r="E130" s="96"/>
      <c r="F130" s="122"/>
      <c r="G130" s="96"/>
      <c r="H130" s="125"/>
      <c r="I130" s="125"/>
      <c r="J130" s="126"/>
      <c r="K130" s="125"/>
      <c r="L130" s="95"/>
      <c r="M130" s="95">
        <f t="shared" si="19"/>
        <v>0</v>
      </c>
      <c r="N130" s="56"/>
      <c r="O130" s="49"/>
      <c r="P130" s="59"/>
      <c r="Q130" s="67" t="e">
        <f t="shared" si="18"/>
        <v>#DIV/0!</v>
      </c>
    </row>
    <row r="131" spans="1:17" s="40" customFormat="1">
      <c r="A131"/>
      <c r="B131" s="31"/>
      <c r="C131"/>
      <c r="D131" s="25"/>
      <c r="E131"/>
      <c r="F131"/>
      <c r="G131" s="33"/>
      <c r="H131"/>
      <c r="I131"/>
      <c r="J131" s="65"/>
      <c r="K131"/>
      <c r="M131" s="40">
        <f>SUM(M126:N130)</f>
        <v>0</v>
      </c>
      <c r="O131"/>
      <c r="P131" s="58"/>
      <c r="Q131" s="40" t="e">
        <f t="shared" si="18"/>
        <v>#DIV/0!</v>
      </c>
    </row>
    <row r="132" spans="1:17" s="40" customFormat="1" ht="18.75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7" s="40" customFormat="1" ht="18.75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7" s="40" customFormat="1" ht="18.75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7" s="40" customFormat="1" ht="23.25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149">
        <f>M75+M96+M107+M116+M124+M131</f>
        <v>7007595</v>
      </c>
      <c r="O135"/>
      <c r="P135" s="58"/>
    </row>
    <row r="136" spans="1:17" s="40" customFormat="1" ht="18.75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7" s="40" customFormat="1" ht="18.75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7" s="40" customFormat="1" ht="18.75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7" s="40" customFormat="1" ht="18.75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7" s="40" customFormat="1" ht="18.75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7" s="40" customFormat="1" ht="18.75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7" s="40" customFormat="1" ht="18.75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7" s="40" customFormat="1" ht="18.75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7" s="40" customFormat="1" ht="18.75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8.75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8.75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8.75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8.75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8.75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8.75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8.75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8.75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8.75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8.75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8.75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8.75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8.75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8.75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8.75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8.75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8.75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8.75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8.75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8.75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8.75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8.75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8.75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8.75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8.75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8.75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8.75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8.75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8.75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8.75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8.75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8.75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8.75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8.75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8.75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8.75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8.75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8.75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8.75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8.75">
      <c r="A291"/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  <c r="O291"/>
      <c r="P291" s="58"/>
    </row>
    <row r="292" spans="1:16" s="40" customFormat="1" ht="18.75">
      <c r="A292"/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  <c r="O292"/>
      <c r="P292" s="58"/>
    </row>
    <row r="293" spans="1:16" s="40" customFormat="1" ht="18.75">
      <c r="A293"/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  <c r="O293"/>
      <c r="P293" s="58"/>
    </row>
    <row r="294" spans="1:16" s="40" customFormat="1" ht="18.75">
      <c r="A294"/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  <c r="O294"/>
      <c r="P294" s="58"/>
    </row>
    <row r="295" spans="1:16" s="40" customFormat="1" ht="18.75">
      <c r="A295"/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  <c r="O295"/>
      <c r="P295" s="58"/>
    </row>
    <row r="296" spans="1:16" s="40" customFormat="1" ht="18.75">
      <c r="A296"/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  <c r="O296"/>
      <c r="P296" s="58"/>
    </row>
    <row r="297" spans="1:16" s="40" customFormat="1" ht="18.75">
      <c r="A297"/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  <c r="O297"/>
      <c r="P297" s="58"/>
    </row>
    <row r="298" spans="1:16" s="40" customFormat="1" ht="18.75">
      <c r="A298"/>
      <c r="B298" s="26"/>
      <c r="C298" s="1"/>
      <c r="D298" s="20"/>
      <c r="E298" s="1"/>
      <c r="F298" s="1"/>
      <c r="G298" s="32"/>
      <c r="H298" s="2"/>
      <c r="I298" s="2"/>
      <c r="J298" s="60"/>
      <c r="K298" s="2"/>
      <c r="L298" s="34"/>
      <c r="M298" s="34"/>
      <c r="O298"/>
      <c r="P298" s="58"/>
    </row>
    <row r="299" spans="1:16" s="40" customFormat="1" ht="18.75">
      <c r="A299"/>
      <c r="B299" s="26"/>
      <c r="C299" s="1"/>
      <c r="D299" s="20"/>
      <c r="E299" s="1"/>
      <c r="F299" s="1"/>
      <c r="G299" s="32"/>
      <c r="H299" s="2"/>
      <c r="I299" s="2"/>
      <c r="J299" s="60"/>
      <c r="K299" s="2"/>
      <c r="L299" s="34"/>
      <c r="M299" s="34"/>
      <c r="O299"/>
      <c r="P299" s="58"/>
    </row>
    <row r="300" spans="1:16" s="40" customFormat="1" ht="18.75">
      <c r="A300"/>
      <c r="B300" s="26"/>
      <c r="C300" s="1"/>
      <c r="D300" s="20"/>
      <c r="E300" s="1"/>
      <c r="F300" s="1"/>
      <c r="G300" s="32"/>
      <c r="H300" s="2"/>
      <c r="I300" s="2"/>
      <c r="J300" s="60"/>
      <c r="K300" s="2"/>
      <c r="L300" s="34"/>
      <c r="M300" s="34"/>
      <c r="O300"/>
      <c r="P300" s="58"/>
    </row>
    <row r="301" spans="1:16" s="40" customFormat="1" ht="18.75">
      <c r="A301"/>
      <c r="B301" s="26"/>
      <c r="C301" s="1"/>
      <c r="D301" s="20"/>
      <c r="E301" s="1"/>
      <c r="F301" s="1"/>
      <c r="G301" s="32"/>
      <c r="H301" s="2"/>
      <c r="I301" s="2"/>
      <c r="J301" s="60"/>
      <c r="K301" s="2"/>
      <c r="L301" s="34"/>
      <c r="M301" s="34"/>
      <c r="O301"/>
      <c r="P301" s="58"/>
    </row>
    <row r="302" spans="1:16" s="40" customFormat="1" ht="18.75">
      <c r="A302"/>
      <c r="B302" s="26"/>
      <c r="C302" s="1"/>
      <c r="D302" s="20"/>
      <c r="E302" s="1"/>
      <c r="F302" s="1"/>
      <c r="G302" s="32"/>
      <c r="H302" s="2"/>
      <c r="I302" s="2"/>
      <c r="J302" s="60"/>
      <c r="K302" s="2"/>
      <c r="L302" s="34"/>
      <c r="M302" s="34"/>
      <c r="O302"/>
      <c r="P302" s="58"/>
    </row>
    <row r="303" spans="1:16" s="40" customFormat="1" ht="18.75">
      <c r="A303"/>
      <c r="B303" s="26"/>
      <c r="C303" s="1"/>
      <c r="D303" s="20"/>
      <c r="E303" s="1"/>
      <c r="F303" s="1"/>
      <c r="G303" s="32"/>
      <c r="H303" s="2"/>
      <c r="I303" s="2"/>
      <c r="J303" s="60"/>
      <c r="K303" s="2"/>
      <c r="L303" s="34"/>
      <c r="M303" s="34"/>
      <c r="O303"/>
      <c r="P303" s="58"/>
    </row>
    <row r="304" spans="1:16" s="40" customFormat="1" ht="18.75">
      <c r="A304"/>
      <c r="B304" s="26"/>
      <c r="C304" s="1"/>
      <c r="D304" s="20"/>
      <c r="E304" s="1"/>
      <c r="F304" s="1"/>
      <c r="G304" s="32"/>
      <c r="H304" s="2"/>
      <c r="I304" s="2"/>
      <c r="J304" s="60"/>
      <c r="K304" s="2"/>
      <c r="L304" s="34"/>
      <c r="M304" s="34"/>
      <c r="O304"/>
      <c r="P304" s="58"/>
    </row>
    <row r="305" spans="1:16" s="40" customFormat="1" ht="18.75">
      <c r="A305"/>
      <c r="B305" s="26"/>
      <c r="C305" s="1"/>
      <c r="D305" s="20"/>
      <c r="E305" s="1"/>
      <c r="F305" s="1"/>
      <c r="G305" s="32"/>
      <c r="H305" s="2"/>
      <c r="I305" s="2"/>
      <c r="J305" s="60"/>
      <c r="K305" s="2"/>
      <c r="L305" s="34"/>
      <c r="M305" s="34"/>
      <c r="O305"/>
      <c r="P305" s="58"/>
    </row>
    <row r="306" spans="1:16" s="40" customFormat="1" ht="18.75">
      <c r="A306"/>
      <c r="B306" s="26"/>
      <c r="C306" s="1"/>
      <c r="D306" s="20"/>
      <c r="E306" s="1"/>
      <c r="F306" s="1"/>
      <c r="G306" s="32"/>
      <c r="H306" s="2"/>
      <c r="I306" s="2"/>
      <c r="J306" s="60"/>
      <c r="K306" s="2"/>
      <c r="L306" s="34"/>
      <c r="M306" s="34"/>
      <c r="O306"/>
      <c r="P306" s="58"/>
    </row>
    <row r="307" spans="1:16" s="40" customFormat="1" ht="18.75">
      <c r="A307"/>
      <c r="B307" s="26"/>
      <c r="C307" s="1"/>
      <c r="D307" s="20"/>
      <c r="E307" s="1"/>
      <c r="F307" s="1"/>
      <c r="G307" s="32"/>
      <c r="H307" s="2"/>
      <c r="I307" s="2"/>
      <c r="J307" s="60"/>
      <c r="K307" s="2"/>
      <c r="L307" s="34"/>
      <c r="M307" s="34"/>
      <c r="O307"/>
      <c r="P307" s="58"/>
    </row>
    <row r="308" spans="1:16" s="40" customFormat="1" ht="18.75">
      <c r="A308"/>
      <c r="B308" s="26"/>
      <c r="C308" s="1"/>
      <c r="D308" s="20"/>
      <c r="E308" s="1"/>
      <c r="F308" s="1"/>
      <c r="G308" s="32"/>
      <c r="H308" s="2"/>
      <c r="I308" s="2"/>
      <c r="J308" s="60"/>
      <c r="K308" s="2"/>
      <c r="L308" s="34"/>
      <c r="M308" s="34"/>
      <c r="O308"/>
      <c r="P308" s="58"/>
    </row>
    <row r="309" spans="1:16" s="40" customFormat="1" ht="18.75">
      <c r="A309"/>
      <c r="B309" s="26"/>
      <c r="C309" s="1"/>
      <c r="D309" s="20"/>
      <c r="E309" s="1"/>
      <c r="F309" s="1"/>
      <c r="G309" s="32"/>
      <c r="H309" s="2"/>
      <c r="I309" s="2"/>
      <c r="J309" s="60"/>
      <c r="K309" s="2"/>
      <c r="L309" s="34"/>
      <c r="M309" s="34"/>
      <c r="O309"/>
      <c r="P309" s="58"/>
    </row>
    <row r="310" spans="1:16" s="40" customFormat="1" ht="18.75">
      <c r="A310"/>
      <c r="B310" s="26"/>
      <c r="C310" s="1"/>
      <c r="D310" s="20"/>
      <c r="E310" s="1"/>
      <c r="F310" s="1"/>
      <c r="G310" s="32"/>
      <c r="H310" s="2"/>
      <c r="I310" s="2"/>
      <c r="J310" s="60"/>
      <c r="K310" s="2"/>
      <c r="L310" s="34"/>
      <c r="M310" s="34"/>
      <c r="O310"/>
      <c r="P310" s="58"/>
    </row>
    <row r="311" spans="1:16" s="40" customFormat="1" ht="18.75">
      <c r="A311"/>
      <c r="B311" s="26"/>
      <c r="C311" s="1"/>
      <c r="D311" s="20"/>
      <c r="E311" s="1"/>
      <c r="F311" s="1"/>
      <c r="G311" s="32"/>
      <c r="H311" s="2"/>
      <c r="I311" s="2"/>
      <c r="J311" s="60"/>
      <c r="K311" s="2"/>
      <c r="L311" s="34"/>
      <c r="M311" s="34"/>
      <c r="O311"/>
      <c r="P311" s="58"/>
    </row>
    <row r="312" spans="1:16" s="40" customFormat="1" ht="18.75">
      <c r="A312"/>
      <c r="B312" s="26"/>
      <c r="C312" s="1"/>
      <c r="D312" s="20"/>
      <c r="E312" s="1"/>
      <c r="F312" s="1"/>
      <c r="G312" s="32"/>
      <c r="H312" s="2"/>
      <c r="I312" s="2"/>
      <c r="J312" s="60"/>
      <c r="K312" s="2"/>
      <c r="L312" s="34"/>
      <c r="M312" s="34"/>
      <c r="O312"/>
      <c r="P312" s="58"/>
    </row>
    <row r="313" spans="1:16" s="40" customFormat="1" ht="18.75">
      <c r="A313"/>
      <c r="B313" s="26"/>
      <c r="C313" s="1"/>
      <c r="D313" s="20"/>
      <c r="E313" s="1"/>
      <c r="F313" s="1"/>
      <c r="G313" s="32"/>
      <c r="H313" s="2"/>
      <c r="I313" s="2"/>
      <c r="J313" s="60"/>
      <c r="K313" s="2"/>
      <c r="L313" s="34"/>
      <c r="M313" s="34"/>
      <c r="O313"/>
      <c r="P313" s="58"/>
    </row>
    <row r="314" spans="1:16" s="40" customFormat="1" ht="18.75">
      <c r="A314"/>
      <c r="B314" s="26"/>
      <c r="C314" s="1"/>
      <c r="D314" s="20"/>
      <c r="E314" s="1"/>
      <c r="F314" s="1"/>
      <c r="G314" s="32"/>
      <c r="H314" s="2"/>
      <c r="I314" s="2"/>
      <c r="J314" s="60"/>
      <c r="K314" s="2"/>
      <c r="L314" s="34"/>
      <c r="M314" s="34"/>
      <c r="O314"/>
      <c r="P314" s="58"/>
    </row>
    <row r="315" spans="1:16" s="40" customFormat="1" ht="18.75">
      <c r="A315"/>
      <c r="B315" s="26"/>
      <c r="C315" s="1"/>
      <c r="D315" s="20"/>
      <c r="E315" s="1"/>
      <c r="F315" s="1"/>
      <c r="G315" s="32"/>
      <c r="H315" s="2"/>
      <c r="I315" s="2"/>
      <c r="J315" s="60"/>
      <c r="K315" s="2"/>
      <c r="L315" s="34"/>
      <c r="M315" s="34"/>
      <c r="O315"/>
      <c r="P315" s="58"/>
    </row>
    <row r="316" spans="1:16" s="40" customFormat="1" ht="18.75">
      <c r="A316"/>
      <c r="B316" s="26"/>
      <c r="C316" s="1"/>
      <c r="D316" s="20"/>
      <c r="E316" s="1"/>
      <c r="F316" s="1"/>
      <c r="G316" s="32"/>
      <c r="H316" s="2"/>
      <c r="I316" s="2"/>
      <c r="J316" s="60"/>
      <c r="K316" s="2"/>
      <c r="L316" s="34"/>
      <c r="M316" s="34"/>
      <c r="O316"/>
      <c r="P316" s="58"/>
    </row>
    <row r="317" spans="1:16" s="40" customFormat="1" ht="18.75">
      <c r="A317"/>
      <c r="B317" s="26"/>
      <c r="C317" s="1"/>
      <c r="D317" s="20"/>
      <c r="E317" s="1"/>
      <c r="F317" s="1"/>
      <c r="G317" s="32"/>
      <c r="H317" s="2"/>
      <c r="I317" s="2"/>
      <c r="J317" s="60"/>
      <c r="K317" s="2"/>
      <c r="L317" s="34"/>
      <c r="M317" s="34"/>
      <c r="O317"/>
      <c r="P317" s="58"/>
    </row>
    <row r="318" spans="1:16" s="40" customFormat="1" ht="18.75">
      <c r="A318"/>
      <c r="B318" s="26"/>
      <c r="C318" s="1"/>
      <c r="D318" s="20"/>
      <c r="E318" s="1"/>
      <c r="F318" s="1"/>
      <c r="G318" s="32"/>
      <c r="H318" s="2"/>
      <c r="I318" s="2"/>
      <c r="J318" s="60"/>
      <c r="K318" s="2"/>
      <c r="L318" s="34"/>
      <c r="M318" s="34"/>
      <c r="O318"/>
      <c r="P318" s="58"/>
    </row>
    <row r="319" spans="1:16" s="40" customFormat="1" ht="18.75">
      <c r="A319"/>
      <c r="B319" s="26"/>
      <c r="C319" s="1"/>
      <c r="D319" s="20"/>
      <c r="E319" s="1"/>
      <c r="F319" s="1"/>
      <c r="G319" s="32"/>
      <c r="H319" s="2"/>
      <c r="I319" s="2"/>
      <c r="J319" s="60"/>
      <c r="K319" s="2"/>
      <c r="L319" s="34"/>
      <c r="M319" s="34"/>
      <c r="O319"/>
      <c r="P319" s="58"/>
    </row>
    <row r="320" spans="1:16" s="40" customFormat="1" ht="18.75">
      <c r="A320"/>
      <c r="B320" s="26"/>
      <c r="C320" s="1"/>
      <c r="D320" s="20"/>
      <c r="E320" s="1"/>
      <c r="F320" s="1"/>
      <c r="G320" s="32"/>
      <c r="H320" s="2"/>
      <c r="I320" s="2"/>
      <c r="J320" s="60"/>
      <c r="K320" s="2"/>
      <c r="L320" s="34"/>
      <c r="M320" s="34"/>
      <c r="O320"/>
      <c r="P320" s="58"/>
    </row>
    <row r="321" spans="1:16" s="40" customFormat="1" ht="18.75">
      <c r="A321"/>
      <c r="B321" s="26"/>
      <c r="C321" s="1"/>
      <c r="D321" s="20"/>
      <c r="E321" s="1"/>
      <c r="F321" s="1"/>
      <c r="G321" s="32"/>
      <c r="H321" s="2"/>
      <c r="I321" s="2"/>
      <c r="J321" s="60"/>
      <c r="K321" s="2"/>
      <c r="L321" s="34"/>
      <c r="M321" s="34"/>
      <c r="O321"/>
      <c r="P321" s="58"/>
    </row>
    <row r="322" spans="1:16" s="40" customFormat="1">
      <c r="A322"/>
      <c r="B322" s="31"/>
      <c r="C322"/>
      <c r="D322" s="25"/>
      <c r="E322"/>
      <c r="F322"/>
      <c r="G322" s="33"/>
      <c r="H322"/>
      <c r="I322"/>
      <c r="J322" s="65"/>
      <c r="K322"/>
      <c r="O322"/>
      <c r="P322" s="58"/>
    </row>
    <row r="323" spans="1:16" s="40" customFormat="1">
      <c r="A323"/>
      <c r="B323" s="31"/>
      <c r="C323"/>
      <c r="D323" s="25"/>
      <c r="E323"/>
      <c r="F323"/>
      <c r="G323" s="33"/>
      <c r="H323"/>
      <c r="I323"/>
      <c r="J323" s="65"/>
      <c r="K323"/>
      <c r="O323"/>
      <c r="P323" s="58"/>
    </row>
    <row r="324" spans="1:16" s="40" customFormat="1">
      <c r="A324"/>
      <c r="B324" s="31"/>
      <c r="C324"/>
      <c r="D324" s="25"/>
      <c r="E324"/>
      <c r="F324"/>
      <c r="G324" s="33"/>
      <c r="H324"/>
      <c r="I324"/>
      <c r="J324" s="65"/>
      <c r="K324"/>
      <c r="O324"/>
      <c r="P324" s="58"/>
    </row>
    <row r="325" spans="1:16" s="40" customFormat="1">
      <c r="A325"/>
      <c r="B325" s="31"/>
      <c r="C325"/>
      <c r="D325" s="25"/>
      <c r="E325"/>
      <c r="F325"/>
      <c r="G325" s="33"/>
      <c r="H325"/>
      <c r="I325"/>
      <c r="J325" s="65"/>
      <c r="K325"/>
      <c r="O325"/>
      <c r="P325" s="58"/>
    </row>
    <row r="326" spans="1:16" s="40" customFormat="1">
      <c r="A326"/>
      <c r="B326" s="31"/>
      <c r="C326"/>
      <c r="D326" s="25"/>
      <c r="E326"/>
      <c r="F326"/>
      <c r="G326" s="33"/>
      <c r="H326"/>
      <c r="I326"/>
      <c r="J326" s="65"/>
      <c r="K326"/>
      <c r="O326"/>
      <c r="P326" s="58"/>
    </row>
    <row r="327" spans="1:16" s="40" customFormat="1">
      <c r="A327"/>
      <c r="B327" s="31"/>
      <c r="C327"/>
      <c r="D327" s="25"/>
      <c r="E327"/>
      <c r="F327"/>
      <c r="G327" s="33"/>
      <c r="H327"/>
      <c r="I327"/>
      <c r="J327" s="65"/>
      <c r="K327"/>
      <c r="O327"/>
      <c r="P327" s="58"/>
    </row>
    <row r="328" spans="1:16" s="40" customFormat="1">
      <c r="A328"/>
      <c r="B328" s="31"/>
      <c r="C328"/>
      <c r="D328" s="25"/>
      <c r="E328"/>
      <c r="F328"/>
      <c r="G328" s="33"/>
      <c r="H328"/>
      <c r="I328"/>
      <c r="J328" s="65"/>
      <c r="K328"/>
      <c r="O328"/>
      <c r="P328" s="58"/>
    </row>
    <row r="329" spans="1:16" s="40" customFormat="1">
      <c r="A329"/>
      <c r="B329" s="31"/>
      <c r="C329"/>
      <c r="D329" s="25"/>
      <c r="E329"/>
      <c r="F329"/>
      <c r="G329" s="33"/>
      <c r="H329"/>
      <c r="I329"/>
      <c r="J329" s="65"/>
      <c r="K329"/>
      <c r="O329"/>
      <c r="P329" s="58"/>
    </row>
    <row r="330" spans="1:16" s="40" customFormat="1">
      <c r="A330"/>
      <c r="B330" s="31"/>
      <c r="C330"/>
      <c r="D330" s="25"/>
      <c r="E330"/>
      <c r="F330"/>
      <c r="G330" s="33"/>
      <c r="H330"/>
      <c r="I330"/>
      <c r="J330" s="65"/>
      <c r="K330"/>
      <c r="O330"/>
      <c r="P330" s="58"/>
    </row>
    <row r="331" spans="1:16" s="40" customFormat="1">
      <c r="A331"/>
      <c r="B331" s="31"/>
      <c r="C331"/>
      <c r="D331" s="25"/>
      <c r="E331"/>
      <c r="F331"/>
      <c r="G331" s="33"/>
      <c r="H331"/>
      <c r="I331"/>
      <c r="J331" s="65"/>
      <c r="K331"/>
      <c r="O331"/>
      <c r="P331" s="58"/>
    </row>
    <row r="332" spans="1:16" s="40" customFormat="1">
      <c r="A332"/>
      <c r="B332" s="31"/>
      <c r="C332"/>
      <c r="D332" s="25"/>
      <c r="E332"/>
      <c r="F332"/>
      <c r="G332" s="33"/>
      <c r="H332"/>
      <c r="I332"/>
      <c r="J332" s="65"/>
      <c r="K332"/>
      <c r="O332"/>
      <c r="P332" s="58"/>
    </row>
  </sheetData>
  <phoneticPr fontId="5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876D-ECB8-4E71-BDFA-4FB1D981C523}">
  <dimension ref="A1:Q965"/>
  <sheetViews>
    <sheetView zoomScale="90" zoomScaleNormal="90" workbookViewId="0">
      <pane ySplit="2" topLeftCell="A40" activePane="bottomLeft" state="frozen"/>
      <selection pane="bottomLeft" activeCell="M61" sqref="M61"/>
      <selection activeCell="C1" sqref="C1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27.42578125" customWidth="1"/>
    <col min="6" max="6" width="13.42578125" bestFit="1" customWidth="1"/>
    <col min="7" max="7" width="69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17.42578125" customWidth="1"/>
    <col min="16" max="16" width="20.42578125" style="58" bestFit="1" customWidth="1"/>
    <col min="17" max="17" width="14.85546875" style="40" bestFit="1" customWidth="1"/>
  </cols>
  <sheetData>
    <row r="1" spans="1:17" ht="18.75" customHeight="1">
      <c r="A1" s="13" t="s">
        <v>559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7" ht="18.75" customHeight="1">
      <c r="A3" s="5">
        <v>1060399</v>
      </c>
      <c r="B3" s="28">
        <v>126174</v>
      </c>
      <c r="C3" s="5" t="s">
        <v>59</v>
      </c>
      <c r="D3" s="22">
        <v>45803.684027777781</v>
      </c>
      <c r="E3" s="17" t="s">
        <v>19</v>
      </c>
      <c r="F3" s="5" t="s">
        <v>560</v>
      </c>
      <c r="G3" s="17" t="s">
        <v>561</v>
      </c>
      <c r="H3" s="6">
        <v>350</v>
      </c>
      <c r="I3" s="6">
        <v>144</v>
      </c>
      <c r="J3" s="62">
        <v>1</v>
      </c>
      <c r="K3" s="6" t="s">
        <v>56</v>
      </c>
      <c r="L3" s="36">
        <v>50400</v>
      </c>
      <c r="M3" s="42">
        <v>55440</v>
      </c>
      <c r="N3" s="56">
        <v>0</v>
      </c>
      <c r="O3" s="48" t="s">
        <v>71</v>
      </c>
      <c r="P3" s="59" t="s">
        <v>562</v>
      </c>
      <c r="Q3" s="67">
        <f>(M3+N3*1.1)/(I3*J3)</f>
        <v>385</v>
      </c>
    </row>
    <row r="4" spans="1:17" ht="18.75" customHeight="1">
      <c r="A4" s="5">
        <v>1060387</v>
      </c>
      <c r="B4" s="28">
        <v>126174</v>
      </c>
      <c r="C4" s="5" t="s">
        <v>59</v>
      </c>
      <c r="D4" s="22">
        <v>45803.684027777781</v>
      </c>
      <c r="E4" s="17" t="s">
        <v>19</v>
      </c>
      <c r="F4" s="5" t="s">
        <v>563</v>
      </c>
      <c r="G4" s="17" t="s">
        <v>564</v>
      </c>
      <c r="H4" s="6">
        <v>56500</v>
      </c>
      <c r="I4" s="6">
        <v>240</v>
      </c>
      <c r="J4" s="62">
        <v>1</v>
      </c>
      <c r="K4" s="6" t="s">
        <v>56</v>
      </c>
      <c r="L4" s="36">
        <v>56500</v>
      </c>
      <c r="M4" s="42">
        <v>62150</v>
      </c>
      <c r="N4" s="53">
        <v>0</v>
      </c>
      <c r="O4" s="48" t="s">
        <v>565</v>
      </c>
      <c r="P4" s="51" t="s">
        <v>440</v>
      </c>
      <c r="Q4" s="67">
        <f t="shared" ref="Q4:Q40" si="0">(M4+N4*1.1)/(I4*J4)</f>
        <v>258.95833333333331</v>
      </c>
    </row>
    <row r="5" spans="1:17" ht="18.75" customHeight="1">
      <c r="A5" s="5">
        <v>1054004</v>
      </c>
      <c r="B5" s="28">
        <v>125348</v>
      </c>
      <c r="C5" s="5" t="s">
        <v>59</v>
      </c>
      <c r="D5" s="22">
        <v>45794.931944444441</v>
      </c>
      <c r="E5" s="17" t="s">
        <v>23</v>
      </c>
      <c r="F5" s="5" t="s">
        <v>566</v>
      </c>
      <c r="G5" s="17" t="s">
        <v>567</v>
      </c>
      <c r="H5" s="6">
        <v>170</v>
      </c>
      <c r="I5" s="6">
        <v>300</v>
      </c>
      <c r="J5" s="62">
        <v>0.5</v>
      </c>
      <c r="K5" s="6" t="s">
        <v>56</v>
      </c>
      <c r="L5" s="36">
        <v>25500</v>
      </c>
      <c r="M5" s="42">
        <v>27540</v>
      </c>
      <c r="N5" s="53">
        <v>1500</v>
      </c>
      <c r="O5" s="48" t="s">
        <v>568</v>
      </c>
      <c r="P5" s="51" t="s">
        <v>189</v>
      </c>
      <c r="Q5" s="67">
        <f t="shared" si="0"/>
        <v>194.6</v>
      </c>
    </row>
    <row r="6" spans="1:17" ht="18.75" customHeight="1">
      <c r="A6" s="5">
        <v>1054001</v>
      </c>
      <c r="B6" s="28">
        <v>125348</v>
      </c>
      <c r="C6" s="5" t="s">
        <v>59</v>
      </c>
      <c r="D6" s="22">
        <v>45794.931944444441</v>
      </c>
      <c r="E6" s="17" t="s">
        <v>23</v>
      </c>
      <c r="F6" s="5" t="s">
        <v>569</v>
      </c>
      <c r="G6" s="17" t="s">
        <v>570</v>
      </c>
      <c r="H6" s="6">
        <v>995</v>
      </c>
      <c r="I6" s="6">
        <v>60</v>
      </c>
      <c r="J6" s="62">
        <v>0.5</v>
      </c>
      <c r="K6" s="6" t="s">
        <v>56</v>
      </c>
      <c r="L6" s="36">
        <v>29850</v>
      </c>
      <c r="M6" s="42">
        <v>32835</v>
      </c>
      <c r="N6" s="53">
        <v>1000</v>
      </c>
      <c r="O6" s="48" t="s">
        <v>568</v>
      </c>
      <c r="P6" s="51" t="s">
        <v>189</v>
      </c>
      <c r="Q6" s="67">
        <f t="shared" si="0"/>
        <v>1131.1666666666667</v>
      </c>
    </row>
    <row r="7" spans="1:17" ht="18.75" customHeight="1">
      <c r="A7" s="5">
        <v>1053623</v>
      </c>
      <c r="B7" s="28">
        <v>125281</v>
      </c>
      <c r="C7" s="5" t="s">
        <v>59</v>
      </c>
      <c r="D7" s="22">
        <v>45794.895138888889</v>
      </c>
      <c r="E7" s="17" t="s">
        <v>19</v>
      </c>
      <c r="F7" s="5" t="s">
        <v>571</v>
      </c>
      <c r="G7" s="17" t="s">
        <v>572</v>
      </c>
      <c r="H7" s="6">
        <v>57000</v>
      </c>
      <c r="I7" s="6">
        <v>448</v>
      </c>
      <c r="J7" s="62">
        <v>0.5</v>
      </c>
      <c r="K7" s="6" t="s">
        <v>56</v>
      </c>
      <c r="L7" s="36">
        <v>28500</v>
      </c>
      <c r="M7" s="42">
        <v>31350</v>
      </c>
      <c r="N7" s="53">
        <v>1000</v>
      </c>
      <c r="O7" s="48" t="s">
        <v>573</v>
      </c>
      <c r="P7" s="51" t="s">
        <v>574</v>
      </c>
      <c r="Q7" s="67">
        <f t="shared" si="0"/>
        <v>144.86607142857142</v>
      </c>
    </row>
    <row r="8" spans="1:17" ht="18.75" customHeight="1">
      <c r="A8" s="5">
        <v>1053619</v>
      </c>
      <c r="B8" s="28">
        <v>125281</v>
      </c>
      <c r="C8" s="5" t="s">
        <v>59</v>
      </c>
      <c r="D8" s="22">
        <v>45794.895138888889</v>
      </c>
      <c r="E8" s="17" t="s">
        <v>19</v>
      </c>
      <c r="F8" s="5" t="s">
        <v>208</v>
      </c>
      <c r="G8" s="17" t="s">
        <v>575</v>
      </c>
      <c r="H8" s="6">
        <v>61000</v>
      </c>
      <c r="I8" s="6">
        <v>432</v>
      </c>
      <c r="J8" s="62">
        <v>0.5</v>
      </c>
      <c r="K8" s="6" t="s">
        <v>56</v>
      </c>
      <c r="L8" s="36">
        <v>30500</v>
      </c>
      <c r="M8" s="42">
        <v>33550</v>
      </c>
      <c r="N8" s="53">
        <v>1000</v>
      </c>
      <c r="O8" s="48" t="s">
        <v>573</v>
      </c>
      <c r="P8" s="51" t="s">
        <v>440</v>
      </c>
      <c r="Q8" s="67">
        <f t="shared" si="0"/>
        <v>160.41666666666666</v>
      </c>
    </row>
    <row r="9" spans="1:17" ht="18.75" customHeight="1">
      <c r="A9" s="5">
        <v>1050663</v>
      </c>
      <c r="B9" s="28">
        <v>124822</v>
      </c>
      <c r="C9" s="5" t="s">
        <v>59</v>
      </c>
      <c r="D9" s="22">
        <v>45791.450694444444</v>
      </c>
      <c r="E9" s="17" t="s">
        <v>22</v>
      </c>
      <c r="F9" s="5" t="s">
        <v>441</v>
      </c>
      <c r="G9" s="17" t="s">
        <v>442</v>
      </c>
      <c r="H9" s="6">
        <v>65</v>
      </c>
      <c r="I9" s="6">
        <v>480</v>
      </c>
      <c r="J9" s="62">
        <v>0.5</v>
      </c>
      <c r="K9" s="6" t="s">
        <v>56</v>
      </c>
      <c r="L9" s="36">
        <v>15600</v>
      </c>
      <c r="M9" s="42">
        <v>17160</v>
      </c>
      <c r="N9" s="53">
        <v>800</v>
      </c>
      <c r="O9" s="48" t="s">
        <v>576</v>
      </c>
      <c r="P9" s="51" t="s">
        <v>444</v>
      </c>
      <c r="Q9" s="67">
        <f t="shared" si="0"/>
        <v>75.166666666666671</v>
      </c>
    </row>
    <row r="10" spans="1:17" ht="18.75" customHeight="1">
      <c r="A10" s="5">
        <v>1049355</v>
      </c>
      <c r="B10" s="28">
        <v>124815</v>
      </c>
      <c r="C10" s="5" t="s">
        <v>59</v>
      </c>
      <c r="D10" s="22">
        <v>45789.822222222225</v>
      </c>
      <c r="E10" s="17" t="s">
        <v>19</v>
      </c>
      <c r="F10" s="5" t="s">
        <v>323</v>
      </c>
      <c r="G10" s="17" t="s">
        <v>324</v>
      </c>
      <c r="H10" s="6">
        <v>350</v>
      </c>
      <c r="I10" s="6">
        <v>162</v>
      </c>
      <c r="J10" s="62">
        <v>1</v>
      </c>
      <c r="K10" s="6" t="s">
        <v>56</v>
      </c>
      <c r="L10" s="36">
        <v>56700</v>
      </c>
      <c r="M10" s="42">
        <v>62370</v>
      </c>
      <c r="N10" s="53">
        <v>0</v>
      </c>
      <c r="O10" s="48" t="s">
        <v>576</v>
      </c>
      <c r="P10" s="51" t="s">
        <v>326</v>
      </c>
      <c r="Q10" s="67">
        <f t="shared" si="0"/>
        <v>385</v>
      </c>
    </row>
    <row r="11" spans="1:17" ht="18.75" customHeight="1">
      <c r="A11" s="5">
        <v>1049349</v>
      </c>
      <c r="B11" s="28">
        <v>124815</v>
      </c>
      <c r="C11" s="5" t="s">
        <v>59</v>
      </c>
      <c r="D11" s="22">
        <v>45789.822222222225</v>
      </c>
      <c r="E11" s="17" t="s">
        <v>19</v>
      </c>
      <c r="F11" s="5" t="s">
        <v>482</v>
      </c>
      <c r="G11" s="17" t="s">
        <v>483</v>
      </c>
      <c r="H11" s="6">
        <v>150</v>
      </c>
      <c r="I11" s="6">
        <v>240</v>
      </c>
      <c r="J11" s="62">
        <v>1</v>
      </c>
      <c r="K11" s="6" t="s">
        <v>56</v>
      </c>
      <c r="L11" s="36">
        <v>36000</v>
      </c>
      <c r="M11" s="42">
        <v>39600</v>
      </c>
      <c r="N11" s="53">
        <v>0</v>
      </c>
      <c r="O11" s="48" t="s">
        <v>577</v>
      </c>
      <c r="P11" s="51" t="s">
        <v>485</v>
      </c>
      <c r="Q11" s="67">
        <f t="shared" si="0"/>
        <v>165</v>
      </c>
    </row>
    <row r="12" spans="1:17" ht="18.75" customHeight="1">
      <c r="A12" s="5">
        <v>1049347</v>
      </c>
      <c r="B12" s="28">
        <v>124814</v>
      </c>
      <c r="C12" s="5" t="s">
        <v>59</v>
      </c>
      <c r="D12" s="22">
        <v>45789.806944444441</v>
      </c>
      <c r="E12" s="17" t="s">
        <v>122</v>
      </c>
      <c r="F12" s="5" t="s">
        <v>323</v>
      </c>
      <c r="G12" s="17" t="s">
        <v>324</v>
      </c>
      <c r="H12" s="6">
        <v>350</v>
      </c>
      <c r="I12" s="6">
        <v>162</v>
      </c>
      <c r="J12" s="62">
        <v>1</v>
      </c>
      <c r="K12" s="6" t="s">
        <v>56</v>
      </c>
      <c r="L12" s="36">
        <v>56700</v>
      </c>
      <c r="M12" s="42">
        <v>62370</v>
      </c>
      <c r="N12" s="53">
        <v>0</v>
      </c>
      <c r="O12" s="48" t="s">
        <v>576</v>
      </c>
      <c r="P12" s="51" t="s">
        <v>326</v>
      </c>
      <c r="Q12" s="67">
        <f t="shared" si="0"/>
        <v>385</v>
      </c>
    </row>
    <row r="13" spans="1:17" ht="18.75" customHeight="1">
      <c r="A13" s="5">
        <v>1049341</v>
      </c>
      <c r="B13" s="28">
        <v>124670</v>
      </c>
      <c r="C13" s="5" t="s">
        <v>59</v>
      </c>
      <c r="D13" s="22">
        <v>45789.806250000001</v>
      </c>
      <c r="E13" s="17" t="s">
        <v>22</v>
      </c>
      <c r="F13" s="5" t="s">
        <v>323</v>
      </c>
      <c r="G13" s="17" t="s">
        <v>324</v>
      </c>
      <c r="H13" s="6">
        <v>350</v>
      </c>
      <c r="I13" s="6">
        <v>162</v>
      </c>
      <c r="J13" s="62">
        <v>1</v>
      </c>
      <c r="K13" s="6" t="s">
        <v>56</v>
      </c>
      <c r="L13" s="36">
        <v>56700</v>
      </c>
      <c r="M13" s="42">
        <v>62370</v>
      </c>
      <c r="N13" s="53">
        <v>0</v>
      </c>
      <c r="O13" s="48" t="s">
        <v>576</v>
      </c>
      <c r="P13" s="51" t="s">
        <v>326</v>
      </c>
      <c r="Q13" s="67">
        <f t="shared" si="0"/>
        <v>385</v>
      </c>
    </row>
    <row r="14" spans="1:17" ht="18.75" customHeight="1">
      <c r="A14" s="5">
        <v>1049342</v>
      </c>
      <c r="B14" s="28">
        <v>124670</v>
      </c>
      <c r="C14" s="5" t="s">
        <v>59</v>
      </c>
      <c r="D14" s="22">
        <v>45789.806250000001</v>
      </c>
      <c r="E14" s="17" t="s">
        <v>22</v>
      </c>
      <c r="F14" s="5" t="s">
        <v>578</v>
      </c>
      <c r="G14" s="17" t="s">
        <v>579</v>
      </c>
      <c r="H14" s="6">
        <v>170</v>
      </c>
      <c r="I14" s="6">
        <v>264</v>
      </c>
      <c r="J14" s="62">
        <v>1</v>
      </c>
      <c r="K14" s="6" t="s">
        <v>56</v>
      </c>
      <c r="L14" s="36">
        <v>44880</v>
      </c>
      <c r="M14" s="42">
        <v>49368</v>
      </c>
      <c r="N14" s="53">
        <v>0</v>
      </c>
      <c r="O14" s="48" t="s">
        <v>580</v>
      </c>
      <c r="P14" s="51" t="s">
        <v>581</v>
      </c>
      <c r="Q14" s="67">
        <f t="shared" si="0"/>
        <v>187</v>
      </c>
    </row>
    <row r="15" spans="1:17" ht="18.75" customHeight="1">
      <c r="A15" s="5">
        <v>1044793</v>
      </c>
      <c r="B15" s="28">
        <v>124413</v>
      </c>
      <c r="C15" s="5" t="s">
        <v>59</v>
      </c>
      <c r="D15" s="22">
        <v>45786.792361111111</v>
      </c>
      <c r="E15" s="17" t="s">
        <v>22</v>
      </c>
      <c r="F15" s="5" t="s">
        <v>582</v>
      </c>
      <c r="G15" s="17" t="s">
        <v>583</v>
      </c>
      <c r="H15" s="6">
        <v>690</v>
      </c>
      <c r="I15" s="6">
        <v>72</v>
      </c>
      <c r="J15" s="62">
        <v>2</v>
      </c>
      <c r="K15" s="6" t="s">
        <v>56</v>
      </c>
      <c r="L15" s="36">
        <v>99360</v>
      </c>
      <c r="M15" s="42">
        <v>109296</v>
      </c>
      <c r="N15" s="53">
        <v>0</v>
      </c>
      <c r="O15" s="48" t="s">
        <v>584</v>
      </c>
      <c r="P15" s="51" t="s">
        <v>517</v>
      </c>
      <c r="Q15" s="67">
        <f t="shared" si="0"/>
        <v>759</v>
      </c>
    </row>
    <row r="16" spans="1:17" ht="18.75" customHeight="1">
      <c r="A16" s="5">
        <v>1041985</v>
      </c>
      <c r="B16" s="28">
        <v>124191</v>
      </c>
      <c r="C16" s="5" t="s">
        <v>59</v>
      </c>
      <c r="D16" s="22">
        <v>45785.375694444447</v>
      </c>
      <c r="E16" s="17" t="s">
        <v>22</v>
      </c>
      <c r="F16" s="5" t="s">
        <v>585</v>
      </c>
      <c r="G16" s="17" t="s">
        <v>586</v>
      </c>
      <c r="H16" s="6">
        <v>1000</v>
      </c>
      <c r="I16" s="6">
        <v>36</v>
      </c>
      <c r="J16" s="62">
        <v>2</v>
      </c>
      <c r="K16" s="6" t="s">
        <v>56</v>
      </c>
      <c r="L16" s="36">
        <v>72000</v>
      </c>
      <c r="M16" s="42">
        <v>79200</v>
      </c>
      <c r="N16" s="53">
        <v>0</v>
      </c>
      <c r="O16" s="48" t="s">
        <v>565</v>
      </c>
      <c r="P16" s="51" t="s">
        <v>504</v>
      </c>
      <c r="Q16" s="67">
        <f t="shared" si="0"/>
        <v>1100</v>
      </c>
    </row>
    <row r="17" spans="1:17" ht="18.75" customHeight="1">
      <c r="A17" s="5">
        <v>1038261</v>
      </c>
      <c r="B17" s="28">
        <v>123985</v>
      </c>
      <c r="C17" s="5" t="s">
        <v>59</v>
      </c>
      <c r="D17" s="22">
        <v>45783.565972222219</v>
      </c>
      <c r="E17" s="17" t="s">
        <v>19</v>
      </c>
      <c r="F17" s="5" t="s">
        <v>587</v>
      </c>
      <c r="G17" s="17" t="s">
        <v>588</v>
      </c>
      <c r="H17" s="6">
        <v>45000</v>
      </c>
      <c r="I17" s="6">
        <v>240</v>
      </c>
      <c r="J17" s="62">
        <v>1</v>
      </c>
      <c r="K17" s="6" t="s">
        <v>56</v>
      </c>
      <c r="L17" s="36">
        <v>45000</v>
      </c>
      <c r="M17" s="42">
        <v>49500</v>
      </c>
      <c r="N17" s="53">
        <v>0</v>
      </c>
      <c r="O17" s="48" t="s">
        <v>589</v>
      </c>
      <c r="P17" s="51" t="s">
        <v>440</v>
      </c>
      <c r="Q17" s="67">
        <f t="shared" si="0"/>
        <v>206.25</v>
      </c>
    </row>
    <row r="18" spans="1:17" ht="18.75" customHeight="1">
      <c r="A18" s="5">
        <v>1038268</v>
      </c>
      <c r="B18" s="28">
        <v>123985</v>
      </c>
      <c r="C18" s="5" t="s">
        <v>59</v>
      </c>
      <c r="D18" s="22">
        <v>45783.565972222219</v>
      </c>
      <c r="E18" s="17" t="s">
        <v>19</v>
      </c>
      <c r="F18" s="5" t="s">
        <v>563</v>
      </c>
      <c r="G18" s="17" t="s">
        <v>564</v>
      </c>
      <c r="H18" s="6">
        <v>56500</v>
      </c>
      <c r="I18" s="6">
        <v>240</v>
      </c>
      <c r="J18" s="62">
        <v>1</v>
      </c>
      <c r="K18" s="6" t="s">
        <v>56</v>
      </c>
      <c r="L18" s="36">
        <v>56500</v>
      </c>
      <c r="M18" s="42">
        <v>62150</v>
      </c>
      <c r="N18" s="53">
        <v>0</v>
      </c>
      <c r="O18" s="133" t="s">
        <v>589</v>
      </c>
      <c r="P18" s="51" t="s">
        <v>440</v>
      </c>
      <c r="Q18" s="67">
        <f t="shared" si="0"/>
        <v>258.95833333333331</v>
      </c>
    </row>
    <row r="19" spans="1:17" ht="18.75" customHeight="1">
      <c r="A19" s="5">
        <v>1038267</v>
      </c>
      <c r="B19" s="28">
        <v>123985</v>
      </c>
      <c r="C19" s="5" t="s">
        <v>59</v>
      </c>
      <c r="D19" s="22">
        <v>45783.565972222219</v>
      </c>
      <c r="E19" s="17" t="s">
        <v>19</v>
      </c>
      <c r="F19" s="5" t="s">
        <v>590</v>
      </c>
      <c r="G19" s="17" t="s">
        <v>591</v>
      </c>
      <c r="H19" s="6">
        <v>50100</v>
      </c>
      <c r="I19" s="6">
        <v>288</v>
      </c>
      <c r="J19" s="62">
        <v>1</v>
      </c>
      <c r="K19" s="6" t="s">
        <v>56</v>
      </c>
      <c r="L19" s="36">
        <v>50100</v>
      </c>
      <c r="M19" s="42">
        <v>55110</v>
      </c>
      <c r="N19" s="53">
        <v>0</v>
      </c>
      <c r="O19" s="48" t="s">
        <v>589</v>
      </c>
      <c r="P19" s="51" t="s">
        <v>440</v>
      </c>
      <c r="Q19" s="67">
        <f t="shared" si="0"/>
        <v>191.35416666666666</v>
      </c>
    </row>
    <row r="20" spans="1:17" ht="18.75" customHeight="1">
      <c r="A20" s="5">
        <v>1038262</v>
      </c>
      <c r="B20" s="28">
        <v>123985</v>
      </c>
      <c r="C20" s="5" t="s">
        <v>59</v>
      </c>
      <c r="D20" s="22">
        <v>45783.565972222219</v>
      </c>
      <c r="E20" s="17" t="s">
        <v>19</v>
      </c>
      <c r="F20" s="5" t="s">
        <v>592</v>
      </c>
      <c r="G20" s="17" t="s">
        <v>593</v>
      </c>
      <c r="H20" s="6">
        <v>41000</v>
      </c>
      <c r="I20" s="6">
        <v>280</v>
      </c>
      <c r="J20" s="62">
        <v>1</v>
      </c>
      <c r="K20" s="6" t="s">
        <v>56</v>
      </c>
      <c r="L20" s="36">
        <v>41000</v>
      </c>
      <c r="M20" s="42">
        <v>45100</v>
      </c>
      <c r="N20" s="53">
        <v>0</v>
      </c>
      <c r="O20" s="48" t="s">
        <v>589</v>
      </c>
      <c r="P20" s="51" t="s">
        <v>440</v>
      </c>
      <c r="Q20" s="67">
        <f t="shared" si="0"/>
        <v>161.07142857142858</v>
      </c>
    </row>
    <row r="21" spans="1:17" ht="18.75" customHeight="1">
      <c r="A21" s="5">
        <v>1037802</v>
      </c>
      <c r="B21" s="28">
        <v>123965</v>
      </c>
      <c r="C21" s="5" t="s">
        <v>59</v>
      </c>
      <c r="D21" s="22">
        <v>45783.499305555553</v>
      </c>
      <c r="E21" s="17" t="s">
        <v>22</v>
      </c>
      <c r="F21" s="5" t="s">
        <v>594</v>
      </c>
      <c r="G21" s="17" t="s">
        <v>595</v>
      </c>
      <c r="H21" s="6">
        <v>1000</v>
      </c>
      <c r="I21" s="6">
        <v>60</v>
      </c>
      <c r="J21" s="62">
        <v>0.5</v>
      </c>
      <c r="K21" s="6" t="s">
        <v>56</v>
      </c>
      <c r="L21" s="36">
        <v>30000</v>
      </c>
      <c r="M21" s="42">
        <v>33000</v>
      </c>
      <c r="N21" s="53">
        <v>1000</v>
      </c>
      <c r="O21" s="48" t="s">
        <v>71</v>
      </c>
      <c r="P21" s="51" t="s">
        <v>488</v>
      </c>
      <c r="Q21" s="67">
        <f t="shared" si="0"/>
        <v>1136.6666666666667</v>
      </c>
    </row>
    <row r="22" spans="1:17" ht="18.75" customHeight="1">
      <c r="A22" s="14">
        <v>1035545</v>
      </c>
      <c r="B22" s="29">
        <v>123804</v>
      </c>
      <c r="C22" s="14" t="s">
        <v>59</v>
      </c>
      <c r="D22" s="23">
        <v>45781.791666666664</v>
      </c>
      <c r="E22" s="18" t="s">
        <v>22</v>
      </c>
      <c r="F22" s="14" t="s">
        <v>596</v>
      </c>
      <c r="G22" s="18" t="s">
        <v>597</v>
      </c>
      <c r="H22" s="15">
        <v>180</v>
      </c>
      <c r="I22" s="15">
        <v>40</v>
      </c>
      <c r="J22" s="63">
        <v>2</v>
      </c>
      <c r="K22" s="15" t="s">
        <v>107</v>
      </c>
      <c r="L22" s="38">
        <v>14400</v>
      </c>
      <c r="M22" s="44">
        <v>15840</v>
      </c>
      <c r="N22" s="55">
        <v>500</v>
      </c>
      <c r="O22" s="48" t="s">
        <v>108</v>
      </c>
      <c r="P22" s="51">
        <v>45809</v>
      </c>
      <c r="Q22" s="67">
        <f t="shared" si="0"/>
        <v>204.875</v>
      </c>
    </row>
    <row r="23" spans="1:17" ht="18.75" customHeight="1">
      <c r="A23" s="5">
        <v>1035515</v>
      </c>
      <c r="B23" s="28">
        <v>123801</v>
      </c>
      <c r="C23" s="5" t="s">
        <v>59</v>
      </c>
      <c r="D23" s="22">
        <v>45781.788194444445</v>
      </c>
      <c r="E23" s="17" t="s">
        <v>19</v>
      </c>
      <c r="F23" s="5" t="s">
        <v>598</v>
      </c>
      <c r="G23" s="17" t="s">
        <v>599</v>
      </c>
      <c r="H23" s="6">
        <v>180</v>
      </c>
      <c r="I23" s="6">
        <v>40</v>
      </c>
      <c r="J23" s="62">
        <v>1</v>
      </c>
      <c r="K23" s="6" t="s">
        <v>107</v>
      </c>
      <c r="L23" s="36">
        <v>7200</v>
      </c>
      <c r="M23" s="42">
        <v>7920</v>
      </c>
      <c r="N23" s="56">
        <v>480</v>
      </c>
      <c r="O23" s="48" t="s">
        <v>108</v>
      </c>
      <c r="P23" s="51">
        <v>45778</v>
      </c>
      <c r="Q23" s="67">
        <f t="shared" si="0"/>
        <v>211.2</v>
      </c>
    </row>
    <row r="24" spans="1:17" ht="18.75" customHeight="1">
      <c r="A24" s="134">
        <v>1033912</v>
      </c>
      <c r="B24" s="28">
        <v>123660</v>
      </c>
      <c r="C24" s="5" t="s">
        <v>59</v>
      </c>
      <c r="D24" s="22">
        <v>45780.481944444444</v>
      </c>
      <c r="E24" s="135" t="s">
        <v>22</v>
      </c>
      <c r="F24" s="134" t="s">
        <v>578</v>
      </c>
      <c r="G24" s="17" t="s">
        <v>579</v>
      </c>
      <c r="H24" s="16">
        <v>170</v>
      </c>
      <c r="I24" s="16">
        <v>264</v>
      </c>
      <c r="J24" s="136">
        <v>1</v>
      </c>
      <c r="K24" s="16" t="s">
        <v>56</v>
      </c>
      <c r="L24" s="36">
        <v>44880</v>
      </c>
      <c r="M24" s="45">
        <v>49368</v>
      </c>
      <c r="N24" s="53">
        <v>0</v>
      </c>
      <c r="O24" s="50" t="s">
        <v>580</v>
      </c>
      <c r="P24" s="51" t="s">
        <v>581</v>
      </c>
      <c r="Q24" s="67">
        <f t="shared" si="0"/>
        <v>187</v>
      </c>
    </row>
    <row r="25" spans="1:17" ht="18.75" customHeight="1">
      <c r="A25" s="5">
        <v>1028782</v>
      </c>
      <c r="B25" s="28">
        <v>123217</v>
      </c>
      <c r="C25" s="5" t="s">
        <v>59</v>
      </c>
      <c r="D25" s="22">
        <v>45778.574305555558</v>
      </c>
      <c r="E25" s="17" t="s">
        <v>19</v>
      </c>
      <c r="F25" s="5" t="s">
        <v>600</v>
      </c>
      <c r="G25" s="17" t="s">
        <v>601</v>
      </c>
      <c r="H25" s="6">
        <v>690</v>
      </c>
      <c r="I25" s="6">
        <v>72</v>
      </c>
      <c r="J25" s="62">
        <v>1</v>
      </c>
      <c r="K25" s="6" t="s">
        <v>56</v>
      </c>
      <c r="L25" s="36">
        <v>49680</v>
      </c>
      <c r="M25" s="42">
        <v>54648</v>
      </c>
      <c r="N25" s="53">
        <v>0</v>
      </c>
      <c r="O25" s="48" t="s">
        <v>602</v>
      </c>
      <c r="P25" s="51" t="s">
        <v>603</v>
      </c>
      <c r="Q25" s="67">
        <f t="shared" si="0"/>
        <v>759</v>
      </c>
    </row>
    <row r="26" spans="1:17" ht="18.75" customHeight="1">
      <c r="A26" s="5">
        <v>1013275</v>
      </c>
      <c r="B26" s="28">
        <v>121216</v>
      </c>
      <c r="C26" s="5" t="s">
        <v>59</v>
      </c>
      <c r="D26" s="22">
        <v>45758.615972222222</v>
      </c>
      <c r="E26" s="17" t="s">
        <v>22</v>
      </c>
      <c r="F26" s="5" t="s">
        <v>578</v>
      </c>
      <c r="G26" s="17" t="s">
        <v>579</v>
      </c>
      <c r="H26" s="6">
        <v>170</v>
      </c>
      <c r="I26" s="6">
        <v>264</v>
      </c>
      <c r="J26" s="62">
        <v>2</v>
      </c>
      <c r="K26" s="6" t="s">
        <v>56</v>
      </c>
      <c r="L26" s="36">
        <v>89760</v>
      </c>
      <c r="M26" s="42">
        <v>98736</v>
      </c>
      <c r="N26" s="53">
        <v>0</v>
      </c>
      <c r="O26" s="48" t="s">
        <v>604</v>
      </c>
      <c r="P26" s="51" t="s">
        <v>581</v>
      </c>
      <c r="Q26" s="67">
        <f t="shared" si="0"/>
        <v>187</v>
      </c>
    </row>
    <row r="27" spans="1:17" ht="18.75" customHeight="1">
      <c r="A27" s="5">
        <v>1009805</v>
      </c>
      <c r="B27" s="30">
        <v>120857</v>
      </c>
      <c r="C27" s="5" t="s">
        <v>59</v>
      </c>
      <c r="D27" s="22">
        <v>45756.686805555553</v>
      </c>
      <c r="E27" s="17" t="s">
        <v>19</v>
      </c>
      <c r="F27" s="5" t="s">
        <v>605</v>
      </c>
      <c r="G27" s="17" t="s">
        <v>606</v>
      </c>
      <c r="H27" s="6">
        <v>630</v>
      </c>
      <c r="I27" s="6">
        <v>84</v>
      </c>
      <c r="J27" s="62">
        <v>1</v>
      </c>
      <c r="K27" s="6" t="s">
        <v>56</v>
      </c>
      <c r="L27" s="36">
        <v>52920</v>
      </c>
      <c r="M27" s="42">
        <v>58212</v>
      </c>
      <c r="N27" s="53">
        <v>0</v>
      </c>
      <c r="O27" s="48" t="s">
        <v>607</v>
      </c>
      <c r="P27" s="51" t="s">
        <v>608</v>
      </c>
      <c r="Q27" s="67">
        <f t="shared" si="0"/>
        <v>693</v>
      </c>
    </row>
    <row r="28" spans="1:17" ht="18.75" customHeight="1">
      <c r="A28" s="7">
        <v>996116</v>
      </c>
      <c r="B28" s="30">
        <v>119962</v>
      </c>
      <c r="C28" s="8" t="s">
        <v>59</v>
      </c>
      <c r="D28" s="24">
        <v>45748.911111111112</v>
      </c>
      <c r="E28" s="19" t="s">
        <v>19</v>
      </c>
      <c r="F28" s="8" t="s">
        <v>609</v>
      </c>
      <c r="G28" s="19" t="s">
        <v>610</v>
      </c>
      <c r="H28" s="9">
        <v>1000</v>
      </c>
      <c r="I28" s="9">
        <v>60</v>
      </c>
      <c r="J28" s="64">
        <v>1</v>
      </c>
      <c r="K28" s="9" t="s">
        <v>56</v>
      </c>
      <c r="L28" s="39">
        <v>60000</v>
      </c>
      <c r="M28" s="46">
        <v>66000</v>
      </c>
      <c r="N28" s="53">
        <v>0</v>
      </c>
      <c r="O28" s="48" t="s">
        <v>71</v>
      </c>
      <c r="P28" s="51" t="s">
        <v>488</v>
      </c>
      <c r="Q28" s="67">
        <f t="shared" si="0"/>
        <v>1100</v>
      </c>
    </row>
    <row r="29" spans="1:17" ht="18.75" customHeight="1">
      <c r="A29" s="137">
        <v>996112</v>
      </c>
      <c r="B29" s="28">
        <v>119961</v>
      </c>
      <c r="C29" s="5" t="s">
        <v>59</v>
      </c>
      <c r="D29" s="22">
        <v>45748.909722222219</v>
      </c>
      <c r="E29" s="17" t="s">
        <v>122</v>
      </c>
      <c r="F29" s="5" t="s">
        <v>611</v>
      </c>
      <c r="G29" s="17" t="s">
        <v>612</v>
      </c>
      <c r="H29" s="6">
        <v>1000</v>
      </c>
      <c r="I29" s="6">
        <v>60</v>
      </c>
      <c r="J29" s="62">
        <v>2</v>
      </c>
      <c r="K29" s="6" t="s">
        <v>56</v>
      </c>
      <c r="L29" s="36">
        <v>120000</v>
      </c>
      <c r="M29" s="46">
        <v>132000</v>
      </c>
      <c r="N29" s="53">
        <v>0</v>
      </c>
      <c r="O29" s="48" t="s">
        <v>71</v>
      </c>
      <c r="P29" s="51" t="s">
        <v>488</v>
      </c>
      <c r="Q29" s="67">
        <f t="shared" si="0"/>
        <v>1100</v>
      </c>
    </row>
    <row r="30" spans="1:17" ht="18.75" customHeight="1">
      <c r="A30" s="137">
        <v>996111</v>
      </c>
      <c r="B30" s="28">
        <v>119960</v>
      </c>
      <c r="C30" s="5" t="s">
        <v>59</v>
      </c>
      <c r="D30" s="22">
        <v>45748.90902777778</v>
      </c>
      <c r="E30" s="17" t="s">
        <v>22</v>
      </c>
      <c r="F30" s="5" t="s">
        <v>611</v>
      </c>
      <c r="G30" s="17" t="s">
        <v>612</v>
      </c>
      <c r="H30" s="6">
        <v>1000</v>
      </c>
      <c r="I30" s="6">
        <v>60</v>
      </c>
      <c r="J30" s="62">
        <v>2</v>
      </c>
      <c r="K30" s="6" t="s">
        <v>56</v>
      </c>
      <c r="L30" s="36">
        <v>120000</v>
      </c>
      <c r="M30" s="46">
        <v>132000</v>
      </c>
      <c r="N30" s="53">
        <v>0</v>
      </c>
      <c r="O30" s="48" t="s">
        <v>71</v>
      </c>
      <c r="P30" s="51" t="s">
        <v>488</v>
      </c>
      <c r="Q30" s="67">
        <f t="shared" si="0"/>
        <v>1100</v>
      </c>
    </row>
    <row r="31" spans="1:17" ht="18.75" customHeight="1">
      <c r="A31" s="137">
        <v>962701</v>
      </c>
      <c r="B31" s="28">
        <v>116398</v>
      </c>
      <c r="C31" s="5" t="s">
        <v>59</v>
      </c>
      <c r="D31" s="22">
        <v>45719.952777777777</v>
      </c>
      <c r="E31" s="17" t="s">
        <v>22</v>
      </c>
      <c r="F31" s="5" t="s">
        <v>613</v>
      </c>
      <c r="G31" s="17" t="s">
        <v>614</v>
      </c>
      <c r="H31" s="6">
        <v>240</v>
      </c>
      <c r="I31" s="6">
        <v>240</v>
      </c>
      <c r="J31" s="62">
        <v>1</v>
      </c>
      <c r="K31" s="6" t="s">
        <v>56</v>
      </c>
      <c r="L31" s="36">
        <v>57600</v>
      </c>
      <c r="M31" s="46">
        <v>63360</v>
      </c>
      <c r="N31" s="53">
        <v>0</v>
      </c>
      <c r="O31" s="48" t="s">
        <v>615</v>
      </c>
      <c r="P31" s="51" t="s">
        <v>616</v>
      </c>
      <c r="Q31" s="67">
        <f t="shared" si="0"/>
        <v>264</v>
      </c>
    </row>
    <row r="32" spans="1:17" ht="18.75" customHeight="1">
      <c r="A32" s="10">
        <v>955179</v>
      </c>
      <c r="B32" s="138">
        <v>115565</v>
      </c>
      <c r="C32" s="134" t="s">
        <v>59</v>
      </c>
      <c r="D32" s="139">
        <v>45713.636111111111</v>
      </c>
      <c r="E32" s="135" t="s">
        <v>22</v>
      </c>
      <c r="F32" s="134" t="s">
        <v>609</v>
      </c>
      <c r="G32" s="135" t="s">
        <v>610</v>
      </c>
      <c r="H32" s="16">
        <v>1000</v>
      </c>
      <c r="I32" s="16">
        <v>60</v>
      </c>
      <c r="J32" s="136">
        <v>1</v>
      </c>
      <c r="K32" s="16" t="s">
        <v>56</v>
      </c>
      <c r="L32" s="140">
        <v>60000</v>
      </c>
      <c r="M32" s="45">
        <v>66000</v>
      </c>
      <c r="N32" s="53">
        <v>0</v>
      </c>
      <c r="O32" s="48" t="s">
        <v>71</v>
      </c>
      <c r="P32" s="51" t="s">
        <v>488</v>
      </c>
      <c r="Q32" s="67">
        <f t="shared" si="0"/>
        <v>1100</v>
      </c>
    </row>
    <row r="33" spans="1:17" ht="18.75" customHeight="1">
      <c r="A33" s="5">
        <v>942028</v>
      </c>
      <c r="B33" s="28">
        <v>113134</v>
      </c>
      <c r="C33" s="5" t="s">
        <v>59</v>
      </c>
      <c r="D33" s="22">
        <v>45697.793055555558</v>
      </c>
      <c r="E33" s="17" t="s">
        <v>19</v>
      </c>
      <c r="F33" s="5" t="s">
        <v>617</v>
      </c>
      <c r="G33" s="17" t="s">
        <v>618</v>
      </c>
      <c r="H33" s="6">
        <v>24000</v>
      </c>
      <c r="I33" s="6">
        <v>24</v>
      </c>
      <c r="J33" s="62">
        <v>1</v>
      </c>
      <c r="K33" s="6" t="s">
        <v>56</v>
      </c>
      <c r="L33" s="36">
        <v>24000</v>
      </c>
      <c r="M33" s="42">
        <v>26400</v>
      </c>
      <c r="N33" s="53">
        <v>4000</v>
      </c>
      <c r="O33" s="48" t="s">
        <v>619</v>
      </c>
      <c r="P33" s="51" t="s">
        <v>620</v>
      </c>
      <c r="Q33" s="67">
        <f t="shared" si="0"/>
        <v>1283.3333333333333</v>
      </c>
    </row>
    <row r="34" spans="1:17" ht="18.75" customHeight="1">
      <c r="A34" s="14">
        <v>942031</v>
      </c>
      <c r="B34" s="29">
        <v>113134</v>
      </c>
      <c r="C34" s="14" t="s">
        <v>59</v>
      </c>
      <c r="D34" s="23">
        <v>45697.793055555558</v>
      </c>
      <c r="E34" s="18" t="s">
        <v>19</v>
      </c>
      <c r="F34" s="14" t="s">
        <v>621</v>
      </c>
      <c r="G34" s="18" t="s">
        <v>622</v>
      </c>
      <c r="H34" s="15">
        <v>62500</v>
      </c>
      <c r="I34" s="15">
        <v>64</v>
      </c>
      <c r="J34" s="63">
        <v>0.25</v>
      </c>
      <c r="K34" s="15" t="s">
        <v>56</v>
      </c>
      <c r="L34" s="38">
        <v>15625</v>
      </c>
      <c r="M34" s="44">
        <v>17188</v>
      </c>
      <c r="N34" s="55">
        <v>1000</v>
      </c>
      <c r="O34" s="48" t="s">
        <v>623</v>
      </c>
      <c r="P34" s="51" t="s">
        <v>440</v>
      </c>
      <c r="Q34" s="67">
        <f t="shared" si="0"/>
        <v>1143</v>
      </c>
    </row>
    <row r="35" spans="1:17" ht="18.75" customHeight="1">
      <c r="A35" s="5">
        <v>910363</v>
      </c>
      <c r="B35" s="28">
        <v>110209</v>
      </c>
      <c r="C35" s="5" t="s">
        <v>59</v>
      </c>
      <c r="D35" s="22">
        <v>45665.963888888888</v>
      </c>
      <c r="E35" s="17" t="s">
        <v>537</v>
      </c>
      <c r="F35" s="5" t="s">
        <v>624</v>
      </c>
      <c r="G35" s="17" t="s">
        <v>625</v>
      </c>
      <c r="H35" s="6">
        <v>180</v>
      </c>
      <c r="I35" s="6">
        <v>40</v>
      </c>
      <c r="J35" s="62">
        <v>4</v>
      </c>
      <c r="K35" s="6" t="s">
        <v>107</v>
      </c>
      <c r="L35" s="36">
        <v>28800</v>
      </c>
      <c r="M35" s="42">
        <v>31680</v>
      </c>
      <c r="N35" s="56">
        <v>540</v>
      </c>
      <c r="O35" s="48" t="s">
        <v>626</v>
      </c>
      <c r="P35" s="51" t="s">
        <v>627</v>
      </c>
      <c r="Q35" s="67">
        <f t="shared" si="0"/>
        <v>201.71250000000001</v>
      </c>
    </row>
    <row r="36" spans="1:17" ht="18.75" customHeight="1">
      <c r="A36" s="134">
        <v>908774</v>
      </c>
      <c r="B36" s="28">
        <v>110111</v>
      </c>
      <c r="C36" s="5" t="s">
        <v>59</v>
      </c>
      <c r="D36" s="22">
        <v>45664.923611111109</v>
      </c>
      <c r="E36" s="135" t="s">
        <v>23</v>
      </c>
      <c r="F36" s="134" t="s">
        <v>611</v>
      </c>
      <c r="G36" s="17" t="s">
        <v>612</v>
      </c>
      <c r="H36" s="16">
        <v>1000</v>
      </c>
      <c r="I36" s="16">
        <v>60</v>
      </c>
      <c r="J36" s="136">
        <v>2</v>
      </c>
      <c r="K36" s="16" t="s">
        <v>56</v>
      </c>
      <c r="L36" s="36">
        <v>120000</v>
      </c>
      <c r="M36" s="45">
        <v>132000</v>
      </c>
      <c r="N36" s="53">
        <v>0</v>
      </c>
      <c r="O36" s="50" t="s">
        <v>71</v>
      </c>
      <c r="P36" s="51" t="s">
        <v>488</v>
      </c>
      <c r="Q36" s="67">
        <f t="shared" si="0"/>
        <v>1100</v>
      </c>
    </row>
    <row r="37" spans="1:17" ht="18.75" customHeight="1">
      <c r="A37" s="5">
        <v>908773</v>
      </c>
      <c r="B37" s="28">
        <v>110110</v>
      </c>
      <c r="C37" s="5" t="s">
        <v>59</v>
      </c>
      <c r="D37" s="22">
        <v>45664.92291666667</v>
      </c>
      <c r="E37" s="17" t="s">
        <v>19</v>
      </c>
      <c r="F37" s="5" t="s">
        <v>611</v>
      </c>
      <c r="G37" s="17" t="s">
        <v>612</v>
      </c>
      <c r="H37" s="6">
        <v>1000</v>
      </c>
      <c r="I37" s="6">
        <v>60</v>
      </c>
      <c r="J37" s="62">
        <v>2</v>
      </c>
      <c r="K37" s="6" t="s">
        <v>56</v>
      </c>
      <c r="L37" s="36">
        <v>120000</v>
      </c>
      <c r="M37" s="42">
        <v>132000</v>
      </c>
      <c r="N37" s="53">
        <v>0</v>
      </c>
      <c r="O37" s="48" t="s">
        <v>71</v>
      </c>
      <c r="P37" s="51" t="s">
        <v>488</v>
      </c>
      <c r="Q37" s="67">
        <f t="shared" si="0"/>
        <v>1100</v>
      </c>
    </row>
    <row r="38" spans="1:17" ht="18.75" customHeight="1">
      <c r="A38" s="5">
        <v>908768</v>
      </c>
      <c r="B38" s="28">
        <v>110109</v>
      </c>
      <c r="C38" s="5" t="s">
        <v>59</v>
      </c>
      <c r="D38" s="22">
        <v>45664.922222222223</v>
      </c>
      <c r="E38" s="17" t="s">
        <v>537</v>
      </c>
      <c r="F38" s="5" t="s">
        <v>609</v>
      </c>
      <c r="G38" s="17" t="s">
        <v>610</v>
      </c>
      <c r="H38" s="6">
        <v>1000</v>
      </c>
      <c r="I38" s="6">
        <v>60</v>
      </c>
      <c r="J38" s="62">
        <v>0.5</v>
      </c>
      <c r="K38" s="6" t="s">
        <v>56</v>
      </c>
      <c r="L38" s="36">
        <v>30000</v>
      </c>
      <c r="M38" s="42">
        <v>33000</v>
      </c>
      <c r="N38" s="53">
        <v>1000</v>
      </c>
      <c r="O38" s="48" t="s">
        <v>71</v>
      </c>
      <c r="P38" s="51" t="s">
        <v>488</v>
      </c>
      <c r="Q38" s="67">
        <f t="shared" si="0"/>
        <v>1136.6666666666667</v>
      </c>
    </row>
    <row r="39" spans="1:17" ht="18.75" customHeight="1">
      <c r="A39" s="5">
        <v>908765</v>
      </c>
      <c r="B39" s="30">
        <v>110109</v>
      </c>
      <c r="C39" s="5" t="s">
        <v>59</v>
      </c>
      <c r="D39" s="22">
        <v>45664.922222222223</v>
      </c>
      <c r="E39" s="17" t="s">
        <v>537</v>
      </c>
      <c r="F39" s="5" t="s">
        <v>611</v>
      </c>
      <c r="G39" s="17" t="s">
        <v>612</v>
      </c>
      <c r="H39" s="6">
        <v>1000</v>
      </c>
      <c r="I39" s="6">
        <v>60</v>
      </c>
      <c r="J39" s="62">
        <v>2</v>
      </c>
      <c r="K39" s="6" t="s">
        <v>56</v>
      </c>
      <c r="L39" s="36">
        <v>120000</v>
      </c>
      <c r="M39" s="42">
        <v>132000</v>
      </c>
      <c r="N39" s="53">
        <v>0</v>
      </c>
      <c r="O39" s="48" t="s">
        <v>71</v>
      </c>
      <c r="P39" s="51" t="s">
        <v>488</v>
      </c>
      <c r="Q39" s="67">
        <f t="shared" si="0"/>
        <v>1100</v>
      </c>
    </row>
    <row r="40" spans="1:17" ht="18.75" customHeight="1">
      <c r="A40" s="7">
        <v>904992</v>
      </c>
      <c r="B40" s="30">
        <v>109791</v>
      </c>
      <c r="C40" s="8" t="s">
        <v>59</v>
      </c>
      <c r="D40" s="24">
        <v>45663.345138888886</v>
      </c>
      <c r="E40" s="19" t="s">
        <v>537</v>
      </c>
      <c r="F40" s="8" t="s">
        <v>628</v>
      </c>
      <c r="G40" s="19" t="s">
        <v>629</v>
      </c>
      <c r="H40" s="9">
        <v>1000</v>
      </c>
      <c r="I40" s="9">
        <v>48</v>
      </c>
      <c r="J40" s="64">
        <v>1</v>
      </c>
      <c r="K40" s="9" t="s">
        <v>56</v>
      </c>
      <c r="L40" s="39">
        <v>48000</v>
      </c>
      <c r="M40" s="46">
        <v>52800</v>
      </c>
      <c r="N40" s="53">
        <v>0</v>
      </c>
      <c r="O40" s="48" t="s">
        <v>615</v>
      </c>
      <c r="P40" s="51" t="s">
        <v>630</v>
      </c>
      <c r="Q40" s="67">
        <f t="shared" si="0"/>
        <v>1100</v>
      </c>
    </row>
    <row r="41" spans="1:17" ht="18.75" customHeight="1">
      <c r="A41" s="137"/>
      <c r="B41" s="28"/>
      <c r="C41" s="5"/>
      <c r="D41" s="22"/>
      <c r="E41" s="17"/>
      <c r="F41" s="5"/>
      <c r="G41" s="17"/>
      <c r="H41" s="6"/>
      <c r="I41" s="6"/>
      <c r="J41" s="62"/>
      <c r="K41" s="6"/>
      <c r="L41" s="36"/>
      <c r="M41" s="46"/>
      <c r="N41" s="53"/>
      <c r="O41" s="48"/>
      <c r="P41" s="51"/>
      <c r="Q41" s="67"/>
    </row>
    <row r="42" spans="1:17" ht="18.75" customHeight="1">
      <c r="A42" s="137"/>
      <c r="B42" s="28"/>
      <c r="C42" s="5"/>
      <c r="D42" s="22"/>
      <c r="E42" s="17"/>
      <c r="F42" s="5"/>
      <c r="G42" s="17"/>
      <c r="H42" s="6"/>
      <c r="I42" s="6"/>
      <c r="J42" s="62"/>
      <c r="K42" s="6"/>
      <c r="L42" s="36"/>
      <c r="M42" s="46"/>
      <c r="N42" s="53"/>
      <c r="O42" s="48"/>
      <c r="P42" s="51"/>
      <c r="Q42" s="67"/>
    </row>
    <row r="43" spans="1:17" ht="18.75" customHeight="1">
      <c r="A43" s="137"/>
      <c r="B43" s="28"/>
      <c r="C43" s="5"/>
      <c r="D43" s="22"/>
      <c r="E43" s="17"/>
      <c r="F43" s="5"/>
      <c r="G43" s="17"/>
      <c r="H43" s="6"/>
      <c r="I43" s="6"/>
      <c r="J43" s="62"/>
      <c r="K43" s="6"/>
      <c r="L43" s="36"/>
      <c r="M43" s="46"/>
      <c r="N43" s="53"/>
      <c r="O43" s="48"/>
      <c r="P43" s="51"/>
      <c r="Q43" s="67"/>
    </row>
    <row r="44" spans="1:17" ht="18.75" customHeight="1">
      <c r="A44" s="10"/>
      <c r="B44" s="138"/>
      <c r="C44" s="134"/>
      <c r="D44" s="139"/>
      <c r="E44" s="135"/>
      <c r="F44" s="134"/>
      <c r="G44" s="135"/>
      <c r="H44" s="16"/>
      <c r="I44" s="16"/>
      <c r="J44" s="136"/>
      <c r="K44" s="16"/>
      <c r="L44" s="140"/>
      <c r="M44" s="45"/>
      <c r="N44" s="53"/>
      <c r="O44" s="48"/>
      <c r="P44" s="51"/>
      <c r="Q44" s="67"/>
    </row>
    <row r="45" spans="1:17" ht="18.75" customHeight="1">
      <c r="A45" s="5"/>
      <c r="B45" s="28"/>
      <c r="C45" s="5"/>
      <c r="D45" s="22"/>
      <c r="E45" s="17"/>
      <c r="F45" s="5"/>
      <c r="G45" s="17"/>
      <c r="H45" s="6"/>
      <c r="I45" s="6"/>
      <c r="J45" s="62"/>
      <c r="K45" s="6"/>
      <c r="L45" s="36"/>
      <c r="M45" s="42"/>
      <c r="N45" s="53"/>
      <c r="O45" s="48"/>
      <c r="P45" s="51"/>
      <c r="Q45" s="67"/>
    </row>
    <row r="46" spans="1:17" ht="18.75" customHeight="1">
      <c r="A46" s="1"/>
      <c r="B46" s="26"/>
      <c r="C46" s="1"/>
      <c r="D46" s="20"/>
      <c r="E46" s="1"/>
      <c r="F46" s="1"/>
      <c r="G46" s="32"/>
      <c r="H46" s="2"/>
      <c r="I46" s="2"/>
      <c r="J46" s="60"/>
      <c r="K46" s="2"/>
      <c r="L46" s="34"/>
      <c r="M46" s="34">
        <f>SUM(M3:N45)</f>
        <v>2284431</v>
      </c>
      <c r="N46" s="34"/>
      <c r="O46" s="131"/>
    </row>
    <row r="47" spans="1:17" ht="18.75" customHeight="1">
      <c r="A47" s="1"/>
      <c r="B47" s="26"/>
      <c r="C47" s="1"/>
      <c r="D47" s="20"/>
      <c r="E47" s="1"/>
      <c r="F47" s="1"/>
      <c r="G47" s="32"/>
      <c r="H47" s="2"/>
      <c r="I47" s="2"/>
      <c r="J47" s="60"/>
      <c r="K47" s="2"/>
      <c r="L47" s="34"/>
      <c r="M47" s="34"/>
    </row>
    <row r="48" spans="1:17" ht="18.75" customHeight="1">
      <c r="A48" s="166" t="s">
        <v>18</v>
      </c>
      <c r="B48" s="167"/>
      <c r="C48" s="166"/>
      <c r="D48" s="168">
        <v>45772</v>
      </c>
      <c r="E48" s="132" t="s">
        <v>32</v>
      </c>
      <c r="F48" s="166"/>
      <c r="G48" s="132" t="s">
        <v>631</v>
      </c>
      <c r="H48" s="169">
        <v>700</v>
      </c>
      <c r="I48" s="169">
        <v>80</v>
      </c>
      <c r="J48" s="170">
        <v>1</v>
      </c>
      <c r="K48" s="169"/>
      <c r="L48" s="171">
        <f>H48*I48*J48</f>
        <v>56000</v>
      </c>
      <c r="M48" s="171">
        <f>L48*1.1</f>
        <v>61600.000000000007</v>
      </c>
      <c r="N48" s="53"/>
      <c r="O48" s="48"/>
      <c r="P48" s="51"/>
      <c r="Q48" s="67">
        <f>(M48+N48*1.1)/(I48*J48)</f>
        <v>770.00000000000011</v>
      </c>
    </row>
    <row r="49" spans="1:17" ht="18.75" customHeight="1">
      <c r="A49" s="122"/>
      <c r="B49" s="123"/>
      <c r="C49" s="122"/>
      <c r="D49" s="124">
        <v>45772</v>
      </c>
      <c r="E49" s="132" t="s">
        <v>32</v>
      </c>
      <c r="F49" s="122"/>
      <c r="G49" s="132" t="s">
        <v>632</v>
      </c>
      <c r="H49" s="125">
        <v>700</v>
      </c>
      <c r="I49" s="125">
        <v>80</v>
      </c>
      <c r="J49" s="126">
        <v>0.5</v>
      </c>
      <c r="K49" s="125"/>
      <c r="L49" s="171">
        <f t="shared" ref="L49:L63" si="1">H49*I49*J49</f>
        <v>28000</v>
      </c>
      <c r="M49" s="95">
        <f>L49*1.1</f>
        <v>30800.000000000004</v>
      </c>
      <c r="N49" s="56"/>
      <c r="O49" s="49"/>
      <c r="P49" s="59"/>
      <c r="Q49" s="67">
        <f t="shared" ref="Q49:Q67" si="2">(M49+N49*1.1)/(I49*J49)</f>
        <v>770.00000000000011</v>
      </c>
    </row>
    <row r="50" spans="1:17" ht="18.75" customHeight="1">
      <c r="A50" s="122"/>
      <c r="B50" s="123"/>
      <c r="C50" s="122"/>
      <c r="D50" s="124">
        <v>45772</v>
      </c>
      <c r="E50" s="18" t="s">
        <v>34</v>
      </c>
      <c r="F50" s="122"/>
      <c r="G50" s="132" t="s">
        <v>633</v>
      </c>
      <c r="H50" s="125">
        <v>700</v>
      </c>
      <c r="I50" s="125">
        <v>80</v>
      </c>
      <c r="J50" s="126">
        <v>1</v>
      </c>
      <c r="K50" s="125"/>
      <c r="L50" s="171">
        <f t="shared" si="1"/>
        <v>56000</v>
      </c>
      <c r="M50" s="95">
        <f>L50*1.1</f>
        <v>61600.000000000007</v>
      </c>
      <c r="N50" s="56"/>
      <c r="O50" s="49"/>
      <c r="P50" s="59"/>
      <c r="Q50" s="67">
        <f t="shared" si="2"/>
        <v>770.00000000000011</v>
      </c>
    </row>
    <row r="51" spans="1:17" ht="18.75" customHeight="1">
      <c r="A51" s="122"/>
      <c r="B51" s="123"/>
      <c r="C51" s="122"/>
      <c r="D51" s="124">
        <v>45772</v>
      </c>
      <c r="E51" s="132" t="s">
        <v>32</v>
      </c>
      <c r="F51" s="122"/>
      <c r="G51" s="132" t="s">
        <v>634</v>
      </c>
      <c r="H51" s="125">
        <v>380</v>
      </c>
      <c r="I51" s="125">
        <v>84</v>
      </c>
      <c r="J51" s="126">
        <v>1</v>
      </c>
      <c r="K51" s="125"/>
      <c r="L51" s="171">
        <f t="shared" si="1"/>
        <v>31920</v>
      </c>
      <c r="M51" s="95">
        <f>L51*1.1</f>
        <v>35112</v>
      </c>
      <c r="N51" s="56"/>
      <c r="O51" s="49"/>
      <c r="P51" s="59"/>
      <c r="Q51" s="67">
        <f t="shared" si="2"/>
        <v>418</v>
      </c>
    </row>
    <row r="52" spans="1:17" ht="18.75" customHeight="1">
      <c r="A52" s="122"/>
      <c r="B52" s="123"/>
      <c r="C52" s="122"/>
      <c r="D52" s="124">
        <v>45772</v>
      </c>
      <c r="E52" s="132" t="s">
        <v>32</v>
      </c>
      <c r="F52" s="122"/>
      <c r="G52" s="132" t="s">
        <v>635</v>
      </c>
      <c r="H52" s="125">
        <v>250</v>
      </c>
      <c r="I52" s="125">
        <v>96</v>
      </c>
      <c r="J52" s="126">
        <v>1</v>
      </c>
      <c r="K52" s="125"/>
      <c r="L52" s="171">
        <f t="shared" si="1"/>
        <v>24000</v>
      </c>
      <c r="M52" s="95">
        <f t="shared" ref="M52:M67" si="3">L52*1.1</f>
        <v>26400.000000000004</v>
      </c>
      <c r="N52" s="56"/>
      <c r="O52" s="49"/>
      <c r="P52" s="59"/>
      <c r="Q52" s="67">
        <f t="shared" si="2"/>
        <v>275.00000000000006</v>
      </c>
    </row>
    <row r="53" spans="1:17" ht="18.75" customHeight="1">
      <c r="A53" s="122"/>
      <c r="B53" s="123"/>
      <c r="C53" s="122"/>
      <c r="D53" s="124">
        <v>45779</v>
      </c>
      <c r="E53" s="132" t="s">
        <v>32</v>
      </c>
      <c r="F53" s="122"/>
      <c r="G53" s="132" t="s">
        <v>636</v>
      </c>
      <c r="H53" s="125">
        <v>1000</v>
      </c>
      <c r="I53" s="125">
        <v>72</v>
      </c>
      <c r="J53" s="126">
        <v>2</v>
      </c>
      <c r="K53" s="125"/>
      <c r="L53" s="171">
        <f t="shared" si="1"/>
        <v>144000</v>
      </c>
      <c r="M53" s="95">
        <f t="shared" si="3"/>
        <v>158400</v>
      </c>
      <c r="N53" s="56"/>
      <c r="O53" s="49"/>
      <c r="P53" s="59"/>
      <c r="Q53" s="67">
        <f t="shared" si="2"/>
        <v>1100</v>
      </c>
    </row>
    <row r="54" spans="1:17" ht="18.75" customHeight="1">
      <c r="A54" s="122"/>
      <c r="B54" s="123"/>
      <c r="C54" s="122"/>
      <c r="D54" s="124">
        <v>45779</v>
      </c>
      <c r="E54" s="18" t="s">
        <v>34</v>
      </c>
      <c r="F54" s="122"/>
      <c r="G54" s="132" t="s">
        <v>636</v>
      </c>
      <c r="H54" s="125">
        <v>1000</v>
      </c>
      <c r="I54" s="125">
        <v>72</v>
      </c>
      <c r="J54" s="126">
        <v>2</v>
      </c>
      <c r="K54" s="125"/>
      <c r="L54" s="171">
        <f t="shared" si="1"/>
        <v>144000</v>
      </c>
      <c r="M54" s="95">
        <f t="shared" si="3"/>
        <v>158400</v>
      </c>
      <c r="N54" s="56"/>
      <c r="O54" s="49"/>
      <c r="P54" s="59"/>
      <c r="Q54" s="67">
        <f t="shared" si="2"/>
        <v>1100</v>
      </c>
    </row>
    <row r="55" spans="1:17" ht="18.75" customHeight="1">
      <c r="A55" s="122"/>
      <c r="B55" s="123"/>
      <c r="C55" s="122"/>
      <c r="D55" s="124">
        <v>45779</v>
      </c>
      <c r="E55" s="132" t="s">
        <v>428</v>
      </c>
      <c r="F55" s="122"/>
      <c r="G55" s="132" t="s">
        <v>636</v>
      </c>
      <c r="H55" s="125">
        <v>1000</v>
      </c>
      <c r="I55" s="125">
        <v>72</v>
      </c>
      <c r="J55" s="126">
        <v>2</v>
      </c>
      <c r="K55" s="125"/>
      <c r="L55" s="171">
        <f t="shared" si="1"/>
        <v>144000</v>
      </c>
      <c r="M55" s="95">
        <f t="shared" si="3"/>
        <v>158400</v>
      </c>
      <c r="N55" s="56"/>
      <c r="O55" s="49"/>
      <c r="P55" s="59"/>
      <c r="Q55" s="67">
        <f t="shared" si="2"/>
        <v>1100</v>
      </c>
    </row>
    <row r="56" spans="1:17" ht="18.75" customHeight="1">
      <c r="A56" s="122"/>
      <c r="B56" s="123"/>
      <c r="C56" s="122"/>
      <c r="D56" s="124">
        <v>45785</v>
      </c>
      <c r="E56" s="132" t="s">
        <v>32</v>
      </c>
      <c r="F56" s="122"/>
      <c r="G56" s="132" t="s">
        <v>632</v>
      </c>
      <c r="H56" s="125">
        <v>700</v>
      </c>
      <c r="I56" s="125">
        <v>80</v>
      </c>
      <c r="J56" s="126">
        <v>1</v>
      </c>
      <c r="K56" s="125"/>
      <c r="L56" s="171">
        <f t="shared" si="1"/>
        <v>56000</v>
      </c>
      <c r="M56" s="95">
        <f t="shared" si="3"/>
        <v>61600.000000000007</v>
      </c>
      <c r="N56" s="56"/>
      <c r="O56" s="49"/>
      <c r="P56" s="59"/>
      <c r="Q56" s="67">
        <f t="shared" si="2"/>
        <v>770.00000000000011</v>
      </c>
    </row>
    <row r="57" spans="1:17" ht="18.75" customHeight="1">
      <c r="A57" s="122"/>
      <c r="B57" s="123"/>
      <c r="C57" s="122"/>
      <c r="D57" s="124">
        <v>45786</v>
      </c>
      <c r="E57" s="132" t="s">
        <v>427</v>
      </c>
      <c r="F57" s="122"/>
      <c r="G57" s="132" t="s">
        <v>632</v>
      </c>
      <c r="H57" s="125">
        <v>700</v>
      </c>
      <c r="I57" s="125">
        <v>80</v>
      </c>
      <c r="J57" s="126">
        <v>0.5</v>
      </c>
      <c r="K57" s="125"/>
      <c r="L57" s="171">
        <f t="shared" si="1"/>
        <v>28000</v>
      </c>
      <c r="M57" s="95">
        <f t="shared" si="3"/>
        <v>30800.000000000004</v>
      </c>
      <c r="N57" s="56"/>
      <c r="O57" s="49"/>
      <c r="P57" s="59"/>
      <c r="Q57" s="67">
        <f t="shared" si="2"/>
        <v>770.00000000000011</v>
      </c>
    </row>
    <row r="58" spans="1:17" ht="18.75" customHeight="1">
      <c r="A58" s="122"/>
      <c r="B58" s="123"/>
      <c r="C58" s="122"/>
      <c r="D58" s="124">
        <v>45786</v>
      </c>
      <c r="E58" s="132" t="s">
        <v>428</v>
      </c>
      <c r="F58" s="122"/>
      <c r="G58" s="132" t="s">
        <v>632</v>
      </c>
      <c r="H58" s="125">
        <v>700</v>
      </c>
      <c r="I58" s="125">
        <v>80</v>
      </c>
      <c r="J58" s="126">
        <v>1</v>
      </c>
      <c r="K58" s="125"/>
      <c r="L58" s="171">
        <f t="shared" si="1"/>
        <v>56000</v>
      </c>
      <c r="M58" s="95">
        <f t="shared" si="3"/>
        <v>61600.000000000007</v>
      </c>
      <c r="N58" s="56"/>
      <c r="O58" s="49"/>
      <c r="P58" s="59"/>
      <c r="Q58" s="67">
        <f t="shared" si="2"/>
        <v>770.00000000000011</v>
      </c>
    </row>
    <row r="59" spans="1:17" ht="18.75" customHeight="1">
      <c r="A59" s="122"/>
      <c r="B59" s="123"/>
      <c r="C59" s="122"/>
      <c r="D59" s="124">
        <v>45789</v>
      </c>
      <c r="E59" s="132" t="s">
        <v>32</v>
      </c>
      <c r="F59" s="122"/>
      <c r="G59" s="132" t="s">
        <v>636</v>
      </c>
      <c r="H59" s="125">
        <v>1000</v>
      </c>
      <c r="I59" s="125">
        <v>72</v>
      </c>
      <c r="J59" s="126">
        <v>2</v>
      </c>
      <c r="K59" s="125"/>
      <c r="L59" s="171">
        <f t="shared" si="1"/>
        <v>144000</v>
      </c>
      <c r="M59" s="95">
        <f t="shared" si="3"/>
        <v>158400</v>
      </c>
      <c r="N59" s="56"/>
      <c r="O59" s="49"/>
      <c r="P59" s="59"/>
      <c r="Q59" s="67">
        <f t="shared" si="2"/>
        <v>1100</v>
      </c>
    </row>
    <row r="60" spans="1:17" ht="18.75" customHeight="1">
      <c r="A60" s="122"/>
      <c r="B60" s="123"/>
      <c r="C60" s="122"/>
      <c r="D60" s="124">
        <v>45794</v>
      </c>
      <c r="E60" s="18" t="s">
        <v>34</v>
      </c>
      <c r="F60" s="122"/>
      <c r="G60" s="132" t="s">
        <v>548</v>
      </c>
      <c r="H60" s="125">
        <v>260</v>
      </c>
      <c r="I60" s="125">
        <v>240</v>
      </c>
      <c r="J60" s="126">
        <v>1</v>
      </c>
      <c r="K60" s="125"/>
      <c r="L60" s="95">
        <f t="shared" si="1"/>
        <v>62400</v>
      </c>
      <c r="M60" s="95">
        <f t="shared" si="3"/>
        <v>68640</v>
      </c>
      <c r="N60" s="56"/>
      <c r="O60" s="49"/>
      <c r="P60" s="59"/>
      <c r="Q60" s="67">
        <f t="shared" si="2"/>
        <v>286</v>
      </c>
    </row>
    <row r="61" spans="1:17" ht="18.75" customHeight="1">
      <c r="A61" s="122"/>
      <c r="B61" s="123"/>
      <c r="C61" s="122"/>
      <c r="D61" s="124"/>
      <c r="E61" s="18" t="s">
        <v>34</v>
      </c>
      <c r="F61" s="122"/>
      <c r="G61" s="132" t="s">
        <v>549</v>
      </c>
      <c r="H61" s="125">
        <v>270</v>
      </c>
      <c r="I61" s="125">
        <v>200</v>
      </c>
      <c r="J61" s="126">
        <v>1</v>
      </c>
      <c r="K61" s="125"/>
      <c r="L61" s="95">
        <f t="shared" si="1"/>
        <v>54000</v>
      </c>
      <c r="M61" s="95">
        <f t="shared" si="3"/>
        <v>59400.000000000007</v>
      </c>
      <c r="N61" s="56"/>
      <c r="O61" s="49"/>
      <c r="P61" s="59"/>
      <c r="Q61" s="67">
        <f t="shared" si="2"/>
        <v>297.00000000000006</v>
      </c>
    </row>
    <row r="62" spans="1:17" ht="18.75" customHeight="1">
      <c r="A62" s="122"/>
      <c r="B62" s="123"/>
      <c r="C62" s="122"/>
      <c r="D62" s="124"/>
      <c r="E62" s="18" t="s">
        <v>34</v>
      </c>
      <c r="F62" s="122"/>
      <c r="G62" s="132" t="s">
        <v>550</v>
      </c>
      <c r="H62" s="125">
        <v>370</v>
      </c>
      <c r="I62" s="125">
        <v>120</v>
      </c>
      <c r="J62" s="126">
        <v>2</v>
      </c>
      <c r="K62" s="125"/>
      <c r="L62" s="95">
        <f t="shared" si="1"/>
        <v>88800</v>
      </c>
      <c r="M62" s="95">
        <f t="shared" si="3"/>
        <v>97680.000000000015</v>
      </c>
      <c r="N62" s="56"/>
      <c r="O62" s="49"/>
      <c r="P62" s="59"/>
      <c r="Q62" s="67">
        <f t="shared" si="2"/>
        <v>407.00000000000006</v>
      </c>
    </row>
    <row r="63" spans="1:17" ht="18.75" customHeight="1">
      <c r="A63" s="122"/>
      <c r="B63" s="123"/>
      <c r="C63" s="122"/>
      <c r="D63" s="124"/>
      <c r="E63" s="18" t="s">
        <v>34</v>
      </c>
      <c r="F63" s="122"/>
      <c r="G63" s="132" t="s">
        <v>551</v>
      </c>
      <c r="H63" s="125">
        <v>260</v>
      </c>
      <c r="I63" s="125">
        <v>200</v>
      </c>
      <c r="J63" s="126">
        <v>1</v>
      </c>
      <c r="K63" s="125"/>
      <c r="L63" s="95">
        <f t="shared" si="1"/>
        <v>52000</v>
      </c>
      <c r="M63" s="95">
        <f t="shared" si="3"/>
        <v>57200.000000000007</v>
      </c>
      <c r="N63" s="56"/>
      <c r="O63" s="49"/>
      <c r="P63" s="59"/>
      <c r="Q63" s="67">
        <f t="shared" si="2"/>
        <v>286.00000000000006</v>
      </c>
    </row>
    <row r="64" spans="1:17" ht="18.75" customHeight="1">
      <c r="A64" s="122"/>
      <c r="B64" s="123"/>
      <c r="C64" s="122"/>
      <c r="D64" s="124"/>
      <c r="E64" s="132"/>
      <c r="F64" s="122"/>
      <c r="G64" s="132"/>
      <c r="H64" s="125"/>
      <c r="I64" s="125"/>
      <c r="J64" s="126"/>
      <c r="K64" s="125"/>
      <c r="L64" s="95"/>
      <c r="M64" s="95">
        <f t="shared" si="3"/>
        <v>0</v>
      </c>
      <c r="N64" s="56"/>
      <c r="O64" s="49"/>
      <c r="P64" s="59"/>
      <c r="Q64" s="67" t="e">
        <f t="shared" si="2"/>
        <v>#DIV/0!</v>
      </c>
    </row>
    <row r="65" spans="1:17" ht="18.75" customHeight="1">
      <c r="A65" s="122"/>
      <c r="B65" s="123"/>
      <c r="C65" s="122"/>
      <c r="D65" s="124"/>
      <c r="E65" s="132"/>
      <c r="F65" s="122"/>
      <c r="G65" s="132"/>
      <c r="H65" s="125"/>
      <c r="I65" s="125"/>
      <c r="J65" s="126"/>
      <c r="K65" s="125"/>
      <c r="L65" s="95"/>
      <c r="M65" s="95">
        <f t="shared" si="3"/>
        <v>0</v>
      </c>
      <c r="N65" s="56"/>
      <c r="O65" s="49"/>
      <c r="P65" s="59"/>
      <c r="Q65" s="67" t="e">
        <f t="shared" si="2"/>
        <v>#DIV/0!</v>
      </c>
    </row>
    <row r="66" spans="1:17" ht="18.75" customHeight="1">
      <c r="A66" s="122"/>
      <c r="B66" s="123"/>
      <c r="C66" s="122"/>
      <c r="D66" s="124"/>
      <c r="E66" s="96"/>
      <c r="F66" s="122"/>
      <c r="G66" s="96"/>
      <c r="H66" s="125"/>
      <c r="I66" s="125"/>
      <c r="J66" s="126"/>
      <c r="K66" s="125"/>
      <c r="L66" s="95"/>
      <c r="M66" s="95">
        <f t="shared" si="3"/>
        <v>0</v>
      </c>
      <c r="N66" s="56"/>
      <c r="O66" s="49"/>
      <c r="P66" s="59"/>
      <c r="Q66" s="67" t="e">
        <f t="shared" si="2"/>
        <v>#DIV/0!</v>
      </c>
    </row>
    <row r="67" spans="1:17" ht="18.75" customHeight="1">
      <c r="A67" s="122"/>
      <c r="B67" s="123"/>
      <c r="C67" s="122"/>
      <c r="D67" s="124"/>
      <c r="E67" s="96"/>
      <c r="F67" s="122"/>
      <c r="G67" s="96"/>
      <c r="H67" s="125"/>
      <c r="I67" s="125"/>
      <c r="J67" s="126"/>
      <c r="K67" s="125"/>
      <c r="L67" s="95"/>
      <c r="M67" s="95">
        <f t="shared" si="3"/>
        <v>0</v>
      </c>
      <c r="N67" s="56"/>
      <c r="O67" s="49"/>
      <c r="P67" s="59"/>
      <c r="Q67" s="67" t="e">
        <f t="shared" si="2"/>
        <v>#DIV/0!</v>
      </c>
    </row>
    <row r="68" spans="1:17" ht="18.75" customHeight="1">
      <c r="A68" s="12"/>
      <c r="B68" s="68"/>
      <c r="C68" s="12"/>
      <c r="D68" s="69"/>
      <c r="E68" s="12"/>
      <c r="F68" s="12"/>
      <c r="G68" s="70"/>
      <c r="H68" s="71"/>
      <c r="I68" s="71"/>
      <c r="J68" s="72"/>
      <c r="K68" s="71"/>
      <c r="L68" s="73"/>
      <c r="M68" s="73">
        <f>SUM(M48:N67)</f>
        <v>1286032</v>
      </c>
      <c r="N68" s="74"/>
      <c r="O68" s="11"/>
      <c r="P68" s="75"/>
      <c r="Q68" s="74"/>
    </row>
    <row r="69" spans="1:17" ht="18.75" customHeight="1">
      <c r="A69" s="12"/>
      <c r="B69" s="68"/>
      <c r="C69" s="12"/>
      <c r="D69" s="69"/>
      <c r="E69" s="12"/>
      <c r="F69" s="12"/>
      <c r="G69" s="70"/>
      <c r="H69" s="71"/>
      <c r="I69" s="71"/>
      <c r="J69" s="72"/>
      <c r="K69" s="71"/>
      <c r="L69" s="73"/>
      <c r="M69" s="73"/>
      <c r="N69" s="74"/>
      <c r="O69" s="11"/>
      <c r="P69" s="75"/>
      <c r="Q69" s="74"/>
    </row>
    <row r="70" spans="1:17" ht="18.75" customHeight="1">
      <c r="A70" s="122" t="s">
        <v>28</v>
      </c>
      <c r="B70" s="123"/>
      <c r="C70" s="122"/>
      <c r="D70" s="124"/>
      <c r="E70" s="132" t="s">
        <v>32</v>
      </c>
      <c r="F70" s="122"/>
      <c r="G70" s="132" t="s">
        <v>637</v>
      </c>
      <c r="H70" s="125">
        <v>600</v>
      </c>
      <c r="I70" s="125">
        <v>72</v>
      </c>
      <c r="J70" s="126">
        <v>2</v>
      </c>
      <c r="K70" s="125"/>
      <c r="L70" s="95">
        <v>86400</v>
      </c>
      <c r="M70" s="95">
        <f>L70*1.1</f>
        <v>95040.000000000015</v>
      </c>
      <c r="N70" s="56"/>
      <c r="O70" s="49"/>
      <c r="P70" s="59"/>
      <c r="Q70" s="67">
        <f t="shared" ref="Q70:Q85" si="4">(M70+N70*1.1)/(I70*J70)</f>
        <v>660.00000000000011</v>
      </c>
    </row>
    <row r="71" spans="1:17" ht="18.75" customHeight="1">
      <c r="A71" s="122"/>
      <c r="B71" s="123"/>
      <c r="C71" s="122"/>
      <c r="D71" s="124">
        <v>45743</v>
      </c>
      <c r="E71" s="132" t="s">
        <v>32</v>
      </c>
      <c r="F71" s="122"/>
      <c r="G71" s="96" t="s">
        <v>638</v>
      </c>
      <c r="H71" s="125">
        <v>620</v>
      </c>
      <c r="I71" s="125">
        <v>84</v>
      </c>
      <c r="J71" s="126">
        <v>2</v>
      </c>
      <c r="K71" s="125"/>
      <c r="L71" s="95">
        <f t="shared" ref="L71:L77" si="5">H71*I71*J71</f>
        <v>104160</v>
      </c>
      <c r="M71" s="95">
        <f t="shared" ref="M71:M77" si="6">L71*1.1</f>
        <v>114576.00000000001</v>
      </c>
      <c r="N71" s="56"/>
      <c r="O71" s="49"/>
      <c r="P71" s="59"/>
      <c r="Q71" s="67">
        <f t="shared" si="4"/>
        <v>682.00000000000011</v>
      </c>
    </row>
    <row r="72" spans="1:17" ht="18.75" customHeight="1">
      <c r="A72" s="122"/>
      <c r="B72" s="123"/>
      <c r="C72" s="122"/>
      <c r="D72" s="124"/>
      <c r="E72" s="132" t="s">
        <v>34</v>
      </c>
      <c r="F72" s="122"/>
      <c r="G72" s="132" t="s">
        <v>639</v>
      </c>
      <c r="H72" s="125">
        <v>350</v>
      </c>
      <c r="I72" s="125">
        <v>120</v>
      </c>
      <c r="J72" s="126">
        <v>1</v>
      </c>
      <c r="K72" s="125"/>
      <c r="L72" s="95">
        <f t="shared" si="5"/>
        <v>42000</v>
      </c>
      <c r="M72" s="95">
        <f t="shared" si="6"/>
        <v>46200.000000000007</v>
      </c>
      <c r="N72" s="56"/>
      <c r="O72" s="49"/>
      <c r="P72" s="59"/>
      <c r="Q72" s="67">
        <f t="shared" si="4"/>
        <v>385.00000000000006</v>
      </c>
    </row>
    <row r="73" spans="1:17" ht="18.75" customHeight="1">
      <c r="A73" s="122"/>
      <c r="B73" s="123"/>
      <c r="C73" s="122"/>
      <c r="D73" s="124"/>
      <c r="E73" s="132" t="s">
        <v>34</v>
      </c>
      <c r="F73" s="122"/>
      <c r="G73" s="132" t="s">
        <v>640</v>
      </c>
      <c r="H73" s="125">
        <v>350</v>
      </c>
      <c r="I73" s="125">
        <v>120</v>
      </c>
      <c r="J73" s="126">
        <v>2</v>
      </c>
      <c r="K73" s="125"/>
      <c r="L73" s="95">
        <f t="shared" si="5"/>
        <v>84000</v>
      </c>
      <c r="M73" s="95">
        <f t="shared" si="6"/>
        <v>92400.000000000015</v>
      </c>
      <c r="N73" s="56"/>
      <c r="O73" s="49"/>
      <c r="P73" s="59"/>
      <c r="Q73" s="67">
        <f t="shared" si="4"/>
        <v>385.00000000000006</v>
      </c>
    </row>
    <row r="74" spans="1:17" ht="18.75" customHeight="1">
      <c r="A74" s="122"/>
      <c r="B74" s="123"/>
      <c r="C74" s="122"/>
      <c r="D74" s="124"/>
      <c r="E74" s="132" t="s">
        <v>34</v>
      </c>
      <c r="F74" s="122"/>
      <c r="G74" s="132" t="s">
        <v>641</v>
      </c>
      <c r="H74" s="125">
        <v>350</v>
      </c>
      <c r="I74" s="125">
        <v>120</v>
      </c>
      <c r="J74" s="126">
        <v>2</v>
      </c>
      <c r="K74" s="125"/>
      <c r="L74" s="95">
        <f t="shared" si="5"/>
        <v>84000</v>
      </c>
      <c r="M74" s="95">
        <f t="shared" si="6"/>
        <v>92400.000000000015</v>
      </c>
      <c r="N74" s="56"/>
      <c r="O74" s="49"/>
      <c r="P74" s="59"/>
      <c r="Q74" s="67">
        <f t="shared" si="4"/>
        <v>385.00000000000006</v>
      </c>
    </row>
    <row r="75" spans="1:17" ht="18.75" customHeight="1">
      <c r="A75" s="122"/>
      <c r="B75" s="123"/>
      <c r="C75" s="122"/>
      <c r="D75" s="124"/>
      <c r="E75" s="132" t="s">
        <v>427</v>
      </c>
      <c r="F75" s="122"/>
      <c r="G75" s="132" t="s">
        <v>639</v>
      </c>
      <c r="H75" s="125">
        <v>350</v>
      </c>
      <c r="I75" s="125">
        <v>120</v>
      </c>
      <c r="J75" s="126">
        <v>2</v>
      </c>
      <c r="K75" s="125"/>
      <c r="L75" s="95">
        <f t="shared" si="5"/>
        <v>84000</v>
      </c>
      <c r="M75" s="95">
        <f t="shared" si="6"/>
        <v>92400.000000000015</v>
      </c>
      <c r="N75" s="56"/>
      <c r="O75" s="49"/>
      <c r="P75" s="59"/>
      <c r="Q75" s="67">
        <f t="shared" si="4"/>
        <v>385.00000000000006</v>
      </c>
    </row>
    <row r="76" spans="1:17" ht="18.75" customHeight="1">
      <c r="A76" s="122"/>
      <c r="B76" s="123"/>
      <c r="C76" s="122"/>
      <c r="D76" s="124"/>
      <c r="E76" s="132" t="s">
        <v>427</v>
      </c>
      <c r="F76" s="122"/>
      <c r="G76" s="132" t="s">
        <v>640</v>
      </c>
      <c r="H76" s="125">
        <v>350</v>
      </c>
      <c r="I76" s="125">
        <v>120</v>
      </c>
      <c r="J76" s="126">
        <v>2</v>
      </c>
      <c r="K76" s="125"/>
      <c r="L76" s="95">
        <f t="shared" si="5"/>
        <v>84000</v>
      </c>
      <c r="M76" s="95">
        <f t="shared" si="6"/>
        <v>92400.000000000015</v>
      </c>
      <c r="N76" s="56"/>
      <c r="O76" s="49"/>
      <c r="P76" s="59"/>
      <c r="Q76" s="67">
        <f t="shared" si="4"/>
        <v>385.00000000000006</v>
      </c>
    </row>
    <row r="77" spans="1:17" ht="18.75" customHeight="1">
      <c r="A77" s="122"/>
      <c r="B77" s="123"/>
      <c r="C77" s="122"/>
      <c r="D77" s="124"/>
      <c r="E77" s="132" t="s">
        <v>427</v>
      </c>
      <c r="F77" s="122"/>
      <c r="G77" s="132" t="s">
        <v>641</v>
      </c>
      <c r="H77" s="125">
        <v>350</v>
      </c>
      <c r="I77" s="125">
        <v>120</v>
      </c>
      <c r="J77" s="126">
        <v>2</v>
      </c>
      <c r="K77" s="125"/>
      <c r="L77" s="95">
        <f t="shared" si="5"/>
        <v>84000</v>
      </c>
      <c r="M77" s="95">
        <f t="shared" si="6"/>
        <v>92400.000000000015</v>
      </c>
      <c r="N77" s="56"/>
      <c r="O77" s="49"/>
      <c r="P77" s="59"/>
      <c r="Q77" s="67">
        <f t="shared" si="4"/>
        <v>385.00000000000006</v>
      </c>
    </row>
    <row r="78" spans="1:17" ht="18.75" customHeight="1">
      <c r="A78" s="166"/>
      <c r="B78" s="167"/>
      <c r="C78" s="166"/>
      <c r="D78" s="168">
        <v>45789</v>
      </c>
      <c r="E78" s="132" t="s">
        <v>34</v>
      </c>
      <c r="F78" s="166"/>
      <c r="G78" s="132" t="s">
        <v>637</v>
      </c>
      <c r="H78" s="169">
        <v>600</v>
      </c>
      <c r="I78" s="169">
        <v>72</v>
      </c>
      <c r="J78" s="170">
        <v>2</v>
      </c>
      <c r="K78" s="169"/>
      <c r="L78" s="171">
        <v>86400</v>
      </c>
      <c r="M78" s="171">
        <f>L78*1.1</f>
        <v>95040.000000000015</v>
      </c>
      <c r="N78" s="53"/>
      <c r="O78" s="48"/>
      <c r="P78" s="51"/>
      <c r="Q78" s="67">
        <f>(M78+N78*1.1)/(I78*J78)</f>
        <v>660.00000000000011</v>
      </c>
    </row>
    <row r="79" spans="1:17" ht="18.75" customHeight="1">
      <c r="A79" s="11"/>
      <c r="B79" s="68"/>
      <c r="C79" s="12"/>
      <c r="D79" s="69"/>
      <c r="E79" s="12"/>
      <c r="F79" s="12"/>
      <c r="G79" s="70"/>
      <c r="H79" s="71"/>
      <c r="I79" s="71"/>
      <c r="J79" s="72"/>
      <c r="K79" s="71"/>
      <c r="L79" s="73"/>
      <c r="M79" s="73">
        <f>SUM(M70:N78)</f>
        <v>812856.00000000012</v>
      </c>
      <c r="N79" s="74"/>
      <c r="O79" s="11"/>
      <c r="P79" s="75"/>
      <c r="Q79" s="74"/>
    </row>
    <row r="80" spans="1:17" ht="18.75" customHeight="1">
      <c r="A80" s="11"/>
      <c r="B80" s="68"/>
      <c r="C80" s="12"/>
      <c r="D80" s="69"/>
      <c r="E80" s="12"/>
      <c r="F80" s="12"/>
      <c r="G80" s="70"/>
      <c r="H80" s="71"/>
      <c r="I80" s="71"/>
      <c r="J80" s="72"/>
      <c r="K80" s="71"/>
      <c r="L80" s="73"/>
      <c r="M80" s="73"/>
      <c r="N80" s="74"/>
      <c r="O80" s="11"/>
      <c r="P80" s="75"/>
      <c r="Q80" s="74"/>
    </row>
    <row r="81" spans="1:17" ht="18.75" customHeight="1">
      <c r="A81" s="122" t="s">
        <v>29</v>
      </c>
      <c r="B81" s="123"/>
      <c r="C81" s="122"/>
      <c r="D81" s="124"/>
      <c r="E81" s="132" t="s">
        <v>32</v>
      </c>
      <c r="F81" s="122"/>
      <c r="G81" s="132" t="s">
        <v>642</v>
      </c>
      <c r="H81" s="125">
        <v>820</v>
      </c>
      <c r="I81" s="125">
        <v>48</v>
      </c>
      <c r="J81" s="126">
        <v>1</v>
      </c>
      <c r="K81" s="125"/>
      <c r="L81" s="95">
        <v>39360</v>
      </c>
      <c r="M81" s="95">
        <f>L81*1.1</f>
        <v>43296</v>
      </c>
      <c r="N81" s="56"/>
      <c r="O81" s="49"/>
      <c r="P81" s="59" t="s">
        <v>643</v>
      </c>
      <c r="Q81" s="67">
        <f t="shared" si="4"/>
        <v>902</v>
      </c>
    </row>
    <row r="82" spans="1:17" ht="18.75" customHeight="1">
      <c r="A82" s="122"/>
      <c r="B82" s="123"/>
      <c r="C82" s="122"/>
      <c r="D82" s="124"/>
      <c r="E82" s="132" t="s">
        <v>32</v>
      </c>
      <c r="F82" s="122"/>
      <c r="G82" s="96" t="s">
        <v>644</v>
      </c>
      <c r="H82" s="125">
        <v>820</v>
      </c>
      <c r="I82" s="125">
        <v>48</v>
      </c>
      <c r="J82" s="126">
        <v>1</v>
      </c>
      <c r="K82" s="125"/>
      <c r="L82" s="95">
        <v>39360</v>
      </c>
      <c r="M82" s="95">
        <f>L82*1.1</f>
        <v>43296</v>
      </c>
      <c r="N82" s="56"/>
      <c r="O82" s="49"/>
      <c r="P82" s="59" t="s">
        <v>645</v>
      </c>
      <c r="Q82" s="67">
        <f t="shared" si="4"/>
        <v>902</v>
      </c>
    </row>
    <row r="83" spans="1:17" ht="18.75" customHeight="1">
      <c r="A83" s="122"/>
      <c r="B83" s="123"/>
      <c r="C83" s="122"/>
      <c r="D83" s="124"/>
      <c r="E83" s="96"/>
      <c r="F83" s="122"/>
      <c r="G83" s="96"/>
      <c r="H83" s="125"/>
      <c r="I83" s="125"/>
      <c r="J83" s="126"/>
      <c r="K83" s="125"/>
      <c r="L83" s="95"/>
      <c r="M83" s="95">
        <f>L83*1.1</f>
        <v>0</v>
      </c>
      <c r="N83" s="56"/>
      <c r="O83" s="49"/>
      <c r="P83" s="59"/>
      <c r="Q83" s="67" t="e">
        <f t="shared" si="4"/>
        <v>#DIV/0!</v>
      </c>
    </row>
    <row r="84" spans="1:17" ht="18.75" customHeight="1">
      <c r="A84" s="122"/>
      <c r="B84" s="123"/>
      <c r="C84" s="122"/>
      <c r="D84" s="124"/>
      <c r="E84" s="96"/>
      <c r="F84" s="122"/>
      <c r="G84" s="96"/>
      <c r="H84" s="125"/>
      <c r="I84" s="125"/>
      <c r="J84" s="126"/>
      <c r="K84" s="125"/>
      <c r="L84" s="95"/>
      <c r="M84" s="95">
        <f t="shared" ref="M84:M85" si="7">L84*1.1</f>
        <v>0</v>
      </c>
      <c r="N84" s="56"/>
      <c r="O84" s="49"/>
      <c r="P84" s="59"/>
      <c r="Q84" s="67" t="e">
        <f t="shared" si="4"/>
        <v>#DIV/0!</v>
      </c>
    </row>
    <row r="85" spans="1:17" ht="18.75" customHeight="1">
      <c r="A85" s="122"/>
      <c r="B85" s="123"/>
      <c r="C85" s="122"/>
      <c r="D85" s="124"/>
      <c r="E85" s="96"/>
      <c r="F85" s="122"/>
      <c r="G85" s="96"/>
      <c r="H85" s="125"/>
      <c r="I85" s="125"/>
      <c r="J85" s="126"/>
      <c r="K85" s="125"/>
      <c r="L85" s="95"/>
      <c r="M85" s="95">
        <f t="shared" si="7"/>
        <v>0</v>
      </c>
      <c r="N85" s="56"/>
      <c r="O85" s="49"/>
      <c r="P85" s="59"/>
      <c r="Q85" s="67" t="e">
        <f t="shared" si="4"/>
        <v>#DIV/0!</v>
      </c>
    </row>
    <row r="86" spans="1:17" ht="18.75" customHeight="1">
      <c r="A86" s="12"/>
      <c r="B86" s="68"/>
      <c r="C86" s="12"/>
      <c r="D86" s="69"/>
      <c r="E86" s="12"/>
      <c r="F86" s="12"/>
      <c r="G86" s="70"/>
      <c r="H86" s="71"/>
      <c r="I86" s="71"/>
      <c r="J86" s="72"/>
      <c r="K86" s="71"/>
      <c r="L86" s="73"/>
      <c r="M86" s="73">
        <f>SUM(M81:N85)</f>
        <v>86592</v>
      </c>
      <c r="N86" s="74"/>
      <c r="O86" s="11"/>
      <c r="P86" s="75"/>
      <c r="Q86" s="74"/>
    </row>
    <row r="87" spans="1:17" ht="18.75" customHeight="1">
      <c r="A87" s="12"/>
      <c r="B87" s="68"/>
      <c r="C87" s="12"/>
      <c r="D87" s="69"/>
      <c r="E87" s="12"/>
      <c r="F87" s="12"/>
      <c r="G87" s="70"/>
      <c r="H87" s="71"/>
      <c r="I87" s="71"/>
      <c r="J87" s="72"/>
      <c r="K87" s="71"/>
      <c r="L87" s="73"/>
      <c r="M87" s="73"/>
      <c r="N87" s="74"/>
      <c r="O87" s="11"/>
      <c r="P87" s="75"/>
      <c r="Q87" s="74"/>
    </row>
    <row r="88" spans="1:17" ht="18.75" customHeight="1">
      <c r="A88" s="151" t="s">
        <v>30</v>
      </c>
      <c r="B88" s="123"/>
      <c r="C88" s="122"/>
      <c r="D88" s="124"/>
      <c r="E88" s="96"/>
      <c r="F88" s="122"/>
      <c r="G88" s="96"/>
      <c r="H88" s="125"/>
      <c r="I88" s="125"/>
      <c r="J88" s="126"/>
      <c r="K88" s="125"/>
      <c r="L88" s="95"/>
      <c r="M88" s="95">
        <f>L88*1.1</f>
        <v>0</v>
      </c>
      <c r="N88" s="56"/>
      <c r="O88" s="49"/>
      <c r="P88" s="59"/>
      <c r="Q88" s="67" t="e">
        <f t="shared" ref="Q88:Q92" si="8">(M88+N88*1.1)/(I88*J88)</f>
        <v>#DIV/0!</v>
      </c>
    </row>
    <row r="89" spans="1:17" ht="18.75" customHeight="1">
      <c r="A89" s="122"/>
      <c r="B89" s="123"/>
      <c r="C89" s="122"/>
      <c r="D89" s="124"/>
      <c r="E89" s="96"/>
      <c r="F89" s="122"/>
      <c r="G89" s="96"/>
      <c r="H89" s="125"/>
      <c r="I89" s="125"/>
      <c r="J89" s="126"/>
      <c r="K89" s="125"/>
      <c r="L89" s="95"/>
      <c r="M89" s="95">
        <f>L89*1.1</f>
        <v>0</v>
      </c>
      <c r="N89" s="56"/>
      <c r="O89" s="49"/>
      <c r="P89" s="59"/>
      <c r="Q89" s="67" t="e">
        <f t="shared" si="8"/>
        <v>#DIV/0!</v>
      </c>
    </row>
    <row r="90" spans="1:17" ht="18.75" customHeight="1">
      <c r="A90" s="122"/>
      <c r="B90" s="123"/>
      <c r="C90" s="122"/>
      <c r="D90" s="124"/>
      <c r="E90" s="96"/>
      <c r="F90" s="122"/>
      <c r="G90" s="96"/>
      <c r="H90" s="125"/>
      <c r="I90" s="125"/>
      <c r="J90" s="126"/>
      <c r="K90" s="125"/>
      <c r="L90" s="95"/>
      <c r="M90" s="95">
        <f>L90*1.1</f>
        <v>0</v>
      </c>
      <c r="N90" s="56"/>
      <c r="O90" s="49"/>
      <c r="P90" s="59"/>
      <c r="Q90" s="67" t="e">
        <f t="shared" si="8"/>
        <v>#DIV/0!</v>
      </c>
    </row>
    <row r="91" spans="1:17" ht="18.75" customHeight="1">
      <c r="A91" s="122"/>
      <c r="B91" s="123"/>
      <c r="C91" s="122"/>
      <c r="D91" s="124"/>
      <c r="E91" s="96"/>
      <c r="F91" s="122"/>
      <c r="G91" s="96"/>
      <c r="H91" s="125"/>
      <c r="I91" s="125"/>
      <c r="J91" s="126"/>
      <c r="K91" s="125"/>
      <c r="L91" s="95"/>
      <c r="M91" s="95">
        <f t="shared" ref="M91:M92" si="9">L91*1.1</f>
        <v>0</v>
      </c>
      <c r="N91" s="56"/>
      <c r="O91" s="49"/>
      <c r="P91" s="59"/>
      <c r="Q91" s="67" t="e">
        <f t="shared" si="8"/>
        <v>#DIV/0!</v>
      </c>
    </row>
    <row r="92" spans="1:17" ht="18.75" customHeight="1">
      <c r="A92" s="122"/>
      <c r="B92" s="123"/>
      <c r="C92" s="122"/>
      <c r="D92" s="124"/>
      <c r="E92" s="96"/>
      <c r="F92" s="122"/>
      <c r="G92" s="96"/>
      <c r="H92" s="125"/>
      <c r="I92" s="125"/>
      <c r="J92" s="126"/>
      <c r="K92" s="125"/>
      <c r="L92" s="95"/>
      <c r="M92" s="95">
        <f t="shared" si="9"/>
        <v>0</v>
      </c>
      <c r="N92" s="56"/>
      <c r="O92" s="49"/>
      <c r="P92" s="59"/>
      <c r="Q92" s="67" t="e">
        <f t="shared" si="8"/>
        <v>#DIV/0!</v>
      </c>
    </row>
    <row r="93" spans="1:17" ht="18.75" customHeight="1">
      <c r="A93" s="11"/>
      <c r="B93" s="127"/>
      <c r="C93" s="11"/>
      <c r="D93" s="128"/>
      <c r="E93" s="11"/>
      <c r="F93" s="11"/>
      <c r="G93" s="70"/>
      <c r="H93" s="11"/>
      <c r="I93" s="11"/>
      <c r="J93" s="129"/>
      <c r="K93" s="11"/>
      <c r="L93" s="74"/>
      <c r="M93" s="73">
        <f>SUM(M88:N92)</f>
        <v>0</v>
      </c>
      <c r="N93" s="74"/>
      <c r="O93" s="11"/>
      <c r="P93" s="75"/>
      <c r="Q93" s="74"/>
    </row>
    <row r="94" spans="1:17" s="40" customFormat="1" ht="18.75" customHeight="1">
      <c r="A94"/>
      <c r="B94" s="31"/>
      <c r="C94"/>
      <c r="D94" s="25"/>
      <c r="E94"/>
      <c r="F94"/>
      <c r="G94" s="33"/>
      <c r="H94"/>
      <c r="I94"/>
      <c r="J94" s="65"/>
      <c r="K94"/>
      <c r="O94"/>
      <c r="P94" s="58"/>
    </row>
    <row r="95" spans="1:17" ht="18.75" customHeight="1">
      <c r="A95" s="151" t="s">
        <v>31</v>
      </c>
      <c r="B95" s="123"/>
      <c r="C95" s="122"/>
      <c r="D95" s="124"/>
      <c r="E95" s="96"/>
      <c r="F95" s="122"/>
      <c r="G95" s="96"/>
      <c r="H95" s="125"/>
      <c r="I95" s="125"/>
      <c r="J95" s="126"/>
      <c r="K95" s="125"/>
      <c r="L95" s="95"/>
      <c r="M95" s="95">
        <f>L95*1.1</f>
        <v>0</v>
      </c>
      <c r="N95" s="56"/>
      <c r="O95" s="49"/>
      <c r="P95" s="59"/>
      <c r="Q95" s="67" t="e">
        <f t="shared" ref="Q95:Q100" si="10">(M95+N95*1.1)/(I95*J95)</f>
        <v>#DIV/0!</v>
      </c>
    </row>
    <row r="96" spans="1:17" ht="18.75" customHeight="1">
      <c r="A96" s="122"/>
      <c r="B96" s="123"/>
      <c r="C96" s="122"/>
      <c r="D96" s="124"/>
      <c r="E96" s="96"/>
      <c r="F96" s="122"/>
      <c r="G96" s="96"/>
      <c r="H96" s="125"/>
      <c r="I96" s="125"/>
      <c r="J96" s="126"/>
      <c r="K96" s="125"/>
      <c r="L96" s="95"/>
      <c r="M96" s="95">
        <f>L96*1.1</f>
        <v>0</v>
      </c>
      <c r="N96" s="56"/>
      <c r="O96" s="49"/>
      <c r="P96" s="59"/>
      <c r="Q96" s="67" t="e">
        <f t="shared" si="10"/>
        <v>#DIV/0!</v>
      </c>
    </row>
    <row r="97" spans="1:17" ht="18.75" customHeight="1">
      <c r="A97" s="122"/>
      <c r="B97" s="123"/>
      <c r="C97" s="122"/>
      <c r="D97" s="124"/>
      <c r="E97" s="96"/>
      <c r="F97" s="122"/>
      <c r="G97" s="96"/>
      <c r="H97" s="125"/>
      <c r="I97" s="125"/>
      <c r="J97" s="126"/>
      <c r="K97" s="125"/>
      <c r="L97" s="95"/>
      <c r="M97" s="95">
        <f>L97*1.1</f>
        <v>0</v>
      </c>
      <c r="N97" s="56"/>
      <c r="O97" s="49"/>
      <c r="P97" s="59"/>
      <c r="Q97" s="67" t="e">
        <f t="shared" si="10"/>
        <v>#DIV/0!</v>
      </c>
    </row>
    <row r="98" spans="1:17" ht="18.75" customHeight="1">
      <c r="A98" s="122"/>
      <c r="B98" s="123"/>
      <c r="C98" s="122"/>
      <c r="D98" s="124"/>
      <c r="E98" s="96"/>
      <c r="F98" s="122"/>
      <c r="G98" s="96"/>
      <c r="H98" s="125"/>
      <c r="I98" s="125"/>
      <c r="J98" s="126"/>
      <c r="K98" s="125"/>
      <c r="L98" s="95"/>
      <c r="M98" s="95">
        <f t="shared" ref="M98:M99" si="11">L98*1.1</f>
        <v>0</v>
      </c>
      <c r="N98" s="56"/>
      <c r="O98" s="49"/>
      <c r="P98" s="59"/>
      <c r="Q98" s="67" t="e">
        <f t="shared" si="10"/>
        <v>#DIV/0!</v>
      </c>
    </row>
    <row r="99" spans="1:17" ht="18.75" customHeight="1">
      <c r="A99" s="122"/>
      <c r="B99" s="123"/>
      <c r="C99" s="122"/>
      <c r="D99" s="124"/>
      <c r="E99" s="96"/>
      <c r="F99" s="122"/>
      <c r="G99" s="96"/>
      <c r="H99" s="125"/>
      <c r="I99" s="125"/>
      <c r="J99" s="126"/>
      <c r="K99" s="125"/>
      <c r="L99" s="95"/>
      <c r="M99" s="95">
        <f t="shared" si="11"/>
        <v>0</v>
      </c>
      <c r="N99" s="56"/>
      <c r="O99" s="49"/>
      <c r="P99" s="59"/>
      <c r="Q99" s="67" t="e">
        <f t="shared" si="10"/>
        <v>#DIV/0!</v>
      </c>
    </row>
    <row r="100" spans="1:17" s="40" customFormat="1" ht="18.75" customHeight="1">
      <c r="A100"/>
      <c r="B100" s="31"/>
      <c r="C100" s="172"/>
      <c r="D100" s="25"/>
      <c r="E100"/>
      <c r="F100" s="173"/>
      <c r="G100" s="174"/>
      <c r="H100"/>
      <c r="I100"/>
      <c r="J100" s="65"/>
      <c r="K100"/>
      <c r="M100" s="40">
        <f>SUM(M95:N99)</f>
        <v>0</v>
      </c>
      <c r="O100"/>
      <c r="P100" s="58"/>
      <c r="Q100" s="40" t="e">
        <f t="shared" si="10"/>
        <v>#DIV/0!</v>
      </c>
    </row>
    <row r="101" spans="1:17" s="40" customFormat="1" ht="18.75" customHeight="1">
      <c r="A101"/>
      <c r="B101" s="26"/>
      <c r="C101" s="1"/>
      <c r="D101" s="20"/>
      <c r="E101" s="1"/>
      <c r="F101" s="1"/>
      <c r="G101" s="32"/>
      <c r="H101" s="2"/>
      <c r="I101" s="2"/>
      <c r="J101" s="60"/>
      <c r="K101" s="2"/>
      <c r="L101" s="34"/>
      <c r="M101" s="34"/>
      <c r="O101"/>
      <c r="P101" s="58"/>
    </row>
    <row r="102" spans="1:17" s="40" customFormat="1" ht="18.75" customHeight="1">
      <c r="A102"/>
      <c r="B102" s="26"/>
      <c r="C102" s="1"/>
      <c r="D102" s="20"/>
      <c r="E102" s="1"/>
      <c r="F102" s="1"/>
      <c r="G102" s="32"/>
      <c r="H102" s="2"/>
      <c r="I102" s="2"/>
      <c r="J102" s="60"/>
      <c r="K102" s="2"/>
      <c r="L102" s="34"/>
      <c r="M102" s="34"/>
      <c r="O102"/>
      <c r="P102" s="58"/>
    </row>
    <row r="103" spans="1:17" s="40" customFormat="1" ht="18.75" customHeight="1">
      <c r="A103"/>
      <c r="B103" s="26"/>
      <c r="C103" s="1"/>
      <c r="D103" s="20"/>
      <c r="E103" s="1"/>
      <c r="F103" s="1"/>
      <c r="G103" s="32"/>
      <c r="H103" s="2"/>
      <c r="I103" s="2"/>
      <c r="J103" s="60"/>
      <c r="K103" s="2"/>
      <c r="L103" s="34"/>
      <c r="M103" s="34"/>
      <c r="O103"/>
      <c r="P103" s="58"/>
    </row>
    <row r="104" spans="1:17" s="40" customFormat="1" ht="18.75" customHeight="1">
      <c r="A104"/>
      <c r="B104" s="26"/>
      <c r="C104" s="1"/>
      <c r="D104" s="20"/>
      <c r="E104" s="1"/>
      <c r="F104" s="1"/>
      <c r="G104" s="32"/>
      <c r="H104" s="2"/>
      <c r="I104" s="2"/>
      <c r="J104" s="60"/>
      <c r="K104" s="2"/>
      <c r="L104" s="34"/>
      <c r="M104" s="149">
        <f>M46+M72+M79+M86+M93+M100</f>
        <v>3230079</v>
      </c>
      <c r="O104"/>
      <c r="P104" s="58"/>
    </row>
    <row r="105" spans="1:17" s="40" customFormat="1" ht="18.75" customHeight="1">
      <c r="A105"/>
      <c r="B105" s="26"/>
      <c r="C105" s="1"/>
      <c r="D105" s="20"/>
      <c r="E105" s="1"/>
      <c r="F105" s="1"/>
      <c r="G105" s="32"/>
      <c r="H105" s="2"/>
      <c r="I105" s="2"/>
      <c r="J105" s="60"/>
      <c r="K105" s="2"/>
      <c r="L105" s="34"/>
      <c r="M105" s="34"/>
      <c r="O105"/>
      <c r="P105" s="58"/>
    </row>
    <row r="106" spans="1:17" s="40" customFormat="1" ht="18.75" customHeight="1">
      <c r="A106"/>
      <c r="B106" s="26"/>
      <c r="C106" s="1"/>
      <c r="D106" s="20"/>
      <c r="E106" s="1"/>
      <c r="F106" s="1"/>
      <c r="G106" s="32"/>
      <c r="H106" s="2"/>
      <c r="I106" s="2"/>
      <c r="J106" s="60"/>
      <c r="K106" s="2"/>
      <c r="L106" s="34"/>
      <c r="M106" s="34"/>
      <c r="O106"/>
      <c r="P106" s="58"/>
    </row>
    <row r="107" spans="1:17" s="40" customFormat="1" ht="18.75" customHeight="1">
      <c r="A107"/>
      <c r="B107" s="26"/>
      <c r="C107" s="1"/>
      <c r="D107" s="20"/>
      <c r="E107" s="1"/>
      <c r="F107" s="1"/>
      <c r="G107" s="32"/>
      <c r="H107" s="2"/>
      <c r="I107" s="2"/>
      <c r="J107" s="60"/>
      <c r="K107" s="2"/>
      <c r="L107" s="34"/>
      <c r="M107" s="34"/>
      <c r="O107"/>
      <c r="P107" s="58"/>
    </row>
    <row r="108" spans="1:17" s="40" customFormat="1" ht="18.75" customHeight="1">
      <c r="A108"/>
      <c r="B108" s="26"/>
      <c r="C108" s="1"/>
      <c r="D108" s="20"/>
      <c r="E108" s="1"/>
      <c r="F108" s="1"/>
      <c r="G108" s="32"/>
      <c r="H108" s="2"/>
      <c r="I108" s="2"/>
      <c r="J108" s="60"/>
      <c r="K108" s="2"/>
      <c r="L108" s="34"/>
      <c r="M108" s="34"/>
      <c r="O108"/>
      <c r="P108" s="58"/>
    </row>
    <row r="109" spans="1:17" s="40" customFormat="1" ht="18.75" customHeight="1">
      <c r="A109"/>
      <c r="B109" s="26"/>
      <c r="C109" s="1"/>
      <c r="D109" s="20"/>
      <c r="E109" s="1"/>
      <c r="F109" s="1"/>
      <c r="G109" s="32"/>
      <c r="H109" s="2"/>
      <c r="I109" s="2"/>
      <c r="J109" s="60"/>
      <c r="K109" s="2"/>
      <c r="L109" s="34"/>
      <c r="M109" s="34"/>
      <c r="O109"/>
      <c r="P109" s="58"/>
    </row>
    <row r="110" spans="1:17" s="40" customFormat="1" ht="18.75" customHeight="1">
      <c r="A110"/>
      <c r="B110" s="26"/>
      <c r="C110" s="1"/>
      <c r="D110" s="20"/>
      <c r="E110" s="1"/>
      <c r="F110" s="1"/>
      <c r="G110" s="32"/>
      <c r="H110" s="2"/>
      <c r="I110" s="2"/>
      <c r="J110" s="60"/>
      <c r="K110" s="2"/>
      <c r="L110" s="34"/>
      <c r="M110" s="34"/>
      <c r="O110"/>
      <c r="P110" s="58"/>
    </row>
    <row r="111" spans="1:17" s="40" customFormat="1" ht="18.75" customHeight="1">
      <c r="A111"/>
      <c r="B111" s="26"/>
      <c r="C111" s="1"/>
      <c r="D111" s="20"/>
      <c r="E111" s="1"/>
      <c r="F111" s="1"/>
      <c r="G111" s="32"/>
      <c r="H111" s="2"/>
      <c r="I111" s="2"/>
      <c r="J111" s="60"/>
      <c r="K111" s="2"/>
      <c r="L111" s="34"/>
      <c r="M111" s="34"/>
      <c r="O111"/>
      <c r="P111" s="58"/>
    </row>
    <row r="112" spans="1:17" s="40" customFormat="1" ht="18.75" customHeight="1">
      <c r="A112"/>
      <c r="B112" s="26"/>
      <c r="C112" s="1"/>
      <c r="D112" s="20"/>
      <c r="E112" s="1"/>
      <c r="F112" s="1"/>
      <c r="G112" s="32"/>
      <c r="H112" s="2"/>
      <c r="I112" s="2"/>
      <c r="J112" s="60"/>
      <c r="K112" s="2"/>
      <c r="L112" s="34"/>
      <c r="M112" s="34"/>
      <c r="O112"/>
      <c r="P112" s="58"/>
    </row>
    <row r="113" spans="1:16" s="40" customFormat="1" ht="18.75" customHeight="1">
      <c r="A113"/>
      <c r="B113" s="26"/>
      <c r="C113" s="1"/>
      <c r="D113" s="20"/>
      <c r="E113" s="1"/>
      <c r="F113" s="1"/>
      <c r="G113" s="32"/>
      <c r="H113" s="2"/>
      <c r="I113" s="2"/>
      <c r="J113" s="60"/>
      <c r="K113" s="2"/>
      <c r="L113" s="34"/>
      <c r="M113" s="34"/>
      <c r="O113"/>
      <c r="P113" s="58"/>
    </row>
    <row r="114" spans="1:16" s="40" customFormat="1" ht="18.75" customHeight="1">
      <c r="A114"/>
      <c r="B114" s="26"/>
      <c r="C114" s="1"/>
      <c r="D114" s="20"/>
      <c r="E114" s="1"/>
      <c r="F114" s="1"/>
      <c r="G114" s="32"/>
      <c r="H114" s="2"/>
      <c r="I114" s="2"/>
      <c r="J114" s="60"/>
      <c r="K114" s="2"/>
      <c r="L114" s="34"/>
      <c r="M114" s="34"/>
      <c r="O114"/>
      <c r="P114" s="58"/>
    </row>
    <row r="115" spans="1:16" s="40" customFormat="1" ht="18.75" customHeight="1">
      <c r="A115"/>
      <c r="B115" s="26"/>
      <c r="C115" s="1"/>
      <c r="D115" s="20"/>
      <c r="E115" s="1"/>
      <c r="F115" s="1"/>
      <c r="G115" s="32"/>
      <c r="H115" s="2"/>
      <c r="I115" s="2"/>
      <c r="J115" s="60"/>
      <c r="K115" s="2"/>
      <c r="L115" s="34"/>
      <c r="M115" s="34"/>
      <c r="O115"/>
      <c r="P115" s="58"/>
    </row>
    <row r="116" spans="1:16" s="40" customFormat="1" ht="18.75" customHeight="1">
      <c r="A116"/>
      <c r="B116" s="26"/>
      <c r="C116" s="1"/>
      <c r="D116" s="20"/>
      <c r="E116" s="1"/>
      <c r="F116" s="1"/>
      <c r="G116" s="32"/>
      <c r="H116" s="2"/>
      <c r="I116" s="2"/>
      <c r="J116" s="60"/>
      <c r="K116" s="2"/>
      <c r="L116" s="34"/>
      <c r="M116" s="34"/>
      <c r="O116"/>
      <c r="P116" s="58"/>
    </row>
    <row r="117" spans="1:16" s="40" customFormat="1" ht="18.75" customHeight="1">
      <c r="A117"/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  <c r="O117"/>
      <c r="P117" s="58"/>
    </row>
    <row r="118" spans="1:16" s="40" customFormat="1" ht="18.75" customHeight="1">
      <c r="A118"/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M118" s="34"/>
      <c r="O118"/>
      <c r="P118" s="58"/>
    </row>
    <row r="119" spans="1:16" s="40" customFormat="1" ht="18.75" customHeight="1">
      <c r="A119"/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  <c r="O119"/>
      <c r="P119" s="58"/>
    </row>
    <row r="120" spans="1:16" s="40" customFormat="1" ht="18.75" customHeight="1">
      <c r="A120"/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34"/>
      <c r="O120"/>
      <c r="P120" s="58"/>
    </row>
    <row r="121" spans="1:16" s="40" customFormat="1" ht="18.75" customHeight="1">
      <c r="A121"/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  <c r="O121"/>
      <c r="P121" s="58"/>
    </row>
    <row r="122" spans="1:16" s="40" customFormat="1" ht="18.75" customHeight="1">
      <c r="A122"/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  <c r="O122"/>
      <c r="P122" s="58"/>
    </row>
    <row r="123" spans="1:16" s="40" customFormat="1" ht="18.75" customHeight="1">
      <c r="A123"/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  <c r="O123"/>
      <c r="P123" s="58"/>
    </row>
    <row r="124" spans="1:16" s="40" customFormat="1" ht="18.75" customHeight="1">
      <c r="A124"/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  <c r="O124"/>
      <c r="P124" s="58"/>
    </row>
    <row r="125" spans="1:16" s="40" customFormat="1" ht="18.75" customHeight="1">
      <c r="A125"/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  <c r="O125"/>
      <c r="P125" s="58"/>
    </row>
    <row r="126" spans="1:16" s="40" customFormat="1" ht="18.75" customHeight="1">
      <c r="A126"/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  <c r="O126"/>
      <c r="P126" s="58"/>
    </row>
    <row r="127" spans="1:16" s="40" customFormat="1" ht="18.75" customHeight="1">
      <c r="A127"/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  <c r="O127"/>
      <c r="P127" s="58"/>
    </row>
    <row r="128" spans="1:16" s="40" customFormat="1" ht="18.75" customHeight="1">
      <c r="A128"/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  <c r="O128"/>
      <c r="P128" s="58"/>
    </row>
    <row r="129" spans="1:16" s="40" customFormat="1" ht="18.75" customHeight="1">
      <c r="A129"/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  <c r="O129"/>
      <c r="P129" s="58"/>
    </row>
    <row r="130" spans="1:16" s="40" customFormat="1" ht="18.75" customHeight="1">
      <c r="A130"/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  <c r="O130"/>
      <c r="P130" s="58"/>
    </row>
    <row r="131" spans="1:16" s="40" customFormat="1" ht="18.75" customHeight="1">
      <c r="A131"/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  <c r="O131"/>
      <c r="P131" s="58"/>
    </row>
    <row r="132" spans="1:16" s="40" customFormat="1" ht="18.75" customHeight="1">
      <c r="A132"/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  <c r="O132"/>
      <c r="P132" s="58"/>
    </row>
    <row r="133" spans="1:16" s="40" customFormat="1" ht="18.75" customHeight="1">
      <c r="A133"/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  <c r="O133"/>
      <c r="P133" s="58"/>
    </row>
    <row r="134" spans="1:16" s="40" customFormat="1" ht="18.75" customHeight="1">
      <c r="A134"/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  <c r="O134"/>
      <c r="P134" s="58"/>
    </row>
    <row r="135" spans="1:16" s="40" customFormat="1" ht="18.75" customHeight="1">
      <c r="A135"/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  <c r="O135"/>
      <c r="P135" s="58"/>
    </row>
    <row r="136" spans="1:16" s="40" customFormat="1" ht="18.75" customHeight="1">
      <c r="A136"/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  <c r="O136"/>
      <c r="P136" s="58"/>
    </row>
    <row r="137" spans="1:16" s="40" customFormat="1" ht="18.75" customHeight="1">
      <c r="A137"/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  <c r="O137"/>
      <c r="P137" s="58"/>
    </row>
    <row r="138" spans="1:16" s="40" customFormat="1" ht="18.75" customHeight="1">
      <c r="A138"/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  <c r="O138"/>
      <c r="P138" s="58"/>
    </row>
    <row r="139" spans="1:16" s="40" customFormat="1" ht="18.75" customHeight="1">
      <c r="A139"/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  <c r="O139"/>
      <c r="P139" s="58"/>
    </row>
    <row r="140" spans="1:16" s="40" customFormat="1" ht="18.75" customHeight="1">
      <c r="A140"/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  <c r="O140"/>
      <c r="P140" s="58"/>
    </row>
    <row r="141" spans="1:16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16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16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16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5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5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5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5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5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5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5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5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5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5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5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5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5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5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5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5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5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5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5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5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5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5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5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5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5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5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5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5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5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5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5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5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5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5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5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5.75" customHeight="1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5.75" customHeight="1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5.75" customHeight="1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5.75" customHeight="1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5.75" customHeight="1">
      <c r="A291"/>
      <c r="B291" s="31"/>
      <c r="C291"/>
      <c r="D291" s="25"/>
      <c r="E291"/>
      <c r="F291"/>
      <c r="G291" s="33"/>
      <c r="H291"/>
      <c r="I291"/>
      <c r="J291" s="65"/>
      <c r="K291"/>
      <c r="O291"/>
      <c r="P291" s="58"/>
    </row>
    <row r="292" spans="1:16" s="40" customFormat="1" ht="15.75" customHeight="1">
      <c r="A292"/>
      <c r="B292" s="31"/>
      <c r="C292"/>
      <c r="D292" s="25"/>
      <c r="E292"/>
      <c r="F292"/>
      <c r="G292" s="33"/>
      <c r="H292"/>
      <c r="I292"/>
      <c r="J292" s="65"/>
      <c r="K292"/>
      <c r="O292"/>
      <c r="P292" s="58"/>
    </row>
    <row r="293" spans="1:16" s="40" customFormat="1" ht="15.75" customHeight="1">
      <c r="A293"/>
      <c r="B293" s="31"/>
      <c r="C293"/>
      <c r="D293" s="25"/>
      <c r="E293"/>
      <c r="F293"/>
      <c r="G293" s="33"/>
      <c r="H293"/>
      <c r="I293"/>
      <c r="J293" s="65"/>
      <c r="K293"/>
      <c r="O293"/>
      <c r="P293" s="58"/>
    </row>
    <row r="294" spans="1:16" s="40" customFormat="1" ht="15.75" customHeight="1">
      <c r="A294"/>
      <c r="B294" s="31"/>
      <c r="C294"/>
      <c r="D294" s="25"/>
      <c r="E294"/>
      <c r="F294"/>
      <c r="G294" s="33"/>
      <c r="H294"/>
      <c r="I294"/>
      <c r="J294" s="65"/>
      <c r="K294"/>
      <c r="O294"/>
      <c r="P294" s="58"/>
    </row>
    <row r="295" spans="1:16" s="40" customFormat="1" ht="15.75" customHeight="1">
      <c r="A295"/>
      <c r="B295" s="31"/>
      <c r="C295"/>
      <c r="D295" s="25"/>
      <c r="E295"/>
      <c r="F295"/>
      <c r="G295" s="33"/>
      <c r="H295"/>
      <c r="I295"/>
      <c r="J295" s="65"/>
      <c r="K295"/>
      <c r="O295"/>
      <c r="P295" s="58"/>
    </row>
    <row r="296" spans="1:16" s="40" customFormat="1" ht="15.75" customHeight="1">
      <c r="A296"/>
      <c r="B296" s="31"/>
      <c r="C296"/>
      <c r="D296" s="25"/>
      <c r="E296"/>
      <c r="F296"/>
      <c r="G296" s="33"/>
      <c r="H296"/>
      <c r="I296"/>
      <c r="J296" s="65"/>
      <c r="K296"/>
      <c r="O296"/>
      <c r="P296" s="58"/>
    </row>
    <row r="297" spans="1:16" s="40" customFormat="1" ht="15.75" customHeight="1">
      <c r="A297"/>
      <c r="B297" s="31"/>
      <c r="C297"/>
      <c r="D297" s="25"/>
      <c r="E297"/>
      <c r="F297"/>
      <c r="G297" s="33"/>
      <c r="H297"/>
      <c r="I297"/>
      <c r="J297" s="65"/>
      <c r="K297"/>
      <c r="O297"/>
      <c r="P297" s="58"/>
    </row>
    <row r="298" spans="1:16" s="40" customFormat="1" ht="15.75" customHeight="1">
      <c r="A298"/>
      <c r="B298" s="31"/>
      <c r="C298"/>
      <c r="D298" s="25"/>
      <c r="E298"/>
      <c r="F298"/>
      <c r="G298" s="33"/>
      <c r="H298"/>
      <c r="I298"/>
      <c r="J298" s="65"/>
      <c r="K298"/>
      <c r="O298"/>
      <c r="P298" s="58"/>
    </row>
    <row r="299" spans="1:16" s="40" customFormat="1" ht="15.75" customHeight="1">
      <c r="A299"/>
      <c r="B299" s="31"/>
      <c r="C299"/>
      <c r="D299" s="25"/>
      <c r="E299"/>
      <c r="F299"/>
      <c r="G299" s="33"/>
      <c r="H299"/>
      <c r="I299"/>
      <c r="J299" s="65"/>
      <c r="K299"/>
      <c r="O299"/>
      <c r="P299" s="58"/>
    </row>
    <row r="300" spans="1:16" s="40" customFormat="1" ht="15.75" customHeight="1">
      <c r="A300"/>
      <c r="B300" s="31"/>
      <c r="C300"/>
      <c r="D300" s="25"/>
      <c r="E300"/>
      <c r="F300"/>
      <c r="G300" s="33"/>
      <c r="H300"/>
      <c r="I300"/>
      <c r="J300" s="65"/>
      <c r="K300"/>
      <c r="O300"/>
      <c r="P300" s="58"/>
    </row>
    <row r="301" spans="1:16" s="40" customFormat="1" ht="15.75" customHeight="1">
      <c r="A301"/>
      <c r="B301" s="31"/>
      <c r="C301"/>
      <c r="D301" s="25"/>
      <c r="E301"/>
      <c r="F301"/>
      <c r="G301" s="33"/>
      <c r="H301"/>
      <c r="I301"/>
      <c r="J301" s="65"/>
      <c r="K301"/>
      <c r="O301"/>
      <c r="P301" s="58"/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honeticPr fontId="5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E978-665C-4A01-8029-61DB50A660ED}">
  <dimension ref="A1:W1005"/>
  <sheetViews>
    <sheetView topLeftCell="E1" zoomScale="90" zoomScaleNormal="90" workbookViewId="0">
      <pane ySplit="2" topLeftCell="A71" activePane="bottomLeft" state="frozen"/>
      <selection pane="bottomLeft" activeCell="G82" sqref="G82:J82"/>
    </sheetView>
  </sheetViews>
  <sheetFormatPr defaultColWidth="14.42578125" defaultRowHeight="15" customHeight="1"/>
  <cols>
    <col min="1" max="1" width="18.28515625" bestFit="1" customWidth="1"/>
    <col min="2" max="2" width="13.42578125" style="31" bestFit="1" customWidth="1"/>
    <col min="3" max="3" width="11.28515625" bestFit="1" customWidth="1"/>
    <col min="4" max="4" width="16.28515625" style="25" bestFit="1" customWidth="1"/>
    <col min="5" max="5" width="51.7109375" bestFit="1" customWidth="1"/>
    <col min="6" max="6" width="13.42578125" bestFit="1" customWidth="1"/>
    <col min="7" max="7" width="116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11.85546875" bestFit="1" customWidth="1"/>
    <col min="12" max="13" width="17.7109375" style="40" bestFit="1" customWidth="1"/>
    <col min="14" max="14" width="12.7109375" style="40" bestFit="1" customWidth="1"/>
    <col min="15" max="15" width="35" customWidth="1"/>
    <col min="16" max="16" width="23.85546875" style="58" bestFit="1" customWidth="1"/>
    <col min="17" max="17" width="14.85546875" style="40" bestFit="1" customWidth="1"/>
  </cols>
  <sheetData>
    <row r="1" spans="1:19" ht="18.75" customHeight="1">
      <c r="A1" s="13" t="s">
        <v>646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9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17</v>
      </c>
    </row>
    <row r="3" spans="1:19" ht="18.75" customHeight="1">
      <c r="A3" s="5">
        <v>1022443</v>
      </c>
      <c r="B3" s="28">
        <v>122459</v>
      </c>
      <c r="C3" s="5" t="s">
        <v>53</v>
      </c>
      <c r="D3" s="22">
        <v>45768.943055555559</v>
      </c>
      <c r="E3" s="17" t="s">
        <v>22</v>
      </c>
      <c r="F3" s="5" t="s">
        <v>647</v>
      </c>
      <c r="G3" s="17" t="s">
        <v>648</v>
      </c>
      <c r="H3" s="6">
        <v>48000</v>
      </c>
      <c r="I3" s="6">
        <v>1</v>
      </c>
      <c r="J3" s="62">
        <v>0.25</v>
      </c>
      <c r="K3" s="6" t="s">
        <v>56</v>
      </c>
      <c r="L3" s="36">
        <v>12000</v>
      </c>
      <c r="M3" s="42">
        <v>13200</v>
      </c>
      <c r="N3" s="56">
        <v>0</v>
      </c>
      <c r="O3" s="48" t="s">
        <v>71</v>
      </c>
      <c r="P3" s="59" t="s">
        <v>508</v>
      </c>
      <c r="Q3" s="67" t="s">
        <v>649</v>
      </c>
      <c r="R3" t="s">
        <v>650</v>
      </c>
      <c r="S3" t="s">
        <v>651</v>
      </c>
    </row>
    <row r="4" spans="1:19" ht="18.75" customHeight="1">
      <c r="A4" s="5">
        <v>1021369</v>
      </c>
      <c r="B4" s="28">
        <v>122300</v>
      </c>
      <c r="C4" s="5" t="s">
        <v>59</v>
      </c>
      <c r="D4" s="22">
        <v>45767.6875</v>
      </c>
      <c r="E4" s="17" t="s">
        <v>22</v>
      </c>
      <c r="F4" s="5" t="s">
        <v>652</v>
      </c>
      <c r="G4" s="17" t="s">
        <v>653</v>
      </c>
      <c r="H4" s="6">
        <v>180</v>
      </c>
      <c r="I4" s="6">
        <v>40</v>
      </c>
      <c r="J4" s="62">
        <v>1</v>
      </c>
      <c r="K4" s="6" t="s">
        <v>107</v>
      </c>
      <c r="L4" s="36">
        <v>7200</v>
      </c>
      <c r="M4" s="42">
        <v>7920</v>
      </c>
      <c r="N4" s="53">
        <v>480</v>
      </c>
      <c r="O4" s="48" t="s">
        <v>472</v>
      </c>
      <c r="P4" s="51">
        <v>45748</v>
      </c>
      <c r="Q4" s="67"/>
    </row>
    <row r="5" spans="1:19" ht="18.75" customHeight="1">
      <c r="A5" s="5">
        <v>1020630</v>
      </c>
      <c r="B5" s="28">
        <v>122151</v>
      </c>
      <c r="C5" s="5" t="s">
        <v>53</v>
      </c>
      <c r="D5" s="22">
        <v>45766.580555555556</v>
      </c>
      <c r="E5" s="17" t="s">
        <v>23</v>
      </c>
      <c r="F5" s="5" t="s">
        <v>654</v>
      </c>
      <c r="G5" s="17" t="s">
        <v>655</v>
      </c>
      <c r="H5" s="6">
        <v>335</v>
      </c>
      <c r="I5" s="6">
        <v>144</v>
      </c>
      <c r="J5" s="62">
        <v>0.5</v>
      </c>
      <c r="K5" s="6" t="s">
        <v>435</v>
      </c>
      <c r="L5" s="36">
        <v>24120</v>
      </c>
      <c r="M5" s="42">
        <v>26050</v>
      </c>
      <c r="N5" s="53">
        <v>0</v>
      </c>
      <c r="O5" s="48" t="s">
        <v>656</v>
      </c>
      <c r="P5" s="51" t="s">
        <v>657</v>
      </c>
      <c r="Q5" s="67" t="s">
        <v>658</v>
      </c>
    </row>
    <row r="6" spans="1:19" ht="18.75" customHeight="1">
      <c r="A6" s="5">
        <v>1020564</v>
      </c>
      <c r="B6" s="28">
        <v>122139</v>
      </c>
      <c r="C6" s="5" t="s">
        <v>53</v>
      </c>
      <c r="D6" s="22">
        <v>45766.579861111109</v>
      </c>
      <c r="E6" s="17" t="s">
        <v>19</v>
      </c>
      <c r="F6" s="5" t="s">
        <v>654</v>
      </c>
      <c r="G6" s="17" t="s">
        <v>655</v>
      </c>
      <c r="H6" s="6">
        <v>335</v>
      </c>
      <c r="I6" s="6">
        <v>144</v>
      </c>
      <c r="J6" s="62">
        <v>0.5</v>
      </c>
      <c r="K6" s="6" t="s">
        <v>435</v>
      </c>
      <c r="L6" s="36">
        <v>24120</v>
      </c>
      <c r="M6" s="42">
        <v>26050</v>
      </c>
      <c r="N6" s="53">
        <v>0</v>
      </c>
      <c r="O6" s="48" t="s">
        <v>656</v>
      </c>
      <c r="P6" s="51" t="s">
        <v>657</v>
      </c>
      <c r="Q6" s="67" t="s">
        <v>658</v>
      </c>
    </row>
    <row r="7" spans="1:19" ht="18.75" customHeight="1">
      <c r="A7" s="5">
        <v>1019572</v>
      </c>
      <c r="B7" s="28">
        <v>121957</v>
      </c>
      <c r="C7" s="5" t="s">
        <v>53</v>
      </c>
      <c r="D7" s="22">
        <v>45766.336111111108</v>
      </c>
      <c r="E7" s="17" t="s">
        <v>22</v>
      </c>
      <c r="F7" s="5" t="s">
        <v>482</v>
      </c>
      <c r="G7" s="17" t="s">
        <v>483</v>
      </c>
      <c r="H7" s="6">
        <v>150</v>
      </c>
      <c r="I7" s="6">
        <v>240</v>
      </c>
      <c r="J7" s="62">
        <v>2</v>
      </c>
      <c r="K7" s="6" t="s">
        <v>56</v>
      </c>
      <c r="L7" s="36">
        <v>72000</v>
      </c>
      <c r="M7" s="42">
        <v>79200</v>
      </c>
      <c r="N7" s="53">
        <v>0</v>
      </c>
      <c r="O7" s="48" t="s">
        <v>71</v>
      </c>
      <c r="P7" s="51" t="s">
        <v>485</v>
      </c>
      <c r="Q7" s="67"/>
    </row>
    <row r="8" spans="1:19" ht="18.75" customHeight="1">
      <c r="A8" s="5">
        <v>1019571</v>
      </c>
      <c r="B8" s="28">
        <v>121957</v>
      </c>
      <c r="C8" s="5" t="s">
        <v>53</v>
      </c>
      <c r="D8" s="22">
        <v>45766.336111111108</v>
      </c>
      <c r="E8" s="17" t="s">
        <v>22</v>
      </c>
      <c r="F8" s="5" t="s">
        <v>323</v>
      </c>
      <c r="G8" s="17" t="s">
        <v>324</v>
      </c>
      <c r="H8" s="6">
        <v>350</v>
      </c>
      <c r="I8" s="6">
        <v>162</v>
      </c>
      <c r="J8" s="62">
        <v>2</v>
      </c>
      <c r="K8" s="6" t="s">
        <v>56</v>
      </c>
      <c r="L8" s="36">
        <v>113400</v>
      </c>
      <c r="M8" s="42">
        <v>124740</v>
      </c>
      <c r="N8" s="53">
        <v>0</v>
      </c>
      <c r="O8" s="48" t="s">
        <v>71</v>
      </c>
      <c r="P8" s="51" t="s">
        <v>326</v>
      </c>
      <c r="Q8" s="67"/>
    </row>
    <row r="9" spans="1:19" ht="18.75" customHeight="1">
      <c r="A9" s="5">
        <v>1015652</v>
      </c>
      <c r="B9" s="28">
        <v>121527</v>
      </c>
      <c r="C9" s="5" t="s">
        <v>59</v>
      </c>
      <c r="D9" s="22">
        <v>45761.775000000001</v>
      </c>
      <c r="E9" s="17" t="s">
        <v>23</v>
      </c>
      <c r="F9" s="5" t="s">
        <v>659</v>
      </c>
      <c r="G9" s="17" t="s">
        <v>660</v>
      </c>
      <c r="H9" s="6">
        <v>28</v>
      </c>
      <c r="I9" s="6">
        <v>1200</v>
      </c>
      <c r="J9" s="62">
        <v>1</v>
      </c>
      <c r="K9" s="6" t="s">
        <v>56</v>
      </c>
      <c r="L9" s="36">
        <v>33600</v>
      </c>
      <c r="M9" s="42">
        <v>36960</v>
      </c>
      <c r="N9" s="53">
        <v>0</v>
      </c>
      <c r="O9" s="48" t="s">
        <v>661</v>
      </c>
      <c r="P9" s="51" t="s">
        <v>467</v>
      </c>
      <c r="Q9" s="67"/>
    </row>
    <row r="10" spans="1:19" ht="18.75" customHeight="1">
      <c r="A10" s="5">
        <v>1015234</v>
      </c>
      <c r="B10" s="28">
        <v>121526</v>
      </c>
      <c r="C10" s="5" t="s">
        <v>59</v>
      </c>
      <c r="D10" s="22">
        <v>45761.57916666667</v>
      </c>
      <c r="E10" s="17" t="s">
        <v>22</v>
      </c>
      <c r="F10" s="5" t="s">
        <v>659</v>
      </c>
      <c r="G10" s="17" t="s">
        <v>660</v>
      </c>
      <c r="H10" s="6">
        <v>28</v>
      </c>
      <c r="I10" s="6">
        <v>1200</v>
      </c>
      <c r="J10" s="62">
        <v>1</v>
      </c>
      <c r="K10" s="6" t="s">
        <v>56</v>
      </c>
      <c r="L10" s="36">
        <v>33600</v>
      </c>
      <c r="M10" s="42">
        <v>36960</v>
      </c>
      <c r="N10" s="53">
        <v>0</v>
      </c>
      <c r="O10" s="48" t="s">
        <v>661</v>
      </c>
      <c r="P10" s="51" t="s">
        <v>467</v>
      </c>
      <c r="Q10" s="67"/>
    </row>
    <row r="11" spans="1:19" ht="18.75" customHeight="1">
      <c r="A11" s="5">
        <v>1015227</v>
      </c>
      <c r="B11" s="28">
        <v>121525</v>
      </c>
      <c r="C11" s="5" t="s">
        <v>59</v>
      </c>
      <c r="D11" s="22">
        <v>45761.57916666667</v>
      </c>
      <c r="E11" s="17" t="s">
        <v>19</v>
      </c>
      <c r="F11" s="5" t="s">
        <v>323</v>
      </c>
      <c r="G11" s="17" t="s">
        <v>324</v>
      </c>
      <c r="H11" s="6">
        <v>350</v>
      </c>
      <c r="I11" s="6">
        <v>162</v>
      </c>
      <c r="J11" s="62">
        <v>1</v>
      </c>
      <c r="K11" s="6" t="s">
        <v>56</v>
      </c>
      <c r="L11" s="36">
        <v>56700</v>
      </c>
      <c r="M11" s="42">
        <v>62370</v>
      </c>
      <c r="N11" s="53">
        <v>0</v>
      </c>
      <c r="O11" s="48" t="s">
        <v>662</v>
      </c>
      <c r="P11" s="51" t="s">
        <v>326</v>
      </c>
      <c r="Q11" s="67"/>
    </row>
    <row r="12" spans="1:19" ht="18.75" customHeight="1">
      <c r="A12" s="5">
        <v>1015230</v>
      </c>
      <c r="B12" s="28">
        <v>121525</v>
      </c>
      <c r="C12" s="5" t="s">
        <v>59</v>
      </c>
      <c r="D12" s="22">
        <v>45761.57916666667</v>
      </c>
      <c r="E12" s="17" t="s">
        <v>19</v>
      </c>
      <c r="F12" s="5" t="s">
        <v>659</v>
      </c>
      <c r="G12" s="17" t="s">
        <v>660</v>
      </c>
      <c r="H12" s="6">
        <v>28</v>
      </c>
      <c r="I12" s="6">
        <v>1200</v>
      </c>
      <c r="J12" s="62">
        <v>1</v>
      </c>
      <c r="K12" s="6" t="s">
        <v>56</v>
      </c>
      <c r="L12" s="36">
        <v>33600</v>
      </c>
      <c r="M12" s="42">
        <v>36960</v>
      </c>
      <c r="N12" s="53">
        <v>0</v>
      </c>
      <c r="O12" s="48" t="s">
        <v>661</v>
      </c>
      <c r="P12" s="51" t="s">
        <v>467</v>
      </c>
      <c r="Q12" s="67"/>
    </row>
    <row r="13" spans="1:19" ht="18.75" customHeight="1">
      <c r="A13" s="5">
        <v>1015223</v>
      </c>
      <c r="B13" s="28">
        <v>121524</v>
      </c>
      <c r="C13" s="5" t="s">
        <v>59</v>
      </c>
      <c r="D13" s="22">
        <v>45761.578472222223</v>
      </c>
      <c r="E13" s="17" t="s">
        <v>22</v>
      </c>
      <c r="F13" s="5" t="s">
        <v>323</v>
      </c>
      <c r="G13" s="17" t="s">
        <v>324</v>
      </c>
      <c r="H13" s="6">
        <v>350</v>
      </c>
      <c r="I13" s="6">
        <v>162</v>
      </c>
      <c r="J13" s="62">
        <v>1</v>
      </c>
      <c r="K13" s="6" t="s">
        <v>56</v>
      </c>
      <c r="L13" s="36">
        <v>56700</v>
      </c>
      <c r="M13" s="42">
        <v>62370</v>
      </c>
      <c r="N13" s="53">
        <v>0</v>
      </c>
      <c r="O13" s="48" t="s">
        <v>662</v>
      </c>
      <c r="P13" s="51" t="s">
        <v>326</v>
      </c>
      <c r="Q13" s="67"/>
    </row>
    <row r="14" spans="1:19" ht="18.75" customHeight="1">
      <c r="A14" s="5">
        <v>1013284</v>
      </c>
      <c r="B14" s="28">
        <v>121218</v>
      </c>
      <c r="C14" s="5" t="s">
        <v>53</v>
      </c>
      <c r="D14" s="22">
        <v>45758.62222222222</v>
      </c>
      <c r="E14" s="17" t="s">
        <v>22</v>
      </c>
      <c r="F14" s="5" t="s">
        <v>663</v>
      </c>
      <c r="G14" s="17" t="s">
        <v>664</v>
      </c>
      <c r="H14" s="6">
        <v>55000</v>
      </c>
      <c r="I14" s="6">
        <v>1</v>
      </c>
      <c r="J14" s="62">
        <v>0.5</v>
      </c>
      <c r="K14" s="6" t="s">
        <v>56</v>
      </c>
      <c r="L14" s="36">
        <v>27500</v>
      </c>
      <c r="M14" s="42">
        <v>30250</v>
      </c>
      <c r="N14" s="53">
        <v>1000</v>
      </c>
      <c r="O14" s="48" t="s">
        <v>665</v>
      </c>
      <c r="P14" s="51" t="s">
        <v>454</v>
      </c>
      <c r="Q14" s="67" t="s">
        <v>651</v>
      </c>
    </row>
    <row r="15" spans="1:19" ht="18.75" customHeight="1">
      <c r="A15" s="5">
        <v>1013279</v>
      </c>
      <c r="B15" s="28">
        <v>121218</v>
      </c>
      <c r="C15" s="5" t="s">
        <v>59</v>
      </c>
      <c r="D15" s="22">
        <v>45758.62222222222</v>
      </c>
      <c r="E15" s="17" t="s">
        <v>22</v>
      </c>
      <c r="F15" s="5" t="s">
        <v>479</v>
      </c>
      <c r="G15" s="17" t="s">
        <v>480</v>
      </c>
      <c r="H15" s="6">
        <v>1000</v>
      </c>
      <c r="I15" s="6">
        <v>48</v>
      </c>
      <c r="J15" s="62">
        <v>1</v>
      </c>
      <c r="K15" s="6" t="s">
        <v>56</v>
      </c>
      <c r="L15" s="36">
        <v>48000</v>
      </c>
      <c r="M15" s="42">
        <v>52800</v>
      </c>
      <c r="N15" s="53">
        <v>12000</v>
      </c>
      <c r="O15" s="48" t="s">
        <v>666</v>
      </c>
      <c r="P15" s="51" t="s">
        <v>478</v>
      </c>
      <c r="Q15" s="67"/>
    </row>
    <row r="16" spans="1:19" ht="18.75" customHeight="1">
      <c r="A16" s="5">
        <v>1013273</v>
      </c>
      <c r="B16" s="28">
        <v>121215</v>
      </c>
      <c r="C16" s="5" t="s">
        <v>59</v>
      </c>
      <c r="D16" s="22">
        <v>45758.614583333336</v>
      </c>
      <c r="E16" s="17" t="s">
        <v>23</v>
      </c>
      <c r="F16" s="5" t="s">
        <v>578</v>
      </c>
      <c r="G16" s="17" t="s">
        <v>579</v>
      </c>
      <c r="H16" s="6">
        <v>170</v>
      </c>
      <c r="I16" s="6">
        <v>264</v>
      </c>
      <c r="J16" s="62">
        <v>2</v>
      </c>
      <c r="K16" s="6" t="s">
        <v>56</v>
      </c>
      <c r="L16" s="36">
        <v>89760</v>
      </c>
      <c r="M16" s="42">
        <v>98736</v>
      </c>
      <c r="N16" s="53">
        <v>0</v>
      </c>
      <c r="O16" s="48" t="s">
        <v>604</v>
      </c>
      <c r="P16" s="51" t="s">
        <v>581</v>
      </c>
      <c r="Q16" s="67"/>
    </row>
    <row r="17" spans="1:18" ht="18.75" customHeight="1">
      <c r="A17" s="5">
        <v>1013240</v>
      </c>
      <c r="B17" s="28">
        <v>121208</v>
      </c>
      <c r="C17" s="5" t="s">
        <v>59</v>
      </c>
      <c r="D17" s="22">
        <v>45758.580555555556</v>
      </c>
      <c r="E17" s="17" t="s">
        <v>19</v>
      </c>
      <c r="F17" s="5" t="s">
        <v>578</v>
      </c>
      <c r="G17" s="17" t="s">
        <v>579</v>
      </c>
      <c r="H17" s="6">
        <v>170</v>
      </c>
      <c r="I17" s="6">
        <v>264</v>
      </c>
      <c r="J17" s="62">
        <v>2</v>
      </c>
      <c r="K17" s="6" t="s">
        <v>56</v>
      </c>
      <c r="L17" s="36">
        <v>89760</v>
      </c>
      <c r="M17" s="42">
        <v>98736</v>
      </c>
      <c r="N17" s="53">
        <v>0</v>
      </c>
      <c r="O17" s="48" t="s">
        <v>604</v>
      </c>
      <c r="P17" s="51" t="s">
        <v>581</v>
      </c>
      <c r="Q17" s="67"/>
    </row>
    <row r="18" spans="1:18" ht="18.75" customHeight="1">
      <c r="A18" s="5">
        <v>1013238</v>
      </c>
      <c r="B18" s="28">
        <v>121208</v>
      </c>
      <c r="C18" s="5" t="s">
        <v>53</v>
      </c>
      <c r="D18" s="22">
        <v>45758.580555555556</v>
      </c>
      <c r="E18" s="17" t="s">
        <v>19</v>
      </c>
      <c r="F18" s="5" t="s">
        <v>464</v>
      </c>
      <c r="G18" s="17" t="s">
        <v>465</v>
      </c>
      <c r="H18" s="6">
        <v>800</v>
      </c>
      <c r="I18" s="6">
        <v>60</v>
      </c>
      <c r="J18" s="62">
        <v>1</v>
      </c>
      <c r="K18" s="6" t="s">
        <v>56</v>
      </c>
      <c r="L18" s="36">
        <v>48000</v>
      </c>
      <c r="M18" s="42">
        <v>52800</v>
      </c>
      <c r="N18" s="53">
        <v>0</v>
      </c>
      <c r="O18" s="133" t="s">
        <v>71</v>
      </c>
      <c r="P18" s="51" t="s">
        <v>467</v>
      </c>
      <c r="Q18" s="67"/>
    </row>
    <row r="19" spans="1:18" ht="18.75" customHeight="1">
      <c r="A19" s="5">
        <v>1013128</v>
      </c>
      <c r="B19" s="28">
        <v>121187</v>
      </c>
      <c r="C19" s="5" t="s">
        <v>59</v>
      </c>
      <c r="D19" s="22">
        <v>45758.527083333334</v>
      </c>
      <c r="E19" s="17" t="s">
        <v>22</v>
      </c>
      <c r="F19" s="5" t="s">
        <v>578</v>
      </c>
      <c r="G19" s="17" t="s">
        <v>579</v>
      </c>
      <c r="H19" s="6">
        <v>170</v>
      </c>
      <c r="I19" s="6">
        <v>264</v>
      </c>
      <c r="J19" s="62">
        <v>2</v>
      </c>
      <c r="K19" s="6" t="s">
        <v>56</v>
      </c>
      <c r="L19" s="36">
        <v>89760</v>
      </c>
      <c r="M19" s="42">
        <v>98736</v>
      </c>
      <c r="N19" s="53">
        <v>0</v>
      </c>
      <c r="O19" s="48" t="s">
        <v>604</v>
      </c>
      <c r="P19" s="51" t="s">
        <v>581</v>
      </c>
      <c r="Q19" s="67"/>
    </row>
    <row r="20" spans="1:18" ht="18.75" customHeight="1">
      <c r="A20" s="5">
        <v>1013070</v>
      </c>
      <c r="B20" s="28">
        <v>121052</v>
      </c>
      <c r="C20" s="5" t="s">
        <v>59</v>
      </c>
      <c r="D20" s="22">
        <v>45758.501388888886</v>
      </c>
      <c r="E20" s="17" t="s">
        <v>122</v>
      </c>
      <c r="F20" s="5" t="s">
        <v>323</v>
      </c>
      <c r="G20" s="17" t="s">
        <v>324</v>
      </c>
      <c r="H20" s="6">
        <v>350</v>
      </c>
      <c r="I20" s="6">
        <v>162</v>
      </c>
      <c r="J20" s="62">
        <v>0.5</v>
      </c>
      <c r="K20" s="6" t="s">
        <v>56</v>
      </c>
      <c r="L20" s="36">
        <v>28350</v>
      </c>
      <c r="M20" s="42">
        <v>31185</v>
      </c>
      <c r="N20" s="53">
        <v>0</v>
      </c>
      <c r="O20" s="48" t="s">
        <v>662</v>
      </c>
      <c r="P20" s="51" t="s">
        <v>326</v>
      </c>
      <c r="Q20" s="67"/>
    </row>
    <row r="21" spans="1:18" ht="18.75" customHeight="1">
      <c r="A21" s="5">
        <v>1013068</v>
      </c>
      <c r="B21" s="28">
        <v>121052</v>
      </c>
      <c r="C21" s="5" t="s">
        <v>53</v>
      </c>
      <c r="D21" s="22">
        <v>45758.501388888886</v>
      </c>
      <c r="E21" s="17" t="s">
        <v>122</v>
      </c>
      <c r="F21" s="5" t="s">
        <v>578</v>
      </c>
      <c r="G21" s="17" t="s">
        <v>579</v>
      </c>
      <c r="H21" s="6">
        <v>170</v>
      </c>
      <c r="I21" s="6">
        <v>264</v>
      </c>
      <c r="J21" s="62">
        <v>1</v>
      </c>
      <c r="K21" s="6" t="s">
        <v>56</v>
      </c>
      <c r="L21" s="36">
        <v>44880</v>
      </c>
      <c r="M21" s="42">
        <v>49368</v>
      </c>
      <c r="N21" s="53">
        <v>0</v>
      </c>
      <c r="O21" s="48" t="s">
        <v>71</v>
      </c>
      <c r="P21" s="51" t="s">
        <v>581</v>
      </c>
      <c r="Q21" s="67"/>
    </row>
    <row r="22" spans="1:18" ht="18.75" customHeight="1">
      <c r="A22" s="5">
        <v>1008538</v>
      </c>
      <c r="B22" s="28">
        <v>120735</v>
      </c>
      <c r="C22" s="5" t="s">
        <v>59</v>
      </c>
      <c r="D22" s="22">
        <v>45754.918055555558</v>
      </c>
      <c r="E22" s="17" t="s">
        <v>22</v>
      </c>
      <c r="F22" s="5" t="s">
        <v>667</v>
      </c>
      <c r="G22" s="17" t="s">
        <v>668</v>
      </c>
      <c r="H22" s="6">
        <v>43</v>
      </c>
      <c r="I22" s="6">
        <v>1200</v>
      </c>
      <c r="J22" s="62">
        <v>0.5</v>
      </c>
      <c r="K22" s="6" t="s">
        <v>56</v>
      </c>
      <c r="L22" s="36">
        <v>25800</v>
      </c>
      <c r="M22" s="42">
        <v>28380</v>
      </c>
      <c r="N22" s="53">
        <v>800</v>
      </c>
      <c r="O22" s="48" t="s">
        <v>71</v>
      </c>
      <c r="P22" s="51" t="s">
        <v>508</v>
      </c>
      <c r="Q22" s="67" t="s">
        <v>651</v>
      </c>
      <c r="R22" t="s">
        <v>669</v>
      </c>
    </row>
    <row r="23" spans="1:18" ht="18.75" customHeight="1">
      <c r="A23" s="5">
        <v>1001493</v>
      </c>
      <c r="B23" s="28">
        <v>120347</v>
      </c>
      <c r="C23" s="5" t="s">
        <v>59</v>
      </c>
      <c r="D23" s="22">
        <v>45752.005555555559</v>
      </c>
      <c r="E23" s="17" t="s">
        <v>22</v>
      </c>
      <c r="F23" s="5" t="s">
        <v>670</v>
      </c>
      <c r="G23" s="17" t="s">
        <v>671</v>
      </c>
      <c r="H23" s="6">
        <v>120</v>
      </c>
      <c r="I23" s="6">
        <v>50</v>
      </c>
      <c r="J23" s="62">
        <v>2</v>
      </c>
      <c r="K23" s="6" t="s">
        <v>107</v>
      </c>
      <c r="L23" s="36">
        <v>12000</v>
      </c>
      <c r="M23" s="42">
        <v>13200</v>
      </c>
      <c r="N23" s="53">
        <v>0</v>
      </c>
      <c r="O23" s="48" t="s">
        <v>672</v>
      </c>
      <c r="P23" s="51">
        <v>45748</v>
      </c>
      <c r="Q23" s="67"/>
    </row>
    <row r="24" spans="1:18" ht="18.75" customHeight="1">
      <c r="A24" s="5">
        <v>1001494</v>
      </c>
      <c r="B24" s="28">
        <v>120347</v>
      </c>
      <c r="C24" s="5" t="s">
        <v>59</v>
      </c>
      <c r="D24" s="22">
        <v>45752.005555555559</v>
      </c>
      <c r="E24" s="17" t="s">
        <v>22</v>
      </c>
      <c r="F24" s="5" t="s">
        <v>673</v>
      </c>
      <c r="G24" s="17" t="s">
        <v>674</v>
      </c>
      <c r="H24" s="6">
        <v>180</v>
      </c>
      <c r="I24" s="6">
        <v>40</v>
      </c>
      <c r="J24" s="62">
        <v>1</v>
      </c>
      <c r="K24" s="6" t="s">
        <v>107</v>
      </c>
      <c r="L24" s="36">
        <v>7200</v>
      </c>
      <c r="M24" s="42">
        <v>7920</v>
      </c>
      <c r="N24" s="53">
        <v>500</v>
      </c>
      <c r="O24" s="48" t="s">
        <v>675</v>
      </c>
      <c r="P24" s="51">
        <v>45748</v>
      </c>
      <c r="Q24" s="67"/>
    </row>
    <row r="25" spans="1:18" ht="18.75" customHeight="1">
      <c r="A25" s="137">
        <v>996109</v>
      </c>
      <c r="B25" s="28">
        <v>119960</v>
      </c>
      <c r="C25" s="5" t="s">
        <v>59</v>
      </c>
      <c r="D25" s="22">
        <v>45748.90902777778</v>
      </c>
      <c r="E25" s="17" t="s">
        <v>22</v>
      </c>
      <c r="F25" s="5" t="s">
        <v>676</v>
      </c>
      <c r="G25" s="17" t="s">
        <v>677</v>
      </c>
      <c r="H25" s="6">
        <v>300</v>
      </c>
      <c r="I25" s="6">
        <v>20</v>
      </c>
      <c r="J25" s="62">
        <v>1</v>
      </c>
      <c r="K25" s="6" t="s">
        <v>107</v>
      </c>
      <c r="L25" s="36">
        <v>6000</v>
      </c>
      <c r="M25" s="46">
        <v>6600</v>
      </c>
      <c r="N25" s="53">
        <v>480</v>
      </c>
      <c r="O25" s="48" t="s">
        <v>678</v>
      </c>
      <c r="P25" s="51">
        <v>45748</v>
      </c>
      <c r="Q25" s="67"/>
    </row>
    <row r="26" spans="1:18" ht="18.75" customHeight="1">
      <c r="A26" s="10">
        <v>996108</v>
      </c>
      <c r="B26" s="138">
        <v>119960</v>
      </c>
      <c r="C26" s="134" t="s">
        <v>59</v>
      </c>
      <c r="D26" s="139">
        <v>45748.90902777778</v>
      </c>
      <c r="E26" s="135" t="s">
        <v>22</v>
      </c>
      <c r="F26" s="134" t="s">
        <v>159</v>
      </c>
      <c r="G26" s="135" t="s">
        <v>460</v>
      </c>
      <c r="H26" s="16">
        <v>9000</v>
      </c>
      <c r="I26" s="16">
        <v>1</v>
      </c>
      <c r="J26" s="136">
        <v>1</v>
      </c>
      <c r="K26" s="16" t="s">
        <v>56</v>
      </c>
      <c r="L26" s="140">
        <v>9000</v>
      </c>
      <c r="M26" s="45">
        <v>9900</v>
      </c>
      <c r="N26" s="53">
        <v>1000</v>
      </c>
      <c r="O26" s="48" t="s">
        <v>679</v>
      </c>
      <c r="P26" s="51" t="s">
        <v>508</v>
      </c>
      <c r="Q26" s="67"/>
    </row>
    <row r="27" spans="1:18" ht="18.75" customHeight="1">
      <c r="A27" s="5">
        <v>995936</v>
      </c>
      <c r="B27" s="28">
        <v>119931</v>
      </c>
      <c r="C27" s="5" t="s">
        <v>59</v>
      </c>
      <c r="D27" s="22">
        <v>45748.722222222219</v>
      </c>
      <c r="E27" s="17" t="s">
        <v>122</v>
      </c>
      <c r="F27" s="5" t="s">
        <v>680</v>
      </c>
      <c r="G27" s="17" t="s">
        <v>681</v>
      </c>
      <c r="H27" s="6">
        <v>300</v>
      </c>
      <c r="I27" s="6">
        <v>196</v>
      </c>
      <c r="J27" s="62">
        <v>0.5</v>
      </c>
      <c r="K27" s="6" t="s">
        <v>56</v>
      </c>
      <c r="L27" s="36">
        <v>29400</v>
      </c>
      <c r="M27" s="42">
        <v>32340</v>
      </c>
      <c r="N27" s="53">
        <v>800</v>
      </c>
      <c r="O27" s="48" t="s">
        <v>682</v>
      </c>
      <c r="P27" s="51" t="s">
        <v>683</v>
      </c>
      <c r="Q27" s="67"/>
    </row>
    <row r="28" spans="1:18" ht="18.75" customHeight="1">
      <c r="A28" s="137">
        <v>995044</v>
      </c>
      <c r="B28" s="28">
        <v>119799</v>
      </c>
      <c r="C28" s="5" t="s">
        <v>59</v>
      </c>
      <c r="D28" s="22">
        <v>45748.035416666666</v>
      </c>
      <c r="E28" s="17" t="s">
        <v>19</v>
      </c>
      <c r="F28" s="5" t="s">
        <v>461</v>
      </c>
      <c r="G28" s="17" t="s">
        <v>313</v>
      </c>
      <c r="H28" s="6">
        <v>90</v>
      </c>
      <c r="I28" s="6">
        <v>288</v>
      </c>
      <c r="J28" s="62">
        <v>1</v>
      </c>
      <c r="K28" s="6" t="s">
        <v>56</v>
      </c>
      <c r="L28" s="36">
        <v>25920</v>
      </c>
      <c r="M28" s="46">
        <v>28512</v>
      </c>
      <c r="N28" s="53">
        <v>0</v>
      </c>
      <c r="O28" s="48" t="s">
        <v>684</v>
      </c>
      <c r="P28" s="51" t="s">
        <v>463</v>
      </c>
      <c r="Q28" s="67"/>
    </row>
    <row r="29" spans="1:18" ht="18.75" customHeight="1">
      <c r="A29" s="10">
        <v>993981</v>
      </c>
      <c r="B29" s="138">
        <v>119618</v>
      </c>
      <c r="C29" s="134" t="s">
        <v>59</v>
      </c>
      <c r="D29" s="139">
        <v>45747.517361111109</v>
      </c>
      <c r="E29" s="135" t="s">
        <v>22</v>
      </c>
      <c r="F29" s="134" t="s">
        <v>685</v>
      </c>
      <c r="G29" s="135" t="s">
        <v>686</v>
      </c>
      <c r="H29" s="16">
        <v>50</v>
      </c>
      <c r="I29" s="16">
        <v>1200</v>
      </c>
      <c r="J29" s="136">
        <v>0.5</v>
      </c>
      <c r="K29" s="16" t="s">
        <v>56</v>
      </c>
      <c r="L29" s="140">
        <v>30000</v>
      </c>
      <c r="M29" s="45">
        <v>33000</v>
      </c>
      <c r="N29" s="53">
        <v>800</v>
      </c>
      <c r="O29" s="48" t="s">
        <v>71</v>
      </c>
      <c r="P29" s="51" t="s">
        <v>508</v>
      </c>
      <c r="Q29" s="67" t="s">
        <v>651</v>
      </c>
      <c r="R29" t="s">
        <v>669</v>
      </c>
    </row>
    <row r="30" spans="1:18" ht="18.75" customHeight="1">
      <c r="A30" s="5">
        <v>993978</v>
      </c>
      <c r="B30" s="28">
        <v>119618</v>
      </c>
      <c r="C30" s="5" t="s">
        <v>59</v>
      </c>
      <c r="D30" s="22">
        <v>45747.517361111109</v>
      </c>
      <c r="E30" s="17" t="s">
        <v>22</v>
      </c>
      <c r="F30" s="5" t="s">
        <v>687</v>
      </c>
      <c r="G30" s="17" t="s">
        <v>688</v>
      </c>
      <c r="H30" s="6">
        <v>48</v>
      </c>
      <c r="I30" s="6">
        <v>960</v>
      </c>
      <c r="J30" s="62">
        <v>0.5</v>
      </c>
      <c r="K30" s="6" t="s">
        <v>56</v>
      </c>
      <c r="L30" s="36">
        <v>23040</v>
      </c>
      <c r="M30" s="42">
        <v>25344</v>
      </c>
      <c r="N30" s="53">
        <v>800</v>
      </c>
      <c r="O30" s="48" t="s">
        <v>71</v>
      </c>
      <c r="P30" s="51" t="s">
        <v>517</v>
      </c>
      <c r="Q30" s="67" t="s">
        <v>669</v>
      </c>
      <c r="R30" t="s">
        <v>689</v>
      </c>
    </row>
    <row r="31" spans="1:18" ht="18.75" customHeight="1">
      <c r="A31" s="137">
        <v>993958</v>
      </c>
      <c r="B31" s="28">
        <v>119618</v>
      </c>
      <c r="C31" s="5" t="s">
        <v>59</v>
      </c>
      <c r="D31" s="22">
        <v>45747.517361111109</v>
      </c>
      <c r="E31" s="17" t="s">
        <v>22</v>
      </c>
      <c r="F31" s="5" t="s">
        <v>690</v>
      </c>
      <c r="G31" s="17" t="s">
        <v>691</v>
      </c>
      <c r="H31" s="6">
        <v>120</v>
      </c>
      <c r="I31" s="6">
        <v>50</v>
      </c>
      <c r="J31" s="62">
        <v>8</v>
      </c>
      <c r="K31" s="6" t="s">
        <v>107</v>
      </c>
      <c r="L31" s="36">
        <v>48000</v>
      </c>
      <c r="M31" s="46">
        <v>52800</v>
      </c>
      <c r="N31" s="53">
        <v>1040</v>
      </c>
      <c r="O31" s="48" t="s">
        <v>692</v>
      </c>
      <c r="P31" s="51">
        <v>45717</v>
      </c>
      <c r="Q31" s="67"/>
    </row>
    <row r="32" spans="1:18" ht="18.75" customHeight="1">
      <c r="A32" s="10">
        <v>990266</v>
      </c>
      <c r="B32" s="138">
        <v>119043</v>
      </c>
      <c r="C32" s="134" t="s">
        <v>53</v>
      </c>
      <c r="D32" s="139">
        <v>45743.906944444447</v>
      </c>
      <c r="E32" s="135" t="s">
        <v>19</v>
      </c>
      <c r="F32" s="134" t="s">
        <v>693</v>
      </c>
      <c r="G32" s="135" t="s">
        <v>694</v>
      </c>
      <c r="H32" s="16">
        <v>1000</v>
      </c>
      <c r="I32" s="16">
        <v>60</v>
      </c>
      <c r="J32" s="136">
        <v>1</v>
      </c>
      <c r="K32" s="16" t="s">
        <v>56</v>
      </c>
      <c r="L32" s="140">
        <v>60000</v>
      </c>
      <c r="M32" s="45">
        <v>66000</v>
      </c>
      <c r="N32" s="53">
        <v>0</v>
      </c>
      <c r="O32" s="48" t="s">
        <v>71</v>
      </c>
      <c r="P32" s="51" t="s">
        <v>695</v>
      </c>
      <c r="Q32" s="67"/>
    </row>
    <row r="33" spans="1:17" ht="18.75" customHeight="1">
      <c r="A33" s="5">
        <v>988479</v>
      </c>
      <c r="B33" s="28">
        <v>118981</v>
      </c>
      <c r="C33" s="5" t="s">
        <v>59</v>
      </c>
      <c r="D33" s="22">
        <v>45741.729166666664</v>
      </c>
      <c r="E33" s="17" t="s">
        <v>23</v>
      </c>
      <c r="F33" s="5" t="s">
        <v>482</v>
      </c>
      <c r="G33" s="17" t="s">
        <v>483</v>
      </c>
      <c r="H33" s="6">
        <v>150</v>
      </c>
      <c r="I33" s="6">
        <v>240</v>
      </c>
      <c r="J33" s="62">
        <v>1</v>
      </c>
      <c r="K33" s="6" t="s">
        <v>56</v>
      </c>
      <c r="L33" s="36">
        <v>36000</v>
      </c>
      <c r="M33" s="42">
        <v>39600</v>
      </c>
      <c r="N33" s="53">
        <v>0</v>
      </c>
      <c r="O33" s="48" t="s">
        <v>696</v>
      </c>
      <c r="P33" s="51" t="s">
        <v>485</v>
      </c>
      <c r="Q33" s="67"/>
    </row>
    <row r="34" spans="1:17" ht="18.75" customHeight="1">
      <c r="A34" s="137">
        <v>988480</v>
      </c>
      <c r="B34" s="28">
        <v>118981</v>
      </c>
      <c r="C34" s="5" t="s">
        <v>59</v>
      </c>
      <c r="D34" s="22">
        <v>45741.729166666664</v>
      </c>
      <c r="E34" s="17" t="s">
        <v>23</v>
      </c>
      <c r="F34" s="5" t="s">
        <v>578</v>
      </c>
      <c r="G34" s="17" t="s">
        <v>579</v>
      </c>
      <c r="H34" s="6">
        <v>170</v>
      </c>
      <c r="I34" s="6">
        <v>264</v>
      </c>
      <c r="J34" s="62">
        <v>1</v>
      </c>
      <c r="K34" s="6" t="s">
        <v>56</v>
      </c>
      <c r="L34" s="36">
        <v>44880</v>
      </c>
      <c r="M34" s="46">
        <v>49368</v>
      </c>
      <c r="N34" s="53">
        <v>0</v>
      </c>
      <c r="O34" s="48" t="s">
        <v>697</v>
      </c>
      <c r="P34" s="51" t="s">
        <v>581</v>
      </c>
      <c r="Q34" s="67"/>
    </row>
    <row r="35" spans="1:17" ht="18.75" customHeight="1">
      <c r="A35" s="10">
        <v>988481</v>
      </c>
      <c r="B35" s="138">
        <v>118981</v>
      </c>
      <c r="C35" s="134" t="s">
        <v>59</v>
      </c>
      <c r="D35" s="139">
        <v>45741.729166666664</v>
      </c>
      <c r="E35" s="135" t="s">
        <v>23</v>
      </c>
      <c r="F35" s="134" t="s">
        <v>323</v>
      </c>
      <c r="G35" s="135" t="s">
        <v>324</v>
      </c>
      <c r="H35" s="16">
        <v>350</v>
      </c>
      <c r="I35" s="16">
        <v>162</v>
      </c>
      <c r="J35" s="136">
        <v>1</v>
      </c>
      <c r="K35" s="16" t="s">
        <v>56</v>
      </c>
      <c r="L35" s="140">
        <v>56700</v>
      </c>
      <c r="M35" s="45">
        <v>62370</v>
      </c>
      <c r="N35" s="53">
        <v>0</v>
      </c>
      <c r="O35" s="48" t="s">
        <v>698</v>
      </c>
      <c r="P35" s="51" t="s">
        <v>326</v>
      </c>
      <c r="Q35" s="67"/>
    </row>
    <row r="36" spans="1:17" ht="18.75" customHeight="1">
      <c r="A36" s="5">
        <v>988475</v>
      </c>
      <c r="B36" s="28">
        <v>118980</v>
      </c>
      <c r="C36" s="5" t="s">
        <v>59</v>
      </c>
      <c r="D36" s="22">
        <v>45741.729166666664</v>
      </c>
      <c r="E36" s="17" t="s">
        <v>19</v>
      </c>
      <c r="F36" s="5" t="s">
        <v>482</v>
      </c>
      <c r="G36" s="17" t="s">
        <v>483</v>
      </c>
      <c r="H36" s="6">
        <v>150</v>
      </c>
      <c r="I36" s="6">
        <v>240</v>
      </c>
      <c r="J36" s="62">
        <v>1</v>
      </c>
      <c r="K36" s="6" t="s">
        <v>56</v>
      </c>
      <c r="L36" s="36">
        <v>36000</v>
      </c>
      <c r="M36" s="42">
        <v>39600</v>
      </c>
      <c r="N36" s="53">
        <v>0</v>
      </c>
      <c r="O36" s="48" t="s">
        <v>699</v>
      </c>
      <c r="P36" s="51" t="s">
        <v>485</v>
      </c>
      <c r="Q36" s="67"/>
    </row>
    <row r="37" spans="1:17" ht="18.75" customHeight="1">
      <c r="A37" s="137">
        <v>988476</v>
      </c>
      <c r="B37" s="28">
        <v>118980</v>
      </c>
      <c r="C37" s="5" t="s">
        <v>59</v>
      </c>
      <c r="D37" s="22">
        <v>45741.729166666664</v>
      </c>
      <c r="E37" s="17" t="s">
        <v>19</v>
      </c>
      <c r="F37" s="5" t="s">
        <v>578</v>
      </c>
      <c r="G37" s="17" t="s">
        <v>579</v>
      </c>
      <c r="H37" s="6">
        <v>170</v>
      </c>
      <c r="I37" s="6">
        <v>264</v>
      </c>
      <c r="J37" s="62">
        <v>1</v>
      </c>
      <c r="K37" s="6" t="s">
        <v>56</v>
      </c>
      <c r="L37" s="36">
        <v>44880</v>
      </c>
      <c r="M37" s="46">
        <v>49368</v>
      </c>
      <c r="N37" s="53">
        <v>0</v>
      </c>
      <c r="O37" s="48" t="s">
        <v>697</v>
      </c>
      <c r="P37" s="51" t="s">
        <v>581</v>
      </c>
      <c r="Q37" s="67"/>
    </row>
    <row r="38" spans="1:17" ht="18.75" customHeight="1">
      <c r="A38" s="10">
        <v>988469</v>
      </c>
      <c r="B38" s="138">
        <v>118978</v>
      </c>
      <c r="C38" s="134" t="s">
        <v>59</v>
      </c>
      <c r="D38" s="139">
        <v>45741.728472222225</v>
      </c>
      <c r="E38" s="135" t="s">
        <v>22</v>
      </c>
      <c r="F38" s="134" t="s">
        <v>482</v>
      </c>
      <c r="G38" s="135" t="s">
        <v>483</v>
      </c>
      <c r="H38" s="16">
        <v>150</v>
      </c>
      <c r="I38" s="16">
        <v>240</v>
      </c>
      <c r="J38" s="136">
        <v>1</v>
      </c>
      <c r="K38" s="16" t="s">
        <v>56</v>
      </c>
      <c r="L38" s="140">
        <v>36000</v>
      </c>
      <c r="M38" s="45">
        <v>39600</v>
      </c>
      <c r="N38" s="53">
        <v>0</v>
      </c>
      <c r="O38" s="48" t="s">
        <v>700</v>
      </c>
      <c r="P38" s="51" t="s">
        <v>485</v>
      </c>
      <c r="Q38" s="67"/>
    </row>
    <row r="39" spans="1:17" ht="18.75" customHeight="1">
      <c r="A39" s="5">
        <v>988470</v>
      </c>
      <c r="B39" s="28">
        <v>118978</v>
      </c>
      <c r="C39" s="5" t="s">
        <v>59</v>
      </c>
      <c r="D39" s="22">
        <v>45741.728472222225</v>
      </c>
      <c r="E39" s="17" t="s">
        <v>22</v>
      </c>
      <c r="F39" s="5" t="s">
        <v>578</v>
      </c>
      <c r="G39" s="17" t="s">
        <v>579</v>
      </c>
      <c r="H39" s="6">
        <v>170</v>
      </c>
      <c r="I39" s="6">
        <v>264</v>
      </c>
      <c r="J39" s="62">
        <v>1</v>
      </c>
      <c r="K39" s="6" t="s">
        <v>56</v>
      </c>
      <c r="L39" s="36">
        <v>44880</v>
      </c>
      <c r="M39" s="42">
        <v>49368</v>
      </c>
      <c r="N39" s="53">
        <v>0</v>
      </c>
      <c r="O39" s="48" t="s">
        <v>697</v>
      </c>
      <c r="P39" s="51" t="s">
        <v>581</v>
      </c>
      <c r="Q39" s="67"/>
    </row>
    <row r="40" spans="1:17" ht="18.75" customHeight="1">
      <c r="A40" s="137">
        <v>985166</v>
      </c>
      <c r="B40" s="28">
        <v>118377</v>
      </c>
      <c r="C40" s="5" t="s">
        <v>53</v>
      </c>
      <c r="D40" s="22">
        <v>45740.37222222222</v>
      </c>
      <c r="E40" s="17" t="s">
        <v>19</v>
      </c>
      <c r="F40" s="5" t="s">
        <v>701</v>
      </c>
      <c r="G40" s="17" t="s">
        <v>702</v>
      </c>
      <c r="H40" s="6">
        <v>1000</v>
      </c>
      <c r="I40" s="6">
        <v>48</v>
      </c>
      <c r="J40" s="62">
        <v>0.5</v>
      </c>
      <c r="K40" s="6" t="s">
        <v>56</v>
      </c>
      <c r="L40" s="36">
        <v>24000</v>
      </c>
      <c r="M40" s="46">
        <v>26400</v>
      </c>
      <c r="N40" s="53">
        <v>1000</v>
      </c>
      <c r="O40" s="48" t="s">
        <v>703</v>
      </c>
      <c r="P40" s="51" t="s">
        <v>454</v>
      </c>
      <c r="Q40" s="67"/>
    </row>
    <row r="41" spans="1:17" ht="18.75" customHeight="1">
      <c r="A41" s="10">
        <v>973195</v>
      </c>
      <c r="B41" s="138">
        <v>117010</v>
      </c>
      <c r="C41" s="134" t="s">
        <v>59</v>
      </c>
      <c r="D41" s="139">
        <v>45724.909722222219</v>
      </c>
      <c r="E41" s="135" t="s">
        <v>22</v>
      </c>
      <c r="F41" s="134" t="s">
        <v>704</v>
      </c>
      <c r="G41" s="135" t="s">
        <v>705</v>
      </c>
      <c r="H41" s="16">
        <v>1000</v>
      </c>
      <c r="I41" s="16">
        <v>60</v>
      </c>
      <c r="J41" s="136">
        <v>1</v>
      </c>
      <c r="K41" s="16" t="s">
        <v>56</v>
      </c>
      <c r="L41" s="140">
        <v>60000</v>
      </c>
      <c r="M41" s="45">
        <v>66000</v>
      </c>
      <c r="N41" s="53">
        <v>0</v>
      </c>
      <c r="O41" s="48" t="s">
        <v>706</v>
      </c>
      <c r="P41" s="51" t="s">
        <v>695</v>
      </c>
      <c r="Q41" s="67"/>
    </row>
    <row r="42" spans="1:17" ht="18.75" customHeight="1">
      <c r="A42" s="5">
        <v>968043</v>
      </c>
      <c r="B42" s="28">
        <v>116560</v>
      </c>
      <c r="C42" s="5" t="s">
        <v>59</v>
      </c>
      <c r="D42" s="22">
        <v>45721.667361111111</v>
      </c>
      <c r="E42" s="17" t="s">
        <v>19</v>
      </c>
      <c r="F42" s="5" t="s">
        <v>707</v>
      </c>
      <c r="G42" s="17" t="s">
        <v>708</v>
      </c>
      <c r="H42" s="6">
        <v>570</v>
      </c>
      <c r="I42" s="6">
        <v>96</v>
      </c>
      <c r="J42" s="62">
        <v>1</v>
      </c>
      <c r="K42" s="6" t="s">
        <v>56</v>
      </c>
      <c r="L42" s="36">
        <v>54720</v>
      </c>
      <c r="M42" s="42">
        <v>60192</v>
      </c>
      <c r="N42" s="53">
        <v>0</v>
      </c>
      <c r="O42" s="48" t="s">
        <v>709</v>
      </c>
      <c r="P42" s="51" t="s">
        <v>454</v>
      </c>
      <c r="Q42" s="67"/>
    </row>
    <row r="43" spans="1:17" ht="18.75" customHeight="1">
      <c r="A43" s="137">
        <v>955651</v>
      </c>
      <c r="B43" s="28">
        <v>115632</v>
      </c>
      <c r="C43" s="5" t="s">
        <v>59</v>
      </c>
      <c r="D43" s="22">
        <v>45714.49722222222</v>
      </c>
      <c r="E43" s="17" t="s">
        <v>23</v>
      </c>
      <c r="F43" s="5" t="s">
        <v>710</v>
      </c>
      <c r="G43" s="17" t="s">
        <v>711</v>
      </c>
      <c r="H43" s="6">
        <v>440</v>
      </c>
      <c r="I43" s="6">
        <v>120</v>
      </c>
      <c r="J43" s="62">
        <v>1</v>
      </c>
      <c r="K43" s="6" t="s">
        <v>56</v>
      </c>
      <c r="L43" s="36">
        <v>52800</v>
      </c>
      <c r="M43" s="46">
        <v>58080</v>
      </c>
      <c r="N43" s="53">
        <v>0</v>
      </c>
      <c r="O43" s="48" t="s">
        <v>712</v>
      </c>
      <c r="P43" s="51" t="s">
        <v>713</v>
      </c>
      <c r="Q43" s="67"/>
    </row>
    <row r="44" spans="1:17" ht="18.75" customHeight="1">
      <c r="A44" s="10">
        <v>953417</v>
      </c>
      <c r="B44" s="138">
        <v>115208</v>
      </c>
      <c r="C44" s="134" t="s">
        <v>59</v>
      </c>
      <c r="D44" s="139">
        <v>45711.529861111114</v>
      </c>
      <c r="E44" s="135" t="s">
        <v>19</v>
      </c>
      <c r="F44" s="134" t="s">
        <v>714</v>
      </c>
      <c r="G44" s="135" t="s">
        <v>715</v>
      </c>
      <c r="H44" s="16">
        <v>235</v>
      </c>
      <c r="I44" s="16">
        <v>224</v>
      </c>
      <c r="J44" s="136">
        <v>1</v>
      </c>
      <c r="K44" s="16" t="s">
        <v>56</v>
      </c>
      <c r="L44" s="140">
        <v>52640</v>
      </c>
      <c r="M44" s="45">
        <v>57904</v>
      </c>
      <c r="N44" s="53">
        <v>0</v>
      </c>
      <c r="O44" s="48" t="s">
        <v>716</v>
      </c>
      <c r="P44" s="51" t="s">
        <v>717</v>
      </c>
      <c r="Q44" s="67"/>
    </row>
    <row r="45" spans="1:17" ht="18.75" customHeight="1">
      <c r="A45" s="5">
        <v>952117</v>
      </c>
      <c r="B45" s="28">
        <v>115071</v>
      </c>
      <c r="C45" s="5" t="s">
        <v>59</v>
      </c>
      <c r="D45" s="22">
        <v>45709.84652777778</v>
      </c>
      <c r="E45" s="17" t="s">
        <v>23</v>
      </c>
      <c r="F45" s="5" t="s">
        <v>718</v>
      </c>
      <c r="G45" s="17" t="s">
        <v>719</v>
      </c>
      <c r="H45" s="6">
        <v>63000</v>
      </c>
      <c r="I45" s="6">
        <v>1</v>
      </c>
      <c r="J45" s="62">
        <v>1</v>
      </c>
      <c r="K45" s="6" t="s">
        <v>56</v>
      </c>
      <c r="L45" s="36">
        <v>63000</v>
      </c>
      <c r="M45" s="42">
        <v>69300</v>
      </c>
      <c r="N45" s="53">
        <v>0</v>
      </c>
      <c r="O45" s="48" t="s">
        <v>720</v>
      </c>
      <c r="P45" s="51" t="s">
        <v>454</v>
      </c>
      <c r="Q45" s="67"/>
    </row>
    <row r="46" spans="1:17" ht="18.75" customHeight="1">
      <c r="A46" s="137">
        <v>942520</v>
      </c>
      <c r="B46" s="28">
        <v>113722</v>
      </c>
      <c r="C46" s="5" t="s">
        <v>53</v>
      </c>
      <c r="D46" s="22">
        <v>45697.814583333333</v>
      </c>
      <c r="E46" s="17" t="s">
        <v>23</v>
      </c>
      <c r="F46" s="5" t="s">
        <v>721</v>
      </c>
      <c r="G46" s="17" t="s">
        <v>722</v>
      </c>
      <c r="H46" s="6">
        <v>680</v>
      </c>
      <c r="I46" s="6">
        <v>96</v>
      </c>
      <c r="J46" s="62">
        <v>1</v>
      </c>
      <c r="K46" s="6" t="s">
        <v>56</v>
      </c>
      <c r="L46" s="36">
        <v>65280</v>
      </c>
      <c r="M46" s="46">
        <v>71808</v>
      </c>
      <c r="N46" s="53">
        <v>0</v>
      </c>
      <c r="O46" s="48" t="s">
        <v>71</v>
      </c>
      <c r="P46" s="51" t="s">
        <v>695</v>
      </c>
      <c r="Q46" s="67"/>
    </row>
    <row r="47" spans="1:17" ht="18.75" customHeight="1">
      <c r="A47" s="5">
        <v>942519</v>
      </c>
      <c r="B47" s="28">
        <v>113721</v>
      </c>
      <c r="C47" s="5" t="s">
        <v>53</v>
      </c>
      <c r="D47" s="22">
        <v>45697.813888888886</v>
      </c>
      <c r="E47" s="17" t="s">
        <v>19</v>
      </c>
      <c r="F47" s="5" t="s">
        <v>721</v>
      </c>
      <c r="G47" s="17" t="s">
        <v>722</v>
      </c>
      <c r="H47" s="6">
        <v>680</v>
      </c>
      <c r="I47" s="6">
        <v>96</v>
      </c>
      <c r="J47" s="62">
        <v>1</v>
      </c>
      <c r="K47" s="6" t="s">
        <v>56</v>
      </c>
      <c r="L47" s="36">
        <v>65280</v>
      </c>
      <c r="M47" s="42">
        <v>71808</v>
      </c>
      <c r="N47" s="53">
        <v>0</v>
      </c>
      <c r="O47" s="48" t="s">
        <v>71</v>
      </c>
      <c r="P47" s="51" t="s">
        <v>695</v>
      </c>
      <c r="Q47" s="67"/>
    </row>
    <row r="48" spans="1:17" ht="18.75" customHeight="1">
      <c r="A48" s="137">
        <v>927672</v>
      </c>
      <c r="B48" s="28">
        <v>112542</v>
      </c>
      <c r="C48" s="5" t="s">
        <v>59</v>
      </c>
      <c r="D48" s="22">
        <v>45687.912499999999</v>
      </c>
      <c r="E48" s="17" t="s">
        <v>19</v>
      </c>
      <c r="F48" s="5" t="s">
        <v>723</v>
      </c>
      <c r="G48" s="17" t="s">
        <v>724</v>
      </c>
      <c r="H48" s="6">
        <v>312</v>
      </c>
      <c r="I48" s="6">
        <v>120</v>
      </c>
      <c r="J48" s="62">
        <v>1</v>
      </c>
      <c r="K48" s="6" t="s">
        <v>56</v>
      </c>
      <c r="L48" s="36">
        <v>37440</v>
      </c>
      <c r="M48" s="46">
        <v>41184</v>
      </c>
      <c r="N48" s="53">
        <v>0</v>
      </c>
      <c r="O48" s="48" t="s">
        <v>725</v>
      </c>
      <c r="P48" s="51" t="s">
        <v>726</v>
      </c>
      <c r="Q48" s="67"/>
    </row>
    <row r="49" spans="1:17" ht="18.75" customHeight="1">
      <c r="A49" s="10">
        <v>925103</v>
      </c>
      <c r="B49" s="138">
        <v>112279</v>
      </c>
      <c r="C49" s="134" t="s">
        <v>59</v>
      </c>
      <c r="D49" s="139">
        <v>45686.897916666669</v>
      </c>
      <c r="E49" s="135" t="s">
        <v>537</v>
      </c>
      <c r="F49" s="134" t="s">
        <v>718</v>
      </c>
      <c r="G49" s="135" t="s">
        <v>719</v>
      </c>
      <c r="H49" s="16">
        <v>63000</v>
      </c>
      <c r="I49" s="16">
        <v>1</v>
      </c>
      <c r="J49" s="136">
        <v>2</v>
      </c>
      <c r="K49" s="16" t="s">
        <v>56</v>
      </c>
      <c r="L49" s="140">
        <v>126000</v>
      </c>
      <c r="M49" s="45">
        <v>138600</v>
      </c>
      <c r="N49" s="53">
        <v>0</v>
      </c>
      <c r="O49" s="48" t="s">
        <v>720</v>
      </c>
      <c r="P49" s="51" t="s">
        <v>454</v>
      </c>
      <c r="Q49" s="67"/>
    </row>
    <row r="50" spans="1:17" ht="18.75" customHeight="1">
      <c r="A50" s="5">
        <v>915507</v>
      </c>
      <c r="B50" s="28">
        <v>110898</v>
      </c>
      <c r="C50" s="5" t="s">
        <v>53</v>
      </c>
      <c r="D50" s="22">
        <v>45672.56527777778</v>
      </c>
      <c r="E50" s="17" t="s">
        <v>19</v>
      </c>
      <c r="F50" s="5" t="s">
        <v>727</v>
      </c>
      <c r="G50" s="17" t="s">
        <v>728</v>
      </c>
      <c r="H50" s="6">
        <v>250</v>
      </c>
      <c r="I50" s="6">
        <v>160</v>
      </c>
      <c r="J50" s="62">
        <v>0.5</v>
      </c>
      <c r="K50" s="6" t="s">
        <v>56</v>
      </c>
      <c r="L50" s="36">
        <v>20000</v>
      </c>
      <c r="M50" s="42">
        <v>22000</v>
      </c>
      <c r="N50" s="53">
        <v>1000</v>
      </c>
      <c r="O50" s="48" t="s">
        <v>729</v>
      </c>
      <c r="P50" s="51" t="s">
        <v>454</v>
      </c>
      <c r="Q50" s="67"/>
    </row>
    <row r="51" spans="1:17" ht="18.75" customHeight="1">
      <c r="A51" s="137">
        <v>912997</v>
      </c>
      <c r="B51" s="28">
        <v>110497</v>
      </c>
      <c r="C51" s="5" t="s">
        <v>53</v>
      </c>
      <c r="D51" s="22">
        <v>45668.909722222219</v>
      </c>
      <c r="E51" s="17" t="s">
        <v>23</v>
      </c>
      <c r="F51" s="5" t="s">
        <v>730</v>
      </c>
      <c r="G51" s="17" t="s">
        <v>731</v>
      </c>
      <c r="H51" s="6">
        <v>1000</v>
      </c>
      <c r="I51" s="6">
        <v>60</v>
      </c>
      <c r="J51" s="62">
        <v>0.5</v>
      </c>
      <c r="K51" s="6" t="s">
        <v>56</v>
      </c>
      <c r="L51" s="36">
        <v>30000</v>
      </c>
      <c r="M51" s="46">
        <v>33000</v>
      </c>
      <c r="N51" s="53">
        <v>0</v>
      </c>
      <c r="O51" s="48" t="s">
        <v>71</v>
      </c>
      <c r="P51" s="51" t="s">
        <v>695</v>
      </c>
      <c r="Q51" s="67"/>
    </row>
    <row r="52" spans="1:17" ht="18.75" customHeight="1">
      <c r="A52" s="10">
        <v>904996</v>
      </c>
      <c r="B52" s="138">
        <v>109791</v>
      </c>
      <c r="C52" s="134" t="s">
        <v>53</v>
      </c>
      <c r="D52" s="139">
        <v>45663.345138888886</v>
      </c>
      <c r="E52" s="135" t="s">
        <v>537</v>
      </c>
      <c r="F52" s="134" t="s">
        <v>732</v>
      </c>
      <c r="G52" s="135" t="s">
        <v>733</v>
      </c>
      <c r="H52" s="16">
        <v>300</v>
      </c>
      <c r="I52" s="16">
        <v>20</v>
      </c>
      <c r="J52" s="136">
        <v>4</v>
      </c>
      <c r="K52" s="16" t="s">
        <v>107</v>
      </c>
      <c r="L52" s="140">
        <v>24000</v>
      </c>
      <c r="M52" s="45">
        <v>26400</v>
      </c>
      <c r="N52" s="53">
        <v>0</v>
      </c>
      <c r="O52" s="48" t="s">
        <v>71</v>
      </c>
      <c r="P52" s="51" t="s">
        <v>713</v>
      </c>
      <c r="Q52" s="67"/>
    </row>
    <row r="53" spans="1:17" ht="18.75" customHeight="1">
      <c r="A53" s="5">
        <v>904993</v>
      </c>
      <c r="B53" s="28">
        <v>109791</v>
      </c>
      <c r="C53" s="5" t="s">
        <v>59</v>
      </c>
      <c r="D53" s="22">
        <v>45663.345138888886</v>
      </c>
      <c r="E53" s="17" t="s">
        <v>537</v>
      </c>
      <c r="F53" s="5" t="s">
        <v>734</v>
      </c>
      <c r="G53" s="17" t="s">
        <v>735</v>
      </c>
      <c r="H53" s="6">
        <v>350</v>
      </c>
      <c r="I53" s="6">
        <v>120</v>
      </c>
      <c r="J53" s="62">
        <v>1</v>
      </c>
      <c r="K53" s="6" t="s">
        <v>56</v>
      </c>
      <c r="L53" s="36">
        <v>42000</v>
      </c>
      <c r="M53" s="42">
        <v>46200</v>
      </c>
      <c r="N53" s="53">
        <v>0</v>
      </c>
      <c r="O53" s="48" t="s">
        <v>736</v>
      </c>
      <c r="P53" s="51" t="s">
        <v>737</v>
      </c>
      <c r="Q53" s="67"/>
    </row>
    <row r="54" spans="1:17" ht="18.75" customHeight="1">
      <c r="A54" s="137">
        <v>895488</v>
      </c>
      <c r="B54" s="28">
        <v>108583</v>
      </c>
      <c r="C54" s="5" t="s">
        <v>53</v>
      </c>
      <c r="D54" s="22">
        <v>45650.817361111112</v>
      </c>
      <c r="E54" s="17" t="s">
        <v>537</v>
      </c>
      <c r="F54" s="5" t="s">
        <v>721</v>
      </c>
      <c r="G54" s="17" t="s">
        <v>722</v>
      </c>
      <c r="H54" s="6">
        <v>680</v>
      </c>
      <c r="I54" s="6">
        <v>96</v>
      </c>
      <c r="J54" s="62">
        <v>0.5</v>
      </c>
      <c r="K54" s="6" t="s">
        <v>56</v>
      </c>
      <c r="L54" s="36">
        <v>32640</v>
      </c>
      <c r="M54" s="46">
        <v>35904</v>
      </c>
      <c r="N54" s="53">
        <v>0</v>
      </c>
      <c r="O54" s="48" t="s">
        <v>71</v>
      </c>
      <c r="P54" s="51" t="s">
        <v>695</v>
      </c>
      <c r="Q54" s="67"/>
    </row>
    <row r="55" spans="1:17" ht="18.75" customHeight="1">
      <c r="A55" s="10">
        <v>893195</v>
      </c>
      <c r="B55" s="138">
        <v>108333</v>
      </c>
      <c r="C55" s="134" t="s">
        <v>53</v>
      </c>
      <c r="D55" s="139">
        <v>45644.47152777778</v>
      </c>
      <c r="E55" s="135" t="s">
        <v>537</v>
      </c>
      <c r="F55" s="134" t="s">
        <v>738</v>
      </c>
      <c r="G55" s="135" t="s">
        <v>739</v>
      </c>
      <c r="H55" s="16">
        <v>680</v>
      </c>
      <c r="I55" s="16">
        <v>72</v>
      </c>
      <c r="J55" s="136">
        <v>0.5</v>
      </c>
      <c r="K55" s="16" t="s">
        <v>56</v>
      </c>
      <c r="L55" s="140">
        <v>24480</v>
      </c>
      <c r="M55" s="45">
        <v>26928</v>
      </c>
      <c r="N55" s="53">
        <v>0</v>
      </c>
      <c r="O55" s="48" t="s">
        <v>740</v>
      </c>
      <c r="P55" s="51" t="s">
        <v>454</v>
      </c>
      <c r="Q55" s="67"/>
    </row>
    <row r="56" spans="1:17" ht="18.75" customHeight="1">
      <c r="A56" s="5">
        <v>883539</v>
      </c>
      <c r="B56" s="28">
        <v>107169</v>
      </c>
      <c r="C56" s="5" t="s">
        <v>53</v>
      </c>
      <c r="D56" s="22">
        <v>45632.977083333331</v>
      </c>
      <c r="E56" s="17" t="s">
        <v>537</v>
      </c>
      <c r="F56" s="5" t="s">
        <v>741</v>
      </c>
      <c r="G56" s="17" t="s">
        <v>742</v>
      </c>
      <c r="H56" s="6">
        <v>300</v>
      </c>
      <c r="I56" s="6">
        <v>20</v>
      </c>
      <c r="J56" s="62">
        <v>4</v>
      </c>
      <c r="K56" s="6" t="s">
        <v>107</v>
      </c>
      <c r="L56" s="36">
        <v>24000</v>
      </c>
      <c r="M56" s="42">
        <v>26400</v>
      </c>
      <c r="N56" s="53">
        <v>0</v>
      </c>
      <c r="O56" s="48" t="s">
        <v>71</v>
      </c>
      <c r="P56" s="51" t="s">
        <v>454</v>
      </c>
      <c r="Q56" s="67"/>
    </row>
    <row r="57" spans="1:17" ht="18.75" customHeight="1">
      <c r="A57" s="137">
        <v>877624</v>
      </c>
      <c r="B57" s="28">
        <v>106802</v>
      </c>
      <c r="C57" s="5" t="s">
        <v>53</v>
      </c>
      <c r="D57" s="22">
        <v>45631.012499999997</v>
      </c>
      <c r="E57" s="17" t="s">
        <v>19</v>
      </c>
      <c r="F57" s="5" t="s">
        <v>743</v>
      </c>
      <c r="G57" s="17" t="s">
        <v>744</v>
      </c>
      <c r="H57" s="6">
        <v>300</v>
      </c>
      <c r="I57" s="6">
        <v>20</v>
      </c>
      <c r="J57" s="62">
        <v>5</v>
      </c>
      <c r="K57" s="6" t="s">
        <v>107</v>
      </c>
      <c r="L57" s="36">
        <v>30000</v>
      </c>
      <c r="M57" s="46">
        <v>33000</v>
      </c>
      <c r="N57" s="53">
        <v>0</v>
      </c>
      <c r="O57" s="48" t="s">
        <v>745</v>
      </c>
      <c r="P57" s="51">
        <v>45748</v>
      </c>
      <c r="Q57" s="67"/>
    </row>
    <row r="58" spans="1:17" ht="18.75" customHeight="1">
      <c r="A58" s="10">
        <v>873938</v>
      </c>
      <c r="B58" s="138">
        <v>106379</v>
      </c>
      <c r="C58" s="134" t="s">
        <v>59</v>
      </c>
      <c r="D58" s="139">
        <v>45628.82708333333</v>
      </c>
      <c r="E58" s="135" t="s">
        <v>537</v>
      </c>
      <c r="F58" s="134" t="s">
        <v>746</v>
      </c>
      <c r="G58" s="135" t="s">
        <v>586</v>
      </c>
      <c r="H58" s="16">
        <v>1000</v>
      </c>
      <c r="I58" s="16">
        <v>48</v>
      </c>
      <c r="J58" s="136">
        <v>1</v>
      </c>
      <c r="K58" s="16" t="s">
        <v>56</v>
      </c>
      <c r="L58" s="140">
        <v>48000</v>
      </c>
      <c r="M58" s="45">
        <v>52800</v>
      </c>
      <c r="N58" s="53">
        <v>0</v>
      </c>
      <c r="O58" s="48" t="s">
        <v>747</v>
      </c>
      <c r="P58" s="51" t="s">
        <v>748</v>
      </c>
      <c r="Q58" s="67"/>
    </row>
    <row r="59" spans="1:17" ht="18.75" customHeight="1">
      <c r="A59" s="5">
        <v>873618</v>
      </c>
      <c r="B59" s="28">
        <v>106143</v>
      </c>
      <c r="C59" s="5" t="s">
        <v>53</v>
      </c>
      <c r="D59" s="22">
        <v>45625.691666666666</v>
      </c>
      <c r="E59" s="17" t="s">
        <v>537</v>
      </c>
      <c r="F59" s="5" t="s">
        <v>721</v>
      </c>
      <c r="G59" s="17" t="s">
        <v>722</v>
      </c>
      <c r="H59" s="6">
        <v>680</v>
      </c>
      <c r="I59" s="6">
        <v>96</v>
      </c>
      <c r="J59" s="62">
        <v>1</v>
      </c>
      <c r="K59" s="6" t="s">
        <v>56</v>
      </c>
      <c r="L59" s="36">
        <v>65280</v>
      </c>
      <c r="M59" s="42">
        <v>71808</v>
      </c>
      <c r="N59" s="53">
        <v>0</v>
      </c>
      <c r="O59" s="48" t="s">
        <v>71</v>
      </c>
      <c r="P59" s="51" t="s">
        <v>695</v>
      </c>
      <c r="Q59" s="67"/>
    </row>
    <row r="60" spans="1:17" ht="18.75" customHeight="1">
      <c r="A60" s="137"/>
      <c r="B60" s="28"/>
      <c r="C60" s="5"/>
      <c r="D60" s="22"/>
      <c r="E60" s="17"/>
      <c r="F60" s="5"/>
      <c r="G60" s="17"/>
      <c r="H60" s="6"/>
      <c r="I60" s="6"/>
      <c r="J60" s="62"/>
      <c r="K60" s="6"/>
      <c r="L60" s="36"/>
      <c r="M60" s="46"/>
      <c r="N60" s="53"/>
      <c r="O60" s="48"/>
      <c r="P60" s="51"/>
      <c r="Q60" s="67"/>
    </row>
    <row r="61" spans="1:17" ht="18.75" customHeight="1">
      <c r="A61" s="10"/>
      <c r="B61" s="138"/>
      <c r="C61" s="134"/>
      <c r="D61" s="139"/>
      <c r="E61" s="135"/>
      <c r="F61" s="134"/>
      <c r="G61" s="135"/>
      <c r="H61" s="16"/>
      <c r="I61" s="16"/>
      <c r="J61" s="136"/>
      <c r="K61" s="16"/>
      <c r="L61" s="140"/>
      <c r="M61" s="45"/>
      <c r="N61" s="53"/>
      <c r="O61" s="48"/>
      <c r="P61" s="51"/>
      <c r="Q61" s="67"/>
    </row>
    <row r="62" spans="1:17" ht="18.75" customHeight="1">
      <c r="A62" s="5"/>
      <c r="B62" s="28"/>
      <c r="C62" s="5"/>
      <c r="D62" s="22"/>
      <c r="E62" s="17"/>
      <c r="F62" s="5"/>
      <c r="G62" s="17"/>
      <c r="H62" s="6"/>
      <c r="I62" s="6"/>
      <c r="J62" s="62"/>
      <c r="K62" s="6"/>
      <c r="L62" s="36"/>
      <c r="M62" s="42"/>
      <c r="N62" s="53"/>
      <c r="O62" s="48"/>
      <c r="P62" s="51"/>
      <c r="Q62" s="67"/>
    </row>
    <row r="63" spans="1:17" ht="18.75" customHeight="1">
      <c r="A63" s="137"/>
      <c r="B63" s="28"/>
      <c r="C63" s="5"/>
      <c r="D63" s="22"/>
      <c r="E63" s="17"/>
      <c r="F63" s="5"/>
      <c r="G63" s="17"/>
      <c r="H63" s="6"/>
      <c r="I63" s="6"/>
      <c r="J63" s="62"/>
      <c r="K63" s="6"/>
      <c r="L63" s="36"/>
      <c r="M63" s="46"/>
      <c r="N63" s="53"/>
      <c r="O63" s="48"/>
      <c r="P63" s="51"/>
      <c r="Q63" s="67"/>
    </row>
    <row r="64" spans="1:17" ht="18.75" customHeight="1">
      <c r="A64" s="10"/>
      <c r="B64" s="138"/>
      <c r="C64" s="134"/>
      <c r="D64" s="139"/>
      <c r="E64" s="135"/>
      <c r="F64" s="134"/>
      <c r="G64" s="135"/>
      <c r="H64" s="16"/>
      <c r="I64" s="16"/>
      <c r="J64" s="136"/>
      <c r="K64" s="16"/>
      <c r="L64" s="140"/>
      <c r="M64" s="45"/>
      <c r="N64" s="53"/>
      <c r="O64" s="48"/>
      <c r="P64" s="51"/>
      <c r="Q64" s="67"/>
    </row>
    <row r="65" spans="1:17" ht="18.75" customHeight="1">
      <c r="A65" s="5"/>
      <c r="B65" s="28"/>
      <c r="C65" s="5"/>
      <c r="D65" s="22"/>
      <c r="E65" s="17"/>
      <c r="F65" s="5"/>
      <c r="G65" s="17"/>
      <c r="H65" s="6"/>
      <c r="I65" s="6"/>
      <c r="J65" s="62"/>
      <c r="K65" s="6"/>
      <c r="L65" s="36"/>
      <c r="M65" s="42"/>
      <c r="N65" s="53"/>
      <c r="O65" s="48"/>
      <c r="P65" s="51"/>
      <c r="Q65" s="67"/>
    </row>
    <row r="66" spans="1:17" ht="18.75" customHeight="1">
      <c r="A66" s="137"/>
      <c r="B66" s="28"/>
      <c r="C66" s="5"/>
      <c r="D66" s="22"/>
      <c r="E66" s="17"/>
      <c r="F66" s="5"/>
      <c r="G66" s="17"/>
      <c r="H66" s="6"/>
      <c r="I66" s="6"/>
      <c r="J66" s="62"/>
      <c r="K66" s="6"/>
      <c r="L66" s="36"/>
      <c r="M66" s="46"/>
      <c r="N66" s="53"/>
      <c r="O66" s="48"/>
      <c r="P66" s="51"/>
      <c r="Q66" s="67"/>
    </row>
    <row r="67" spans="1:17" ht="18.75" customHeight="1">
      <c r="A67" s="10"/>
      <c r="B67" s="138"/>
      <c r="C67" s="134"/>
      <c r="D67" s="139"/>
      <c r="E67" s="135"/>
      <c r="F67" s="134"/>
      <c r="G67" s="135"/>
      <c r="H67" s="16"/>
      <c r="I67" s="16"/>
      <c r="J67" s="136"/>
      <c r="K67" s="16"/>
      <c r="L67" s="140"/>
      <c r="M67" s="45"/>
      <c r="N67" s="53"/>
      <c r="O67" s="48"/>
      <c r="P67" s="51"/>
      <c r="Q67" s="67"/>
    </row>
    <row r="68" spans="1:17" ht="18.75" customHeight="1">
      <c r="A68" s="5"/>
      <c r="B68" s="28"/>
      <c r="C68" s="5"/>
      <c r="D68" s="22"/>
      <c r="E68" s="17"/>
      <c r="F68" s="5"/>
      <c r="G68" s="17"/>
      <c r="H68" s="6"/>
      <c r="I68" s="6"/>
      <c r="J68" s="62"/>
      <c r="K68" s="6"/>
      <c r="L68" s="36"/>
      <c r="M68" s="42"/>
      <c r="N68" s="53"/>
      <c r="O68" s="48"/>
      <c r="P68" s="51"/>
      <c r="Q68" s="67"/>
    </row>
    <row r="69" spans="1:17" ht="18.75" customHeight="1">
      <c r="A69" s="137"/>
      <c r="B69" s="28"/>
      <c r="C69" s="5"/>
      <c r="D69" s="22"/>
      <c r="E69" s="17"/>
      <c r="F69" s="5"/>
      <c r="G69" s="17"/>
      <c r="H69" s="6"/>
      <c r="I69" s="6"/>
      <c r="J69" s="62"/>
      <c r="K69" s="6"/>
      <c r="L69" s="36"/>
      <c r="M69" s="46"/>
      <c r="N69" s="53"/>
      <c r="O69" s="48"/>
      <c r="P69" s="51"/>
      <c r="Q69" s="67"/>
    </row>
    <row r="70" spans="1:17" ht="18.75" customHeight="1">
      <c r="A70" s="10"/>
      <c r="B70" s="138"/>
      <c r="C70" s="134"/>
      <c r="D70" s="139"/>
      <c r="E70" s="135"/>
      <c r="F70" s="134"/>
      <c r="G70" s="135"/>
      <c r="H70" s="16"/>
      <c r="I70" s="16"/>
      <c r="J70" s="136"/>
      <c r="K70" s="16"/>
      <c r="L70" s="140"/>
      <c r="M70" s="45"/>
      <c r="N70" s="53"/>
      <c r="O70" s="48"/>
      <c r="P70" s="51"/>
      <c r="Q70" s="67"/>
    </row>
    <row r="71" spans="1:17" ht="18.75" customHeight="1">
      <c r="A71" s="5"/>
      <c r="B71" s="28"/>
      <c r="C71" s="5"/>
      <c r="D71" s="22"/>
      <c r="E71" s="17"/>
      <c r="F71" s="5"/>
      <c r="G71" s="17"/>
      <c r="H71" s="6"/>
      <c r="I71" s="6"/>
      <c r="J71" s="62"/>
      <c r="K71" s="6"/>
      <c r="L71" s="36"/>
      <c r="M71" s="42"/>
      <c r="N71" s="53"/>
      <c r="O71" s="48"/>
      <c r="P71" s="51"/>
      <c r="Q71" s="67"/>
    </row>
    <row r="72" spans="1:17" ht="18.75" customHeight="1">
      <c r="A72" s="1"/>
      <c r="B72" s="26"/>
      <c r="C72" s="1"/>
      <c r="D72" s="20"/>
      <c r="E72" s="1"/>
      <c r="F72" s="1"/>
      <c r="G72" s="32"/>
      <c r="H72" s="2"/>
      <c r="I72" s="2"/>
      <c r="J72" s="60"/>
      <c r="K72" s="2"/>
      <c r="L72" s="163"/>
      <c r="M72" s="163">
        <f>SUM(M3:M71)</f>
        <v>2694377</v>
      </c>
      <c r="N72" s="163">
        <f>SUM(N3:N71)*1.1</f>
        <v>23870.000000000004</v>
      </c>
      <c r="O72" s="131">
        <f>M72+N72</f>
        <v>2718247</v>
      </c>
      <c r="Q72" s="164"/>
    </row>
    <row r="73" spans="1:17" ht="18.75" customHeight="1">
      <c r="A73" s="1"/>
      <c r="B73" s="26"/>
      <c r="C73" s="1"/>
      <c r="D73" s="20"/>
      <c r="E73" s="1"/>
      <c r="F73" s="1"/>
      <c r="G73" s="32"/>
      <c r="H73" s="2"/>
      <c r="I73" s="2"/>
      <c r="J73" s="60"/>
      <c r="K73" s="2"/>
      <c r="L73" s="163"/>
      <c r="M73" s="163"/>
      <c r="N73" s="164"/>
      <c r="Q73" s="164"/>
    </row>
    <row r="74" spans="1:17" ht="18.75" customHeight="1">
      <c r="A74" s="122" t="s">
        <v>18</v>
      </c>
      <c r="B74" s="123"/>
      <c r="C74" s="122"/>
      <c r="D74" s="124"/>
      <c r="E74" s="132" t="s">
        <v>32</v>
      </c>
      <c r="F74" s="122"/>
      <c r="G74" s="132" t="s">
        <v>636</v>
      </c>
      <c r="H74" s="125">
        <v>1000</v>
      </c>
      <c r="I74" s="125">
        <v>72</v>
      </c>
      <c r="J74" s="126">
        <v>2</v>
      </c>
      <c r="K74" s="125"/>
      <c r="L74" s="95">
        <f t="shared" ref="L74:L89" si="0">H74*I74*J74</f>
        <v>144000</v>
      </c>
      <c r="M74" s="95">
        <f t="shared" ref="M74:M89" si="1">L74*1.1</f>
        <v>158400</v>
      </c>
      <c r="N74" s="56"/>
      <c r="O74" s="49"/>
      <c r="P74" s="59" t="s">
        <v>749</v>
      </c>
      <c r="Q74" s="67">
        <f t="shared" ref="Q74:Q89" si="2">(M74+N74*1.1)/(I74*J74)</f>
        <v>1100</v>
      </c>
    </row>
    <row r="75" spans="1:17" ht="18.75" customHeight="1">
      <c r="A75" s="122"/>
      <c r="B75" s="123"/>
      <c r="C75" s="122"/>
      <c r="D75" s="124"/>
      <c r="E75" s="96" t="s">
        <v>427</v>
      </c>
      <c r="F75" s="122"/>
      <c r="G75" s="132" t="s">
        <v>636</v>
      </c>
      <c r="H75" s="125">
        <v>1000</v>
      </c>
      <c r="I75" s="125">
        <v>72</v>
      </c>
      <c r="J75" s="126">
        <v>1</v>
      </c>
      <c r="K75" s="125"/>
      <c r="L75" s="95">
        <f t="shared" si="0"/>
        <v>72000</v>
      </c>
      <c r="M75" s="95">
        <f t="shared" si="1"/>
        <v>79200</v>
      </c>
      <c r="N75" s="56"/>
      <c r="O75" s="49"/>
      <c r="P75" s="59" t="s">
        <v>749</v>
      </c>
      <c r="Q75" s="67">
        <f t="shared" si="2"/>
        <v>1100</v>
      </c>
    </row>
    <row r="76" spans="1:17" ht="18.75" customHeight="1">
      <c r="A76" s="122"/>
      <c r="B76" s="123"/>
      <c r="C76" s="122"/>
      <c r="D76" s="124"/>
      <c r="E76" s="132" t="s">
        <v>34</v>
      </c>
      <c r="F76" s="122"/>
      <c r="G76" s="132" t="s">
        <v>636</v>
      </c>
      <c r="H76" s="125">
        <v>1000</v>
      </c>
      <c r="I76" s="125">
        <v>72</v>
      </c>
      <c r="J76" s="126">
        <v>2</v>
      </c>
      <c r="K76" s="125"/>
      <c r="L76" s="95">
        <f t="shared" si="0"/>
        <v>144000</v>
      </c>
      <c r="M76" s="95">
        <f t="shared" si="1"/>
        <v>158400</v>
      </c>
      <c r="N76" s="56"/>
      <c r="O76" s="49"/>
      <c r="P76" s="59" t="s">
        <v>749</v>
      </c>
      <c r="Q76" s="67">
        <f t="shared" si="2"/>
        <v>1100</v>
      </c>
    </row>
    <row r="77" spans="1:17" ht="18.75" customHeight="1">
      <c r="A77" s="122"/>
      <c r="B77" s="123"/>
      <c r="C77" s="122"/>
      <c r="D77" s="124"/>
      <c r="E77" s="132" t="s">
        <v>34</v>
      </c>
      <c r="F77" s="122"/>
      <c r="G77" s="132" t="s">
        <v>750</v>
      </c>
      <c r="H77" s="125">
        <v>660</v>
      </c>
      <c r="I77" s="125">
        <v>100</v>
      </c>
      <c r="J77" s="126">
        <v>4</v>
      </c>
      <c r="K77" s="125"/>
      <c r="L77" s="95">
        <f t="shared" si="0"/>
        <v>264000</v>
      </c>
      <c r="M77" s="95">
        <f t="shared" si="1"/>
        <v>290400</v>
      </c>
      <c r="N77" s="56"/>
      <c r="O77" s="49"/>
      <c r="P77" s="59" t="s">
        <v>751</v>
      </c>
      <c r="Q77" s="67">
        <f t="shared" si="2"/>
        <v>726</v>
      </c>
    </row>
    <row r="78" spans="1:17" ht="18.75" customHeight="1">
      <c r="A78" s="122"/>
      <c r="B78" s="123"/>
      <c r="C78" s="122"/>
      <c r="D78" s="124"/>
      <c r="E78" s="132" t="s">
        <v>32</v>
      </c>
      <c r="F78" s="122"/>
      <c r="G78" s="132" t="s">
        <v>547</v>
      </c>
      <c r="H78" s="125">
        <v>660</v>
      </c>
      <c r="I78" s="125">
        <v>100</v>
      </c>
      <c r="J78" s="126">
        <v>3</v>
      </c>
      <c r="K78" s="125"/>
      <c r="L78" s="95">
        <f t="shared" si="0"/>
        <v>198000</v>
      </c>
      <c r="M78" s="95">
        <f t="shared" si="1"/>
        <v>217800.00000000003</v>
      </c>
      <c r="N78" s="56"/>
      <c r="O78" s="49"/>
      <c r="P78" s="59" t="s">
        <v>751</v>
      </c>
      <c r="Q78" s="67">
        <f t="shared" si="2"/>
        <v>726.00000000000011</v>
      </c>
    </row>
    <row r="79" spans="1:17" ht="18.75" customHeight="1">
      <c r="A79" s="122"/>
      <c r="B79" s="123"/>
      <c r="C79" s="122"/>
      <c r="D79" s="124"/>
      <c r="E79" s="132" t="s">
        <v>427</v>
      </c>
      <c r="F79" s="122"/>
      <c r="G79" s="132" t="s">
        <v>547</v>
      </c>
      <c r="H79" s="125">
        <v>660</v>
      </c>
      <c r="I79" s="125">
        <v>100</v>
      </c>
      <c r="J79" s="126">
        <v>2</v>
      </c>
      <c r="K79" s="125"/>
      <c r="L79" s="95">
        <f t="shared" si="0"/>
        <v>132000</v>
      </c>
      <c r="M79" s="95">
        <f t="shared" si="1"/>
        <v>145200</v>
      </c>
      <c r="N79" s="56"/>
      <c r="O79" s="49"/>
      <c r="P79" s="59" t="s">
        <v>751</v>
      </c>
      <c r="Q79" s="67">
        <f t="shared" si="2"/>
        <v>726</v>
      </c>
    </row>
    <row r="80" spans="1:17" ht="18.75" customHeight="1">
      <c r="A80" s="122"/>
      <c r="B80" s="123"/>
      <c r="C80" s="122"/>
      <c r="D80" s="124"/>
      <c r="E80" s="132" t="s">
        <v>34</v>
      </c>
      <c r="F80" s="122"/>
      <c r="G80" s="132" t="s">
        <v>752</v>
      </c>
      <c r="H80" s="125">
        <v>800</v>
      </c>
      <c r="I80" s="125">
        <v>100</v>
      </c>
      <c r="J80" s="126">
        <v>2</v>
      </c>
      <c r="K80" s="125"/>
      <c r="L80" s="95">
        <f t="shared" si="0"/>
        <v>160000</v>
      </c>
      <c r="M80" s="95">
        <f t="shared" si="1"/>
        <v>176000</v>
      </c>
      <c r="N80" s="56"/>
      <c r="O80" s="49"/>
      <c r="P80" s="59" t="s">
        <v>751</v>
      </c>
      <c r="Q80" s="67">
        <f t="shared" si="2"/>
        <v>880</v>
      </c>
    </row>
    <row r="81" spans="1:17" ht="18.75" customHeight="1">
      <c r="A81" s="122"/>
      <c r="B81" s="123"/>
      <c r="C81" s="122"/>
      <c r="D81" s="124"/>
      <c r="E81" s="132" t="s">
        <v>32</v>
      </c>
      <c r="F81" s="122"/>
      <c r="G81" s="132" t="s">
        <v>430</v>
      </c>
      <c r="H81" s="125">
        <v>800</v>
      </c>
      <c r="I81" s="125">
        <v>100</v>
      </c>
      <c r="J81" s="126">
        <v>2</v>
      </c>
      <c r="K81" s="125"/>
      <c r="L81" s="95">
        <f t="shared" si="0"/>
        <v>160000</v>
      </c>
      <c r="M81" s="95">
        <f t="shared" si="1"/>
        <v>176000</v>
      </c>
      <c r="N81" s="56"/>
      <c r="O81" s="49"/>
      <c r="P81" s="59" t="s">
        <v>751</v>
      </c>
      <c r="Q81" s="67">
        <f t="shared" si="2"/>
        <v>880</v>
      </c>
    </row>
    <row r="82" spans="1:17" ht="18.75" customHeight="1">
      <c r="A82" s="122"/>
      <c r="B82" s="123"/>
      <c r="C82" s="122"/>
      <c r="D82" s="124"/>
      <c r="E82" s="132" t="s">
        <v>427</v>
      </c>
      <c r="F82" s="122"/>
      <c r="G82" s="132" t="s">
        <v>430</v>
      </c>
      <c r="H82" s="125">
        <v>800</v>
      </c>
      <c r="I82" s="125">
        <v>100</v>
      </c>
      <c r="J82" s="126">
        <v>1</v>
      </c>
      <c r="K82" s="125"/>
      <c r="L82" s="95">
        <f t="shared" si="0"/>
        <v>80000</v>
      </c>
      <c r="M82" s="95">
        <f t="shared" si="1"/>
        <v>88000</v>
      </c>
      <c r="N82" s="56"/>
      <c r="O82" s="49"/>
      <c r="P82" s="59" t="s">
        <v>751</v>
      </c>
      <c r="Q82" s="67">
        <f t="shared" si="2"/>
        <v>880</v>
      </c>
    </row>
    <row r="83" spans="1:17" ht="18.75" customHeight="1">
      <c r="A83" s="122"/>
      <c r="B83" s="123"/>
      <c r="C83" s="122"/>
      <c r="D83" s="124"/>
      <c r="E83" s="132" t="s">
        <v>34</v>
      </c>
      <c r="F83" s="122"/>
      <c r="G83" s="132" t="s">
        <v>753</v>
      </c>
      <c r="H83" s="125">
        <v>980</v>
      </c>
      <c r="I83" s="125">
        <v>50</v>
      </c>
      <c r="J83" s="126">
        <v>3</v>
      </c>
      <c r="K83" s="125"/>
      <c r="L83" s="95">
        <f t="shared" si="0"/>
        <v>147000</v>
      </c>
      <c r="M83" s="95">
        <f t="shared" si="1"/>
        <v>161700</v>
      </c>
      <c r="N83" s="56"/>
      <c r="O83" s="49"/>
      <c r="P83" s="59" t="s">
        <v>751</v>
      </c>
      <c r="Q83" s="67">
        <f t="shared" si="2"/>
        <v>1078</v>
      </c>
    </row>
    <row r="84" spans="1:17" ht="18.75" customHeight="1">
      <c r="A84" s="122"/>
      <c r="B84" s="123"/>
      <c r="C84" s="122"/>
      <c r="D84" s="124"/>
      <c r="E84" s="132" t="s">
        <v>427</v>
      </c>
      <c r="F84" s="122"/>
      <c r="G84" s="132" t="s">
        <v>754</v>
      </c>
      <c r="H84" s="125">
        <v>800</v>
      </c>
      <c r="I84" s="125">
        <v>60</v>
      </c>
      <c r="J84" s="126">
        <v>2</v>
      </c>
      <c r="K84" s="125"/>
      <c r="L84" s="95">
        <f t="shared" si="0"/>
        <v>96000</v>
      </c>
      <c r="M84" s="95">
        <f t="shared" si="1"/>
        <v>105600.00000000001</v>
      </c>
      <c r="N84" s="56"/>
      <c r="O84" s="49"/>
      <c r="P84" s="59" t="s">
        <v>751</v>
      </c>
      <c r="Q84" s="67">
        <f t="shared" si="2"/>
        <v>880.00000000000011</v>
      </c>
    </row>
    <row r="85" spans="1:17" ht="18.75" customHeight="1">
      <c r="A85" s="122"/>
      <c r="B85" s="123"/>
      <c r="C85" s="122"/>
      <c r="D85" s="124"/>
      <c r="E85" s="132" t="s">
        <v>32</v>
      </c>
      <c r="F85" s="122"/>
      <c r="G85" s="132" t="s">
        <v>754</v>
      </c>
      <c r="H85" s="125">
        <v>800</v>
      </c>
      <c r="I85" s="125">
        <v>60</v>
      </c>
      <c r="J85" s="126">
        <v>3</v>
      </c>
      <c r="K85" s="125"/>
      <c r="L85" s="95">
        <f t="shared" si="0"/>
        <v>144000</v>
      </c>
      <c r="M85" s="95">
        <f t="shared" si="1"/>
        <v>158400</v>
      </c>
      <c r="N85" s="56"/>
      <c r="O85" s="49"/>
      <c r="P85" s="59" t="s">
        <v>751</v>
      </c>
      <c r="Q85" s="67">
        <f t="shared" si="2"/>
        <v>880</v>
      </c>
    </row>
    <row r="86" spans="1:17" ht="18.75" customHeight="1">
      <c r="A86" s="122"/>
      <c r="B86" s="123"/>
      <c r="C86" s="122"/>
      <c r="D86" s="124"/>
      <c r="E86" s="132" t="s">
        <v>427</v>
      </c>
      <c r="F86" s="122"/>
      <c r="G86" s="132" t="s">
        <v>754</v>
      </c>
      <c r="H86" s="125">
        <v>800</v>
      </c>
      <c r="I86" s="125">
        <v>60</v>
      </c>
      <c r="J86" s="126">
        <v>3</v>
      </c>
      <c r="K86" s="125"/>
      <c r="L86" s="95">
        <f t="shared" si="0"/>
        <v>144000</v>
      </c>
      <c r="M86" s="95">
        <f t="shared" si="1"/>
        <v>158400</v>
      </c>
      <c r="N86" s="56"/>
      <c r="O86" s="49"/>
      <c r="P86" s="59" t="s">
        <v>751</v>
      </c>
      <c r="Q86" s="67">
        <f t="shared" si="2"/>
        <v>880</v>
      </c>
    </row>
    <row r="87" spans="1:17" ht="18.75" customHeight="1">
      <c r="A87" s="122"/>
      <c r="B87" s="123"/>
      <c r="C87" s="122"/>
      <c r="D87" s="124"/>
      <c r="E87" s="132" t="s">
        <v>543</v>
      </c>
      <c r="F87" s="122"/>
      <c r="G87" s="132" t="s">
        <v>547</v>
      </c>
      <c r="H87" s="125">
        <v>660</v>
      </c>
      <c r="I87" s="125">
        <v>100</v>
      </c>
      <c r="J87" s="126">
        <v>2</v>
      </c>
      <c r="K87" s="125"/>
      <c r="L87" s="95">
        <f t="shared" si="0"/>
        <v>132000</v>
      </c>
      <c r="M87" s="95">
        <f t="shared" si="1"/>
        <v>145200</v>
      </c>
      <c r="N87" s="56"/>
      <c r="O87" s="49"/>
      <c r="P87" s="59" t="s">
        <v>751</v>
      </c>
      <c r="Q87" s="67">
        <f t="shared" si="2"/>
        <v>726</v>
      </c>
    </row>
    <row r="88" spans="1:17" ht="18.75" customHeight="1">
      <c r="A88" s="122"/>
      <c r="B88" s="123"/>
      <c r="C88" s="122"/>
      <c r="D88" s="124"/>
      <c r="E88" s="132" t="s">
        <v>543</v>
      </c>
      <c r="F88" s="122"/>
      <c r="G88" s="132" t="s">
        <v>430</v>
      </c>
      <c r="H88" s="125">
        <v>800</v>
      </c>
      <c r="I88" s="125">
        <v>100</v>
      </c>
      <c r="J88" s="126">
        <v>2</v>
      </c>
      <c r="K88" s="125"/>
      <c r="L88" s="95">
        <f t="shared" si="0"/>
        <v>160000</v>
      </c>
      <c r="M88" s="95">
        <f t="shared" si="1"/>
        <v>176000</v>
      </c>
      <c r="N88" s="56"/>
      <c r="O88" s="49"/>
      <c r="P88" s="59" t="s">
        <v>751</v>
      </c>
      <c r="Q88" s="67">
        <f t="shared" si="2"/>
        <v>880</v>
      </c>
    </row>
    <row r="89" spans="1:17" ht="18.75" customHeight="1">
      <c r="A89" s="122"/>
      <c r="B89" s="123"/>
      <c r="C89" s="122"/>
      <c r="D89" s="124"/>
      <c r="E89" s="132" t="s">
        <v>543</v>
      </c>
      <c r="F89" s="122"/>
      <c r="G89" s="132" t="s">
        <v>754</v>
      </c>
      <c r="H89" s="125">
        <v>800</v>
      </c>
      <c r="I89" s="125">
        <v>60</v>
      </c>
      <c r="J89" s="126">
        <v>2</v>
      </c>
      <c r="K89" s="125"/>
      <c r="L89" s="95">
        <f t="shared" si="0"/>
        <v>96000</v>
      </c>
      <c r="M89" s="95">
        <f t="shared" si="1"/>
        <v>105600.00000000001</v>
      </c>
      <c r="N89" s="56"/>
      <c r="O89" s="49"/>
      <c r="P89" s="59" t="s">
        <v>751</v>
      </c>
      <c r="Q89" s="67">
        <f t="shared" si="2"/>
        <v>880.00000000000011</v>
      </c>
    </row>
    <row r="90" spans="1:17" ht="18.75" customHeight="1">
      <c r="A90" s="122"/>
      <c r="B90" s="123"/>
      <c r="C90" s="122"/>
      <c r="D90" s="89">
        <v>45742</v>
      </c>
      <c r="E90" s="157" t="s">
        <v>34</v>
      </c>
      <c r="F90" s="156"/>
      <c r="G90" s="162" t="s">
        <v>755</v>
      </c>
      <c r="H90" s="91">
        <v>270</v>
      </c>
      <c r="I90" s="91">
        <v>200</v>
      </c>
      <c r="J90" s="92">
        <v>1</v>
      </c>
      <c r="K90" s="91"/>
      <c r="L90" s="95">
        <f t="shared" ref="L90:L97" si="3">H90*I90*J90</f>
        <v>54000</v>
      </c>
      <c r="M90" s="95">
        <f t="shared" ref="M90:M97" si="4">L90*1.1</f>
        <v>59400.000000000007</v>
      </c>
      <c r="N90" s="152"/>
      <c r="O90" s="153"/>
      <c r="P90" s="154">
        <v>45748</v>
      </c>
      <c r="Q90" s="67">
        <f t="shared" ref="Q90:Q97" si="5">(M90+N90*1.1)/(I90*J90)</f>
        <v>297.00000000000006</v>
      </c>
    </row>
    <row r="91" spans="1:17" ht="18.75" customHeight="1">
      <c r="A91" s="122"/>
      <c r="B91" s="123"/>
      <c r="C91" s="122"/>
      <c r="D91" s="89">
        <v>45742</v>
      </c>
      <c r="E91" s="157" t="s">
        <v>427</v>
      </c>
      <c r="F91" s="156"/>
      <c r="G91" s="162" t="s">
        <v>755</v>
      </c>
      <c r="H91" s="91">
        <v>270</v>
      </c>
      <c r="I91" s="91">
        <v>200</v>
      </c>
      <c r="J91" s="92">
        <v>1</v>
      </c>
      <c r="K91" s="91"/>
      <c r="L91" s="95">
        <f t="shared" si="3"/>
        <v>54000</v>
      </c>
      <c r="M91" s="95">
        <f t="shared" si="4"/>
        <v>59400.000000000007</v>
      </c>
      <c r="N91" s="152"/>
      <c r="O91" s="153"/>
      <c r="P91" s="154">
        <v>45748</v>
      </c>
      <c r="Q91" s="67">
        <f t="shared" si="5"/>
        <v>297.00000000000006</v>
      </c>
    </row>
    <row r="92" spans="1:17" ht="18.75" customHeight="1">
      <c r="A92" s="122"/>
      <c r="B92" s="123"/>
      <c r="C92" s="122"/>
      <c r="D92" s="89">
        <v>45742</v>
      </c>
      <c r="E92" s="157" t="s">
        <v>34</v>
      </c>
      <c r="F92" s="156"/>
      <c r="G92" s="90" t="s">
        <v>756</v>
      </c>
      <c r="H92" s="91">
        <v>700</v>
      </c>
      <c r="I92" s="91">
        <v>80</v>
      </c>
      <c r="J92" s="92">
        <v>1</v>
      </c>
      <c r="K92" s="91"/>
      <c r="L92" s="95">
        <f t="shared" si="3"/>
        <v>56000</v>
      </c>
      <c r="M92" s="95">
        <f t="shared" si="4"/>
        <v>61600.000000000007</v>
      </c>
      <c r="N92" s="152"/>
      <c r="O92" s="153"/>
      <c r="P92" s="154">
        <v>45748</v>
      </c>
      <c r="Q92" s="67">
        <f t="shared" si="5"/>
        <v>770.00000000000011</v>
      </c>
    </row>
    <row r="93" spans="1:17" ht="18.75" customHeight="1">
      <c r="A93" s="122"/>
      <c r="B93" s="123"/>
      <c r="C93" s="122"/>
      <c r="D93" s="89">
        <v>45742</v>
      </c>
      <c r="E93" s="157" t="s">
        <v>427</v>
      </c>
      <c r="F93" s="156"/>
      <c r="G93" s="90" t="s">
        <v>756</v>
      </c>
      <c r="H93" s="91">
        <v>700</v>
      </c>
      <c r="I93" s="91">
        <v>80</v>
      </c>
      <c r="J93" s="92">
        <v>1</v>
      </c>
      <c r="K93" s="91"/>
      <c r="L93" s="95">
        <f t="shared" si="3"/>
        <v>56000</v>
      </c>
      <c r="M93" s="95">
        <f t="shared" si="4"/>
        <v>61600.000000000007</v>
      </c>
      <c r="N93" s="152"/>
      <c r="O93" s="153"/>
      <c r="P93" s="154">
        <v>45748</v>
      </c>
      <c r="Q93" s="67">
        <f t="shared" si="5"/>
        <v>770.00000000000011</v>
      </c>
    </row>
    <row r="94" spans="1:17" ht="18.75" customHeight="1">
      <c r="A94" s="122"/>
      <c r="B94" s="123"/>
      <c r="C94" s="122"/>
      <c r="D94" s="89">
        <v>45742</v>
      </c>
      <c r="E94" s="157" t="s">
        <v>32</v>
      </c>
      <c r="F94" s="156"/>
      <c r="G94" s="90" t="s">
        <v>756</v>
      </c>
      <c r="H94" s="91">
        <v>700</v>
      </c>
      <c r="I94" s="91">
        <v>80</v>
      </c>
      <c r="J94" s="92">
        <v>1</v>
      </c>
      <c r="K94" s="91"/>
      <c r="L94" s="95">
        <f t="shared" si="3"/>
        <v>56000</v>
      </c>
      <c r="M94" s="95">
        <f t="shared" si="4"/>
        <v>61600.000000000007</v>
      </c>
      <c r="N94" s="152"/>
      <c r="O94" s="153"/>
      <c r="P94" s="154">
        <v>45748</v>
      </c>
      <c r="Q94" s="67">
        <f t="shared" si="5"/>
        <v>770.00000000000011</v>
      </c>
    </row>
    <row r="95" spans="1:17" ht="18.75" customHeight="1">
      <c r="A95" s="122"/>
      <c r="B95" s="123"/>
      <c r="C95" s="122"/>
      <c r="D95" s="89">
        <v>45742</v>
      </c>
      <c r="E95" s="157" t="s">
        <v>543</v>
      </c>
      <c r="F95" s="156"/>
      <c r="G95" s="90" t="s">
        <v>756</v>
      </c>
      <c r="H95" s="91">
        <v>700</v>
      </c>
      <c r="I95" s="91">
        <v>80</v>
      </c>
      <c r="J95" s="92">
        <v>1</v>
      </c>
      <c r="K95" s="91"/>
      <c r="L95" s="95">
        <f t="shared" si="3"/>
        <v>56000</v>
      </c>
      <c r="M95" s="95">
        <f t="shared" si="4"/>
        <v>61600.000000000007</v>
      </c>
      <c r="N95" s="152"/>
      <c r="O95" s="153"/>
      <c r="P95" s="154">
        <v>45748</v>
      </c>
      <c r="Q95" s="67">
        <f t="shared" si="5"/>
        <v>770.00000000000011</v>
      </c>
    </row>
    <row r="96" spans="1:17" ht="18.75" customHeight="1">
      <c r="A96" s="122"/>
      <c r="B96" s="123"/>
      <c r="C96" s="122"/>
      <c r="D96" s="89">
        <v>45742</v>
      </c>
      <c r="E96" s="157" t="s">
        <v>34</v>
      </c>
      <c r="F96" s="156"/>
      <c r="G96" s="162" t="s">
        <v>757</v>
      </c>
      <c r="H96" s="91">
        <v>100</v>
      </c>
      <c r="I96" s="91">
        <v>384</v>
      </c>
      <c r="J96" s="92">
        <v>1</v>
      </c>
      <c r="K96" s="91"/>
      <c r="L96" s="95">
        <f t="shared" si="3"/>
        <v>38400</v>
      </c>
      <c r="M96" s="95">
        <f t="shared" si="4"/>
        <v>42240</v>
      </c>
      <c r="N96" s="152"/>
      <c r="O96" s="153"/>
      <c r="P96" s="154">
        <v>45748</v>
      </c>
      <c r="Q96" s="67">
        <f t="shared" si="5"/>
        <v>110</v>
      </c>
    </row>
    <row r="97" spans="1:17" ht="18.75" customHeight="1">
      <c r="A97" s="122"/>
      <c r="B97" s="123"/>
      <c r="C97" s="122"/>
      <c r="D97" s="89">
        <v>45742</v>
      </c>
      <c r="E97" s="157" t="s">
        <v>427</v>
      </c>
      <c r="F97" s="156"/>
      <c r="G97" s="162" t="s">
        <v>757</v>
      </c>
      <c r="H97" s="91">
        <v>100</v>
      </c>
      <c r="I97" s="91">
        <v>384</v>
      </c>
      <c r="J97" s="92">
        <v>1</v>
      </c>
      <c r="K97" s="91"/>
      <c r="L97" s="95">
        <f t="shared" si="3"/>
        <v>38400</v>
      </c>
      <c r="M97" s="95">
        <f t="shared" si="4"/>
        <v>42240</v>
      </c>
      <c r="N97" s="152"/>
      <c r="O97" s="153"/>
      <c r="P97" s="154">
        <v>45748</v>
      </c>
      <c r="Q97" s="67">
        <f t="shared" si="5"/>
        <v>110</v>
      </c>
    </row>
    <row r="98" spans="1:17" ht="18.75" customHeight="1">
      <c r="A98" s="12"/>
      <c r="B98" s="68"/>
      <c r="C98" s="12"/>
      <c r="D98" s="69"/>
      <c r="E98" s="12"/>
      <c r="F98" s="12"/>
      <c r="G98" s="70"/>
      <c r="H98" s="71"/>
      <c r="I98" s="71"/>
      <c r="J98" s="72"/>
      <c r="K98" s="71"/>
      <c r="L98" s="160"/>
      <c r="M98" s="160">
        <f>SUM(M74:M97)</f>
        <v>2949980</v>
      </c>
      <c r="N98" s="161"/>
      <c r="O98" s="11"/>
      <c r="P98" s="75"/>
      <c r="Q98" s="161"/>
    </row>
    <row r="99" spans="1:17" ht="18.75" customHeight="1">
      <c r="A99" s="12"/>
      <c r="B99" s="68"/>
      <c r="C99" s="12"/>
      <c r="D99" s="69"/>
      <c r="E99" s="12"/>
      <c r="F99" s="12"/>
      <c r="G99" s="70"/>
      <c r="H99" s="71"/>
      <c r="I99" s="71"/>
      <c r="J99" s="72"/>
      <c r="K99" s="71"/>
      <c r="L99" s="160"/>
      <c r="M99" s="160"/>
      <c r="N99" s="161"/>
      <c r="O99" s="11"/>
      <c r="P99" s="75"/>
      <c r="Q99" s="161"/>
    </row>
    <row r="100" spans="1:17" ht="18.75" customHeight="1">
      <c r="A100" s="122" t="s">
        <v>28</v>
      </c>
      <c r="B100" s="123"/>
      <c r="C100" s="122"/>
      <c r="D100" s="124">
        <v>45737</v>
      </c>
      <c r="E100" s="132" t="s">
        <v>32</v>
      </c>
      <c r="F100" s="122"/>
      <c r="G100" s="132" t="s">
        <v>758</v>
      </c>
      <c r="H100" s="125">
        <v>360</v>
      </c>
      <c r="I100" s="125">
        <v>168</v>
      </c>
      <c r="J100" s="126">
        <v>3</v>
      </c>
      <c r="K100" s="125"/>
      <c r="L100" s="95">
        <f t="shared" ref="L100:L110" si="6">H100*I100*J100</f>
        <v>181440</v>
      </c>
      <c r="M100" s="95">
        <f t="shared" ref="M100:M110" si="7">L100*1.1</f>
        <v>199584.00000000003</v>
      </c>
      <c r="N100" s="56"/>
      <c r="O100" s="49"/>
      <c r="P100" s="59" t="s">
        <v>751</v>
      </c>
      <c r="Q100" s="67">
        <f t="shared" ref="Q100:Q118" si="8">(M100+N100*1.1)/(I100*J100)</f>
        <v>396.00000000000006</v>
      </c>
    </row>
    <row r="101" spans="1:17" ht="18.75" customHeight="1">
      <c r="A101" s="122"/>
      <c r="B101" s="123"/>
      <c r="C101" s="122"/>
      <c r="D101" s="124">
        <v>45737</v>
      </c>
      <c r="E101" s="132" t="s">
        <v>34</v>
      </c>
      <c r="F101" s="122"/>
      <c r="G101" s="132" t="s">
        <v>759</v>
      </c>
      <c r="H101" s="125">
        <v>360</v>
      </c>
      <c r="I101" s="125">
        <v>168</v>
      </c>
      <c r="J101" s="126">
        <v>4</v>
      </c>
      <c r="K101" s="125"/>
      <c r="L101" s="95">
        <f t="shared" si="6"/>
        <v>241920</v>
      </c>
      <c r="M101" s="95">
        <f t="shared" si="7"/>
        <v>266112</v>
      </c>
      <c r="N101" s="56"/>
      <c r="O101" s="49"/>
      <c r="P101" s="59" t="s">
        <v>751</v>
      </c>
      <c r="Q101" s="67">
        <f t="shared" si="8"/>
        <v>396</v>
      </c>
    </row>
    <row r="102" spans="1:17" ht="18.75" customHeight="1">
      <c r="A102" s="122"/>
      <c r="B102" s="123"/>
      <c r="C102" s="122"/>
      <c r="D102" s="124">
        <v>45737</v>
      </c>
      <c r="E102" s="132" t="s">
        <v>427</v>
      </c>
      <c r="F102" s="122"/>
      <c r="G102" s="132" t="s">
        <v>758</v>
      </c>
      <c r="H102" s="125">
        <v>360</v>
      </c>
      <c r="I102" s="125">
        <v>168</v>
      </c>
      <c r="J102" s="126">
        <v>2</v>
      </c>
      <c r="K102" s="125"/>
      <c r="L102" s="95">
        <f t="shared" si="6"/>
        <v>120960</v>
      </c>
      <c r="M102" s="95">
        <f t="shared" si="7"/>
        <v>133056</v>
      </c>
      <c r="N102" s="56"/>
      <c r="O102" s="49"/>
      <c r="P102" s="59" t="s">
        <v>751</v>
      </c>
      <c r="Q102" s="67">
        <f t="shared" si="8"/>
        <v>396</v>
      </c>
    </row>
    <row r="103" spans="1:17" ht="18.75" customHeight="1">
      <c r="A103" s="122"/>
      <c r="B103" s="123"/>
      <c r="C103" s="122"/>
      <c r="D103" s="124">
        <v>45737</v>
      </c>
      <c r="E103" s="132" t="s">
        <v>543</v>
      </c>
      <c r="F103" s="122"/>
      <c r="G103" s="132" t="s">
        <v>758</v>
      </c>
      <c r="H103" s="125">
        <v>360</v>
      </c>
      <c r="I103" s="125">
        <v>168</v>
      </c>
      <c r="J103" s="126">
        <v>3</v>
      </c>
      <c r="K103" s="125"/>
      <c r="L103" s="95">
        <f t="shared" si="6"/>
        <v>181440</v>
      </c>
      <c r="M103" s="95">
        <f t="shared" si="7"/>
        <v>199584.00000000003</v>
      </c>
      <c r="N103" s="56"/>
      <c r="O103" s="49"/>
      <c r="P103" s="59" t="s">
        <v>751</v>
      </c>
      <c r="Q103" s="67">
        <f t="shared" si="8"/>
        <v>396.00000000000006</v>
      </c>
    </row>
    <row r="104" spans="1:17" ht="18.75" customHeight="1">
      <c r="A104" s="122"/>
      <c r="B104" s="123"/>
      <c r="C104" s="122"/>
      <c r="D104" s="124">
        <v>45741</v>
      </c>
      <c r="E104" s="132" t="s">
        <v>32</v>
      </c>
      <c r="F104" s="122"/>
      <c r="G104" s="96" t="s">
        <v>638</v>
      </c>
      <c r="H104" s="125">
        <v>620</v>
      </c>
      <c r="I104" s="125">
        <v>84</v>
      </c>
      <c r="J104" s="126">
        <v>2</v>
      </c>
      <c r="K104" s="125"/>
      <c r="L104" s="95">
        <f t="shared" si="6"/>
        <v>104160</v>
      </c>
      <c r="M104" s="95">
        <f t="shared" si="7"/>
        <v>114576.00000000001</v>
      </c>
      <c r="N104" s="56"/>
      <c r="O104" s="49"/>
      <c r="P104" s="59" t="s">
        <v>751</v>
      </c>
      <c r="Q104" s="67">
        <f t="shared" si="8"/>
        <v>682.00000000000011</v>
      </c>
    </row>
    <row r="105" spans="1:17" ht="18.75" customHeight="1">
      <c r="A105" s="122"/>
      <c r="B105" s="123"/>
      <c r="C105" s="122"/>
      <c r="D105" s="124">
        <v>45741</v>
      </c>
      <c r="E105" s="132" t="s">
        <v>34</v>
      </c>
      <c r="F105" s="122"/>
      <c r="G105" s="96" t="s">
        <v>638</v>
      </c>
      <c r="H105" s="125">
        <v>620</v>
      </c>
      <c r="I105" s="125">
        <v>84</v>
      </c>
      <c r="J105" s="126">
        <v>3</v>
      </c>
      <c r="K105" s="125"/>
      <c r="L105" s="95">
        <f t="shared" si="6"/>
        <v>156240</v>
      </c>
      <c r="M105" s="95">
        <f t="shared" si="7"/>
        <v>171864</v>
      </c>
      <c r="N105" s="56"/>
      <c r="O105" s="49"/>
      <c r="P105" s="59" t="s">
        <v>751</v>
      </c>
      <c r="Q105" s="67">
        <f t="shared" si="8"/>
        <v>682</v>
      </c>
    </row>
    <row r="106" spans="1:17" ht="18.75" customHeight="1">
      <c r="A106" s="122"/>
      <c r="B106" s="123"/>
      <c r="C106" s="122"/>
      <c r="D106" s="124">
        <v>45741</v>
      </c>
      <c r="E106" s="132" t="s">
        <v>543</v>
      </c>
      <c r="F106" s="122"/>
      <c r="G106" s="96" t="s">
        <v>638</v>
      </c>
      <c r="H106" s="125">
        <v>620</v>
      </c>
      <c r="I106" s="125">
        <v>84</v>
      </c>
      <c r="J106" s="126">
        <v>2</v>
      </c>
      <c r="K106" s="125"/>
      <c r="L106" s="95">
        <f t="shared" si="6"/>
        <v>104160</v>
      </c>
      <c r="M106" s="95">
        <f t="shared" si="7"/>
        <v>114576.00000000001</v>
      </c>
      <c r="N106" s="56"/>
      <c r="O106" s="49"/>
      <c r="P106" s="59" t="s">
        <v>751</v>
      </c>
      <c r="Q106" s="67">
        <f t="shared" si="8"/>
        <v>682.00000000000011</v>
      </c>
    </row>
    <row r="107" spans="1:17" ht="18.75" customHeight="1">
      <c r="A107" s="122"/>
      <c r="B107" s="123"/>
      <c r="C107" s="122"/>
      <c r="D107" s="124">
        <v>45743</v>
      </c>
      <c r="E107" s="132" t="s">
        <v>427</v>
      </c>
      <c r="F107" s="122"/>
      <c r="G107" s="132" t="s">
        <v>760</v>
      </c>
      <c r="H107" s="125">
        <v>640</v>
      </c>
      <c r="I107" s="125">
        <v>90</v>
      </c>
      <c r="J107" s="126">
        <v>1</v>
      </c>
      <c r="K107" s="125"/>
      <c r="L107" s="95">
        <f t="shared" si="6"/>
        <v>57600</v>
      </c>
      <c r="M107" s="95">
        <f t="shared" si="7"/>
        <v>63360.000000000007</v>
      </c>
      <c r="N107" s="56"/>
      <c r="O107" s="49"/>
      <c r="P107" s="59">
        <v>45748</v>
      </c>
      <c r="Q107" s="67">
        <f t="shared" si="8"/>
        <v>704.00000000000011</v>
      </c>
    </row>
    <row r="108" spans="1:17" ht="18.75" customHeight="1">
      <c r="A108" s="122"/>
      <c r="B108" s="123"/>
      <c r="C108" s="122"/>
      <c r="D108" s="124">
        <v>45743</v>
      </c>
      <c r="E108" s="132" t="s">
        <v>34</v>
      </c>
      <c r="F108" s="122"/>
      <c r="G108" s="132" t="s">
        <v>760</v>
      </c>
      <c r="H108" s="125">
        <v>640</v>
      </c>
      <c r="I108" s="125">
        <v>90</v>
      </c>
      <c r="J108" s="126">
        <v>2</v>
      </c>
      <c r="K108" s="125"/>
      <c r="L108" s="95">
        <f t="shared" si="6"/>
        <v>115200</v>
      </c>
      <c r="M108" s="95">
        <f t="shared" si="7"/>
        <v>126720.00000000001</v>
      </c>
      <c r="N108" s="56"/>
      <c r="O108" s="49"/>
      <c r="P108" s="59">
        <v>45748</v>
      </c>
      <c r="Q108" s="67">
        <f t="shared" si="8"/>
        <v>704.00000000000011</v>
      </c>
    </row>
    <row r="109" spans="1:17" ht="18.75" customHeight="1">
      <c r="A109" s="122"/>
      <c r="B109" s="123"/>
      <c r="C109" s="122"/>
      <c r="D109" s="124">
        <v>45743</v>
      </c>
      <c r="E109" s="132" t="s">
        <v>543</v>
      </c>
      <c r="F109" s="122"/>
      <c r="G109" s="132" t="s">
        <v>760</v>
      </c>
      <c r="H109" s="125">
        <v>640</v>
      </c>
      <c r="I109" s="125">
        <v>90</v>
      </c>
      <c r="J109" s="126">
        <v>2</v>
      </c>
      <c r="K109" s="125"/>
      <c r="L109" s="95">
        <f t="shared" si="6"/>
        <v>115200</v>
      </c>
      <c r="M109" s="95">
        <f t="shared" si="7"/>
        <v>126720.00000000001</v>
      </c>
      <c r="N109" s="56"/>
      <c r="O109" s="49"/>
      <c r="P109" s="59">
        <v>45748</v>
      </c>
      <c r="Q109" s="67">
        <f t="shared" si="8"/>
        <v>704.00000000000011</v>
      </c>
    </row>
    <row r="110" spans="1:17" ht="18.75" customHeight="1">
      <c r="A110" s="122"/>
      <c r="B110" s="123"/>
      <c r="C110" s="122"/>
      <c r="D110" s="124">
        <v>45743</v>
      </c>
      <c r="E110" s="132" t="s">
        <v>32</v>
      </c>
      <c r="F110" s="122"/>
      <c r="G110" s="132" t="s">
        <v>760</v>
      </c>
      <c r="H110" s="125">
        <v>640</v>
      </c>
      <c r="I110" s="125">
        <v>90</v>
      </c>
      <c r="J110" s="126">
        <v>2</v>
      </c>
      <c r="K110" s="125"/>
      <c r="L110" s="95">
        <f t="shared" si="6"/>
        <v>115200</v>
      </c>
      <c r="M110" s="95">
        <f t="shared" si="7"/>
        <v>126720.00000000001</v>
      </c>
      <c r="N110" s="56"/>
      <c r="O110" s="49"/>
      <c r="P110" s="59">
        <v>45748</v>
      </c>
      <c r="Q110" s="67">
        <f t="shared" si="8"/>
        <v>704.00000000000011</v>
      </c>
    </row>
    <row r="111" spans="1:17" ht="18.75" customHeight="1">
      <c r="A111" s="122"/>
      <c r="B111" s="123"/>
      <c r="C111" s="122"/>
      <c r="D111" s="124">
        <v>45751</v>
      </c>
      <c r="E111" s="132" t="s">
        <v>34</v>
      </c>
      <c r="F111" s="122"/>
      <c r="G111" s="132" t="s">
        <v>639</v>
      </c>
      <c r="H111" s="125">
        <v>350</v>
      </c>
      <c r="I111" s="125">
        <v>120</v>
      </c>
      <c r="J111" s="126">
        <v>2</v>
      </c>
      <c r="K111" s="125"/>
      <c r="L111" s="95">
        <f t="shared" ref="L111:L117" si="9">H111*I111*J111</f>
        <v>84000</v>
      </c>
      <c r="M111" s="95">
        <f t="shared" ref="M111:M117" si="10">L111*1.1</f>
        <v>92400.000000000015</v>
      </c>
      <c r="N111" s="56"/>
      <c r="O111" s="49"/>
      <c r="P111" s="59">
        <v>45757</v>
      </c>
      <c r="Q111" s="67">
        <f t="shared" si="8"/>
        <v>385.00000000000006</v>
      </c>
    </row>
    <row r="112" spans="1:17" ht="18.75" customHeight="1">
      <c r="A112" s="122"/>
      <c r="B112" s="123"/>
      <c r="C112" s="122"/>
      <c r="D112" s="124">
        <v>45751</v>
      </c>
      <c r="E112" s="132" t="s">
        <v>34</v>
      </c>
      <c r="F112" s="122"/>
      <c r="G112" s="132" t="s">
        <v>640</v>
      </c>
      <c r="H112" s="125">
        <v>350</v>
      </c>
      <c r="I112" s="125">
        <v>120</v>
      </c>
      <c r="J112" s="126">
        <v>2</v>
      </c>
      <c r="K112" s="125"/>
      <c r="L112" s="95">
        <f t="shared" si="9"/>
        <v>84000</v>
      </c>
      <c r="M112" s="95">
        <f t="shared" si="10"/>
        <v>92400.000000000015</v>
      </c>
      <c r="N112" s="56"/>
      <c r="O112" s="49"/>
      <c r="P112" s="59">
        <v>45757</v>
      </c>
      <c r="Q112" s="67">
        <f t="shared" si="8"/>
        <v>385.00000000000006</v>
      </c>
    </row>
    <row r="113" spans="1:23" ht="18.75" customHeight="1">
      <c r="A113" s="122"/>
      <c r="B113" s="123"/>
      <c r="C113" s="122"/>
      <c r="D113" s="124">
        <v>45751</v>
      </c>
      <c r="E113" s="132" t="s">
        <v>34</v>
      </c>
      <c r="F113" s="122"/>
      <c r="G113" s="132" t="s">
        <v>641</v>
      </c>
      <c r="H113" s="125">
        <v>350</v>
      </c>
      <c r="I113" s="125">
        <v>120</v>
      </c>
      <c r="J113" s="126">
        <v>2</v>
      </c>
      <c r="K113" s="125"/>
      <c r="L113" s="95">
        <f t="shared" si="9"/>
        <v>84000</v>
      </c>
      <c r="M113" s="95">
        <f t="shared" si="10"/>
        <v>92400.000000000015</v>
      </c>
      <c r="N113" s="56"/>
      <c r="O113" s="49"/>
      <c r="P113" s="59">
        <v>45757</v>
      </c>
      <c r="Q113" s="67">
        <f t="shared" si="8"/>
        <v>385.00000000000006</v>
      </c>
    </row>
    <row r="114" spans="1:23" ht="18.75" customHeight="1">
      <c r="A114" s="122"/>
      <c r="B114" s="123"/>
      <c r="C114" s="122"/>
      <c r="D114" s="124">
        <v>45751</v>
      </c>
      <c r="E114" s="132" t="s">
        <v>427</v>
      </c>
      <c r="F114" s="122"/>
      <c r="G114" s="132" t="s">
        <v>639</v>
      </c>
      <c r="H114" s="125">
        <v>350</v>
      </c>
      <c r="I114" s="125">
        <v>120</v>
      </c>
      <c r="J114" s="126">
        <v>2</v>
      </c>
      <c r="K114" s="125"/>
      <c r="L114" s="95">
        <f t="shared" si="9"/>
        <v>84000</v>
      </c>
      <c r="M114" s="95">
        <f t="shared" si="10"/>
        <v>92400.000000000015</v>
      </c>
      <c r="N114" s="56"/>
      <c r="O114" s="49"/>
      <c r="P114" s="59">
        <v>45757</v>
      </c>
      <c r="Q114" s="67">
        <f t="shared" si="8"/>
        <v>385.00000000000006</v>
      </c>
    </row>
    <row r="115" spans="1:23" ht="18.75" customHeight="1">
      <c r="A115" s="122"/>
      <c r="B115" s="123"/>
      <c r="C115" s="122"/>
      <c r="D115" s="124">
        <v>45751</v>
      </c>
      <c r="E115" s="132" t="s">
        <v>427</v>
      </c>
      <c r="F115" s="122"/>
      <c r="G115" s="132" t="s">
        <v>640</v>
      </c>
      <c r="H115" s="125">
        <v>350</v>
      </c>
      <c r="I115" s="125">
        <v>120</v>
      </c>
      <c r="J115" s="126">
        <v>2</v>
      </c>
      <c r="K115" s="125"/>
      <c r="L115" s="95">
        <f t="shared" si="9"/>
        <v>84000</v>
      </c>
      <c r="M115" s="95">
        <f t="shared" si="10"/>
        <v>92400.000000000015</v>
      </c>
      <c r="N115" s="56"/>
      <c r="O115" s="49"/>
      <c r="P115" s="59">
        <v>45757</v>
      </c>
      <c r="Q115" s="67">
        <f t="shared" si="8"/>
        <v>385.00000000000006</v>
      </c>
    </row>
    <row r="116" spans="1:23" ht="18.75" customHeight="1">
      <c r="A116" s="122"/>
      <c r="B116" s="123"/>
      <c r="C116" s="122"/>
      <c r="D116" s="124">
        <v>45751</v>
      </c>
      <c r="E116" s="132" t="s">
        <v>427</v>
      </c>
      <c r="F116" s="122"/>
      <c r="G116" s="132" t="s">
        <v>641</v>
      </c>
      <c r="H116" s="125">
        <v>350</v>
      </c>
      <c r="I116" s="125">
        <v>120</v>
      </c>
      <c r="J116" s="126">
        <v>2</v>
      </c>
      <c r="K116" s="125"/>
      <c r="L116" s="95">
        <f t="shared" si="9"/>
        <v>84000</v>
      </c>
      <c r="M116" s="95">
        <f t="shared" si="10"/>
        <v>92400.000000000015</v>
      </c>
      <c r="N116" s="56"/>
      <c r="O116" s="49"/>
      <c r="P116" s="59">
        <v>45748</v>
      </c>
      <c r="Q116" s="67">
        <f t="shared" si="8"/>
        <v>385.00000000000006</v>
      </c>
    </row>
    <row r="117" spans="1:23" ht="18.75" customHeight="1">
      <c r="A117" s="122"/>
      <c r="B117" s="123"/>
      <c r="C117" s="122"/>
      <c r="D117" s="124"/>
      <c r="E117" s="132"/>
      <c r="F117" s="122"/>
      <c r="G117" s="96"/>
      <c r="H117" s="125"/>
      <c r="I117" s="125"/>
      <c r="J117" s="126"/>
      <c r="K117" s="125"/>
      <c r="L117" s="95">
        <f t="shared" si="9"/>
        <v>0</v>
      </c>
      <c r="M117" s="95">
        <f t="shared" si="10"/>
        <v>0</v>
      </c>
      <c r="N117" s="56"/>
      <c r="O117" s="49"/>
      <c r="P117" s="59">
        <v>45748</v>
      </c>
      <c r="Q117" s="67" t="e">
        <f t="shared" si="8"/>
        <v>#DIV/0!</v>
      </c>
    </row>
    <row r="118" spans="1:23" ht="18.75" customHeight="1">
      <c r="A118" s="122"/>
      <c r="B118" s="123"/>
      <c r="C118" s="122"/>
      <c r="D118" s="124"/>
      <c r="E118" s="96"/>
      <c r="F118" s="122"/>
      <c r="G118" s="96"/>
      <c r="H118" s="125"/>
      <c r="I118" s="125"/>
      <c r="J118" s="126"/>
      <c r="K118" s="125"/>
      <c r="L118" s="95">
        <f>H118*I118*J118</f>
        <v>0</v>
      </c>
      <c r="M118" s="95">
        <f>L118*1.1</f>
        <v>0</v>
      </c>
      <c r="N118" s="56"/>
      <c r="O118" s="49"/>
      <c r="P118" s="59"/>
      <c r="Q118" s="67" t="e">
        <f t="shared" si="8"/>
        <v>#DIV/0!</v>
      </c>
    </row>
    <row r="119" spans="1:23" ht="18.75" customHeight="1">
      <c r="A119" s="11"/>
      <c r="B119" s="68"/>
      <c r="C119" s="12"/>
      <c r="D119" s="69"/>
      <c r="E119" s="12"/>
      <c r="F119" s="12"/>
      <c r="G119" s="70"/>
      <c r="H119" s="71"/>
      <c r="I119" s="71"/>
      <c r="J119" s="72"/>
      <c r="K119" s="71"/>
      <c r="L119" s="73"/>
      <c r="M119" s="73">
        <f>SUM(M100:M118)</f>
        <v>2197272</v>
      </c>
      <c r="N119" s="74"/>
      <c r="O119" s="11"/>
      <c r="P119" s="75"/>
      <c r="Q119" s="74"/>
    </row>
    <row r="120" spans="1:23" ht="18.75" customHeight="1">
      <c r="A120" s="11"/>
      <c r="B120" s="68"/>
      <c r="C120" s="12"/>
      <c r="D120" s="69"/>
      <c r="E120" s="12"/>
      <c r="F120" s="12"/>
      <c r="G120" s="70"/>
      <c r="H120" s="71"/>
      <c r="I120" s="71"/>
      <c r="J120" s="72"/>
      <c r="K120" s="71"/>
      <c r="L120" s="73"/>
      <c r="M120" s="73"/>
      <c r="N120" s="74"/>
      <c r="O120" s="11"/>
      <c r="P120" s="75"/>
      <c r="Q120" s="74"/>
    </row>
    <row r="121" spans="1:23" ht="18.75" customHeight="1">
      <c r="A121" s="122" t="s">
        <v>29</v>
      </c>
      <c r="B121" s="123"/>
      <c r="C121" s="122"/>
      <c r="D121" s="124"/>
      <c r="E121" s="96"/>
      <c r="F121" s="122"/>
      <c r="G121" s="96"/>
      <c r="H121" s="125"/>
      <c r="I121" s="125"/>
      <c r="J121" s="126"/>
      <c r="K121" s="125"/>
      <c r="L121" s="95"/>
      <c r="M121" s="95">
        <f>L121*1.1</f>
        <v>0</v>
      </c>
      <c r="N121" s="56"/>
      <c r="O121" s="49"/>
      <c r="P121" s="59"/>
      <c r="Q121" s="67" t="e">
        <f>(M121+N121*1.1)/(I121*J121)</f>
        <v>#DIV/0!</v>
      </c>
    </row>
    <row r="122" spans="1:23" ht="18.75" customHeight="1">
      <c r="A122" s="122"/>
      <c r="B122" s="123"/>
      <c r="C122" s="122"/>
      <c r="D122" s="124"/>
      <c r="E122" s="96"/>
      <c r="F122" s="122"/>
      <c r="G122" s="96"/>
      <c r="H122" s="125"/>
      <c r="I122" s="125"/>
      <c r="J122" s="126"/>
      <c r="K122" s="125"/>
      <c r="L122" s="95"/>
      <c r="M122" s="95">
        <f>L122*1.1</f>
        <v>0</v>
      </c>
      <c r="N122" s="56"/>
      <c r="O122" s="49"/>
      <c r="P122" s="59"/>
      <c r="Q122" s="67" t="e">
        <f>(M122+N122*1.1)/(I122*J122)</f>
        <v>#DIV/0!</v>
      </c>
    </row>
    <row r="123" spans="1:23" ht="18.75" customHeight="1">
      <c r="A123" s="122"/>
      <c r="B123" s="123"/>
      <c r="C123" s="122"/>
      <c r="D123" s="124"/>
      <c r="E123" s="96"/>
      <c r="F123" s="122"/>
      <c r="G123" s="96"/>
      <c r="H123" s="125"/>
      <c r="I123" s="125"/>
      <c r="J123" s="126"/>
      <c r="K123" s="125"/>
      <c r="L123" s="95"/>
      <c r="M123" s="95">
        <f>L123*1.1</f>
        <v>0</v>
      </c>
      <c r="N123" s="56"/>
      <c r="O123" s="49"/>
      <c r="P123" s="59"/>
      <c r="Q123" s="67" t="e">
        <f>(M123+N123*1.1)/(I123*J123)</f>
        <v>#DIV/0!</v>
      </c>
      <c r="R123" s="40"/>
      <c r="S123" s="40"/>
      <c r="T123" s="40"/>
      <c r="U123" s="40"/>
      <c r="V123" s="40"/>
      <c r="W123" s="40"/>
    </row>
    <row r="124" spans="1:23" ht="18.75" customHeight="1">
      <c r="A124" s="122"/>
      <c r="B124" s="123"/>
      <c r="C124" s="122"/>
      <c r="D124" s="124"/>
      <c r="E124" s="96"/>
      <c r="F124" s="122"/>
      <c r="G124" s="96"/>
      <c r="H124" s="125"/>
      <c r="I124" s="125"/>
      <c r="J124" s="126"/>
      <c r="K124" s="125"/>
      <c r="L124" s="95"/>
      <c r="M124" s="95">
        <f>L124*1.1</f>
        <v>0</v>
      </c>
      <c r="N124" s="56"/>
      <c r="O124" s="49"/>
      <c r="P124" s="59"/>
      <c r="Q124" s="67" t="e">
        <f>(M124+N124*1.1)/(I124*J124)</f>
        <v>#DIV/0!</v>
      </c>
      <c r="R124" s="40"/>
      <c r="S124" s="40"/>
      <c r="T124" s="40"/>
      <c r="U124" s="40"/>
      <c r="V124" s="40"/>
      <c r="W124" s="40"/>
    </row>
    <row r="125" spans="1:23" ht="18.75" customHeight="1">
      <c r="A125" s="122"/>
      <c r="B125" s="123"/>
      <c r="C125" s="122"/>
      <c r="D125" s="124"/>
      <c r="E125" s="96"/>
      <c r="F125" s="122"/>
      <c r="G125" s="96"/>
      <c r="H125" s="125"/>
      <c r="I125" s="125"/>
      <c r="J125" s="126"/>
      <c r="K125" s="125"/>
      <c r="L125" s="95"/>
      <c r="M125" s="95">
        <f>L125*1.1</f>
        <v>0</v>
      </c>
      <c r="N125" s="56"/>
      <c r="O125" s="49"/>
      <c r="P125" s="59"/>
      <c r="Q125" s="67" t="e">
        <f>(M125+N125*1.1)/(I125*J125)</f>
        <v>#DIV/0!</v>
      </c>
      <c r="R125" s="40"/>
      <c r="S125" s="40"/>
      <c r="T125" s="40"/>
      <c r="U125" s="40"/>
      <c r="V125" s="40"/>
      <c r="W125" s="40"/>
    </row>
    <row r="126" spans="1:23" ht="18.75" customHeight="1">
      <c r="A126" s="12"/>
      <c r="B126" s="68"/>
      <c r="C126" s="12"/>
      <c r="D126" s="69"/>
      <c r="E126" s="12"/>
      <c r="F126" s="12"/>
      <c r="G126" s="70"/>
      <c r="H126" s="71"/>
      <c r="I126" s="71"/>
      <c r="J126" s="72"/>
      <c r="K126" s="71"/>
      <c r="L126" s="73"/>
      <c r="M126" s="73">
        <f>SUM(M121:M125)</f>
        <v>0</v>
      </c>
      <c r="N126" s="74"/>
      <c r="O126" s="11"/>
      <c r="P126" s="75"/>
      <c r="Q126" s="74"/>
      <c r="R126" s="40"/>
      <c r="S126" s="40"/>
      <c r="T126" s="40"/>
      <c r="U126" s="40"/>
      <c r="V126" s="40"/>
      <c r="W126" s="40"/>
    </row>
    <row r="127" spans="1:23" ht="18.75" customHeight="1">
      <c r="A127" s="12"/>
      <c r="B127" s="68"/>
      <c r="C127" s="12"/>
      <c r="D127" s="69"/>
      <c r="E127" s="12"/>
      <c r="F127" s="12"/>
      <c r="G127" s="70"/>
      <c r="H127" s="71"/>
      <c r="I127" s="71"/>
      <c r="J127" s="72"/>
      <c r="K127" s="71"/>
      <c r="L127" s="73"/>
      <c r="M127" s="73"/>
      <c r="N127" s="74"/>
      <c r="O127" s="11"/>
      <c r="P127" s="75"/>
      <c r="Q127" s="74"/>
      <c r="R127" s="40"/>
      <c r="S127" s="40"/>
      <c r="T127" s="40"/>
      <c r="U127" s="40"/>
      <c r="V127" s="40"/>
      <c r="W127" s="40"/>
    </row>
    <row r="128" spans="1:23" ht="18.75" customHeight="1">
      <c r="A128" s="151" t="s">
        <v>30</v>
      </c>
      <c r="B128" s="123"/>
      <c r="C128" s="122"/>
      <c r="D128" s="124"/>
      <c r="E128" s="96"/>
      <c r="F128" s="122"/>
      <c r="G128" s="96"/>
      <c r="H128" s="125"/>
      <c r="I128" s="125"/>
      <c r="J128" s="126"/>
      <c r="K128" s="125"/>
      <c r="L128" s="95"/>
      <c r="M128" s="95">
        <f>L128*1.1</f>
        <v>0</v>
      </c>
      <c r="N128" s="56"/>
      <c r="O128" s="49"/>
      <c r="P128" s="59"/>
      <c r="Q128" s="67" t="e">
        <f>(M128+N128*1.1)/(I128*J128)</f>
        <v>#DIV/0!</v>
      </c>
      <c r="R128" s="40"/>
      <c r="S128" s="40"/>
      <c r="T128" s="40"/>
      <c r="U128" s="40"/>
      <c r="V128" s="40"/>
      <c r="W128" s="40"/>
    </row>
    <row r="129" spans="1:23" ht="18.75" customHeight="1">
      <c r="A129" s="122"/>
      <c r="B129" s="123"/>
      <c r="C129" s="122"/>
      <c r="D129" s="124"/>
      <c r="E129" s="96"/>
      <c r="F129" s="122"/>
      <c r="G129" s="96"/>
      <c r="H129" s="125"/>
      <c r="I129" s="125"/>
      <c r="J129" s="126"/>
      <c r="K129" s="125"/>
      <c r="L129" s="95"/>
      <c r="M129" s="95">
        <f>L129*1.1</f>
        <v>0</v>
      </c>
      <c r="N129" s="56"/>
      <c r="O129" s="49"/>
      <c r="P129" s="59"/>
      <c r="Q129" s="67" t="e">
        <f>(M129+N129*1.1)/(I129*J129)</f>
        <v>#DIV/0!</v>
      </c>
      <c r="R129" s="40"/>
      <c r="S129" s="40"/>
      <c r="T129" s="40"/>
      <c r="U129" s="40"/>
      <c r="V129" s="40"/>
      <c r="W129" s="40"/>
    </row>
    <row r="130" spans="1:23" ht="18.75" customHeight="1">
      <c r="A130" s="122"/>
      <c r="B130" s="123"/>
      <c r="C130" s="122"/>
      <c r="D130" s="124"/>
      <c r="E130" s="96"/>
      <c r="F130" s="122"/>
      <c r="G130" s="96"/>
      <c r="H130" s="125"/>
      <c r="I130" s="125"/>
      <c r="J130" s="126"/>
      <c r="K130" s="125"/>
      <c r="L130" s="95"/>
      <c r="M130" s="95">
        <f>L130*1.1</f>
        <v>0</v>
      </c>
      <c r="N130" s="56"/>
      <c r="O130" s="49"/>
      <c r="P130" s="59"/>
      <c r="Q130" s="67" t="e">
        <f>(M130+N130*1.1)/(I130*J130)</f>
        <v>#DIV/0!</v>
      </c>
      <c r="R130" s="40"/>
      <c r="S130" s="40"/>
      <c r="T130" s="40"/>
      <c r="U130" s="40"/>
      <c r="V130" s="40"/>
      <c r="W130" s="40"/>
    </row>
    <row r="131" spans="1:23" ht="18.75" customHeight="1">
      <c r="A131" s="122"/>
      <c r="B131" s="123"/>
      <c r="C131" s="122"/>
      <c r="D131" s="124"/>
      <c r="E131" s="96"/>
      <c r="F131" s="122"/>
      <c r="G131" s="96"/>
      <c r="H131" s="125"/>
      <c r="I131" s="125"/>
      <c r="J131" s="126"/>
      <c r="K131" s="125"/>
      <c r="L131" s="95"/>
      <c r="M131" s="95">
        <f>L131*1.1</f>
        <v>0</v>
      </c>
      <c r="N131" s="56"/>
      <c r="O131" s="49"/>
      <c r="P131" s="59"/>
      <c r="Q131" s="67" t="e">
        <f>(M131+N131*1.1)/(I131*J131)</f>
        <v>#DIV/0!</v>
      </c>
      <c r="R131" s="40"/>
      <c r="S131" s="40"/>
      <c r="T131" s="40"/>
      <c r="U131" s="40"/>
      <c r="V131" s="40"/>
      <c r="W131" s="40"/>
    </row>
    <row r="132" spans="1:23" ht="18.75" customHeight="1">
      <c r="A132" s="122"/>
      <c r="B132" s="123"/>
      <c r="C132" s="122"/>
      <c r="D132" s="124"/>
      <c r="E132" s="96"/>
      <c r="F132" s="122"/>
      <c r="G132" s="96"/>
      <c r="H132" s="125"/>
      <c r="I132" s="125"/>
      <c r="J132" s="126"/>
      <c r="K132" s="125"/>
      <c r="L132" s="95"/>
      <c r="M132" s="95">
        <f>L132*1.1</f>
        <v>0</v>
      </c>
      <c r="N132" s="56"/>
      <c r="O132" s="49"/>
      <c r="P132" s="59"/>
      <c r="Q132" s="67" t="e">
        <f>(M132+N132*1.1)/(I132*J132)</f>
        <v>#DIV/0!</v>
      </c>
      <c r="R132" s="40"/>
      <c r="S132" s="40"/>
      <c r="T132" s="40"/>
      <c r="U132" s="40"/>
      <c r="V132" s="40"/>
      <c r="W132" s="40"/>
    </row>
    <row r="133" spans="1:23" ht="18.75" customHeight="1">
      <c r="A133" s="11"/>
      <c r="B133" s="127"/>
      <c r="C133" s="11"/>
      <c r="D133" s="128"/>
      <c r="E133" s="11"/>
      <c r="F133" s="11"/>
      <c r="G133" s="70"/>
      <c r="H133" s="11"/>
      <c r="I133" s="11"/>
      <c r="J133" s="129"/>
      <c r="K133" s="11"/>
      <c r="L133" s="74"/>
      <c r="M133" s="73">
        <f>SUM(M128:M132)</f>
        <v>0</v>
      </c>
      <c r="N133" s="74"/>
      <c r="O133" s="11"/>
      <c r="P133" s="75"/>
      <c r="Q133" s="74"/>
      <c r="R133" s="40"/>
      <c r="S133" s="40"/>
      <c r="T133" s="40"/>
      <c r="U133" s="40"/>
      <c r="V133" s="40"/>
      <c r="W133" s="40"/>
    </row>
    <row r="134" spans="1:23" s="40" customFormat="1" ht="18.75" customHeight="1">
      <c r="A134"/>
      <c r="B134" s="31"/>
      <c r="C134"/>
      <c r="D134" s="25"/>
      <c r="E134"/>
      <c r="F134"/>
      <c r="G134" s="33"/>
      <c r="H134"/>
      <c r="I134"/>
      <c r="J134" s="65"/>
      <c r="K134"/>
      <c r="O134"/>
      <c r="P134" s="58"/>
    </row>
    <row r="135" spans="1:23" s="40" customFormat="1" ht="18.75" customHeight="1">
      <c r="A135"/>
      <c r="B135" s="31"/>
      <c r="C135"/>
      <c r="D135" s="25"/>
      <c r="E135"/>
      <c r="F135"/>
      <c r="G135" s="33"/>
      <c r="H135"/>
      <c r="I135"/>
      <c r="J135" s="65"/>
      <c r="K135"/>
      <c r="O135"/>
      <c r="P135" s="58"/>
    </row>
    <row r="136" spans="1:23" s="40" customFormat="1" ht="18.75" customHeight="1">
      <c r="A136"/>
      <c r="B136" s="31"/>
      <c r="C136"/>
      <c r="D136" s="25"/>
      <c r="E136"/>
      <c r="F136"/>
      <c r="G136" s="33"/>
      <c r="H136"/>
      <c r="I136"/>
      <c r="J136" s="65"/>
      <c r="K136"/>
      <c r="M136" s="149">
        <f>M72+M98+M119+M126+M133</f>
        <v>7841629</v>
      </c>
      <c r="O136"/>
      <c r="P136" s="58"/>
    </row>
    <row r="137" spans="1:23" s="40" customFormat="1" ht="18.75" customHeight="1">
      <c r="A137"/>
      <c r="B137" s="31"/>
      <c r="C137"/>
      <c r="D137" s="25"/>
      <c r="E137"/>
      <c r="F137"/>
      <c r="G137" s="33"/>
      <c r="H137"/>
      <c r="I137"/>
      <c r="J137" s="65"/>
      <c r="K137"/>
      <c r="O137"/>
      <c r="P137" s="58"/>
    </row>
    <row r="138" spans="1:23" s="40" customFormat="1" ht="18.75" customHeight="1">
      <c r="A138"/>
      <c r="B138" s="31"/>
      <c r="C138"/>
      <c r="D138" s="25"/>
      <c r="E138"/>
      <c r="F138"/>
      <c r="G138" s="33"/>
      <c r="H138"/>
      <c r="I138"/>
      <c r="J138" s="65"/>
      <c r="K138"/>
      <c r="O138"/>
      <c r="P138" s="58"/>
    </row>
    <row r="139" spans="1:23" s="40" customFormat="1" ht="18.75" customHeight="1">
      <c r="A139"/>
      <c r="B139" s="31"/>
      <c r="C139"/>
      <c r="D139" s="25"/>
      <c r="E139"/>
      <c r="F139"/>
      <c r="G139" s="33"/>
      <c r="H139"/>
      <c r="I139"/>
      <c r="J139" s="65"/>
      <c r="K139"/>
      <c r="O139"/>
      <c r="P139" s="58"/>
    </row>
    <row r="140" spans="1:23" s="40" customFormat="1" ht="18.75" customHeight="1">
      <c r="A140"/>
      <c r="B140" s="31"/>
      <c r="C140"/>
      <c r="D140" s="25"/>
      <c r="E140"/>
      <c r="F140"/>
      <c r="G140" s="165"/>
      <c r="H140"/>
      <c r="I140"/>
      <c r="J140" s="65"/>
      <c r="K140"/>
      <c r="O140"/>
      <c r="P140" s="58"/>
    </row>
    <row r="141" spans="1:23" s="40" customFormat="1" ht="18.75" customHeight="1">
      <c r="A141"/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  <c r="O141"/>
      <c r="P141" s="58"/>
    </row>
    <row r="142" spans="1:23" s="40" customFormat="1" ht="18.75" customHeight="1">
      <c r="A142"/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  <c r="O142"/>
      <c r="P142" s="58"/>
    </row>
    <row r="143" spans="1:23" s="40" customFormat="1" ht="18.75" customHeight="1">
      <c r="A143"/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  <c r="O143"/>
      <c r="P143" s="58"/>
    </row>
    <row r="144" spans="1:23" s="40" customFormat="1" ht="18.75" customHeight="1">
      <c r="A144"/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  <c r="O144"/>
      <c r="P144" s="58"/>
    </row>
    <row r="145" spans="1:16" s="40" customFormat="1" ht="18.75" customHeight="1">
      <c r="A145"/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  <c r="O145"/>
      <c r="P145" s="58"/>
    </row>
    <row r="146" spans="1:16" s="40" customFormat="1" ht="18.75" customHeight="1">
      <c r="A146"/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  <c r="O146"/>
      <c r="P146" s="58"/>
    </row>
    <row r="147" spans="1:16" s="40" customFormat="1" ht="18.75" customHeight="1">
      <c r="A147"/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  <c r="O147"/>
      <c r="P147" s="58"/>
    </row>
    <row r="148" spans="1:16" s="40" customFormat="1" ht="18.75" customHeight="1">
      <c r="A148"/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  <c r="O148"/>
      <c r="P148" s="58"/>
    </row>
    <row r="149" spans="1:16" s="40" customFormat="1" ht="18.75" customHeight="1">
      <c r="A149"/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  <c r="O149"/>
      <c r="P149" s="58"/>
    </row>
    <row r="150" spans="1:16" s="40" customFormat="1" ht="18.75" customHeight="1">
      <c r="A150"/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  <c r="O150"/>
      <c r="P150" s="58"/>
    </row>
    <row r="151" spans="1:16" s="40" customFormat="1" ht="18.75" customHeight="1">
      <c r="A151"/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  <c r="O151"/>
      <c r="P151" s="58"/>
    </row>
    <row r="152" spans="1:16" s="40" customFormat="1" ht="18.75" customHeight="1">
      <c r="A152"/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  <c r="O152"/>
      <c r="P152" s="58"/>
    </row>
    <row r="153" spans="1:16" s="40" customFormat="1" ht="18.75" customHeight="1">
      <c r="A153"/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  <c r="O153"/>
      <c r="P153" s="58"/>
    </row>
    <row r="154" spans="1:16" s="40" customFormat="1" ht="18.75" customHeight="1">
      <c r="A154"/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  <c r="O154"/>
      <c r="P154" s="58"/>
    </row>
    <row r="155" spans="1:16" s="40" customFormat="1" ht="18.75" customHeight="1">
      <c r="A155"/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  <c r="O155"/>
      <c r="P155" s="58"/>
    </row>
    <row r="156" spans="1:16" s="40" customFormat="1" ht="18.75" customHeight="1">
      <c r="A156"/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  <c r="O156"/>
      <c r="P156" s="58"/>
    </row>
    <row r="157" spans="1:16" s="40" customFormat="1" ht="18.75" customHeight="1">
      <c r="A157"/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  <c r="O157"/>
      <c r="P157" s="58"/>
    </row>
    <row r="158" spans="1:16" s="40" customFormat="1" ht="18.75" customHeight="1">
      <c r="A158"/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  <c r="O158"/>
      <c r="P158" s="58"/>
    </row>
    <row r="159" spans="1:16" s="40" customFormat="1" ht="18.75" customHeight="1">
      <c r="A159"/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  <c r="O159"/>
      <c r="P159" s="58"/>
    </row>
    <row r="160" spans="1:16" s="40" customFormat="1" ht="18.75" customHeight="1">
      <c r="A160"/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  <c r="O160"/>
      <c r="P160" s="58"/>
    </row>
    <row r="161" spans="1:16" s="40" customFormat="1" ht="18.75" customHeight="1">
      <c r="A161"/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  <c r="O161"/>
      <c r="P161" s="58"/>
    </row>
    <row r="162" spans="1:16" s="40" customFormat="1" ht="18.75" customHeight="1">
      <c r="A162"/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  <c r="O162"/>
      <c r="P162" s="58"/>
    </row>
    <row r="163" spans="1:16" s="40" customFormat="1" ht="18.75" customHeight="1">
      <c r="A163"/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  <c r="O163"/>
      <c r="P163" s="58"/>
    </row>
    <row r="164" spans="1:16" s="40" customFormat="1" ht="18.75" customHeight="1">
      <c r="A164"/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  <c r="O164"/>
      <c r="P164" s="58"/>
    </row>
    <row r="165" spans="1:16" s="40" customFormat="1" ht="18.75" customHeight="1">
      <c r="A165"/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  <c r="O165"/>
      <c r="P165" s="58"/>
    </row>
    <row r="166" spans="1:16" s="40" customFormat="1" ht="18.75" customHeight="1">
      <c r="A166"/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  <c r="O166"/>
      <c r="P166" s="58"/>
    </row>
    <row r="167" spans="1:16" s="40" customFormat="1" ht="18.75" customHeight="1">
      <c r="A167"/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  <c r="O167"/>
      <c r="P167" s="58"/>
    </row>
    <row r="168" spans="1:16" s="40" customFormat="1" ht="18.75" customHeight="1">
      <c r="A168"/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  <c r="O168"/>
      <c r="P168" s="58"/>
    </row>
    <row r="169" spans="1:16" s="40" customFormat="1" ht="18.75" customHeight="1">
      <c r="A169"/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  <c r="O169"/>
      <c r="P169" s="58"/>
    </row>
    <row r="170" spans="1:16" s="40" customFormat="1" ht="18.75" customHeight="1">
      <c r="A170"/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  <c r="O170"/>
      <c r="P170" s="58"/>
    </row>
    <row r="171" spans="1:16" s="40" customFormat="1" ht="18.75" customHeight="1">
      <c r="A171"/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  <c r="O171"/>
      <c r="P171" s="58"/>
    </row>
    <row r="172" spans="1:16" s="40" customFormat="1" ht="18.75" customHeight="1">
      <c r="A172"/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  <c r="O172"/>
      <c r="P172" s="58"/>
    </row>
    <row r="173" spans="1:16" s="40" customFormat="1" ht="18.75" customHeight="1">
      <c r="A173"/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  <c r="O173"/>
      <c r="P173" s="58"/>
    </row>
    <row r="174" spans="1:16" s="40" customFormat="1" ht="18.75" customHeight="1">
      <c r="A174"/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  <c r="O174"/>
      <c r="P174" s="58"/>
    </row>
    <row r="175" spans="1:16" s="40" customFormat="1" ht="18.75" customHeight="1">
      <c r="A175"/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  <c r="O175"/>
      <c r="P175" s="58"/>
    </row>
    <row r="176" spans="1:16" s="40" customFormat="1" ht="18.75" customHeight="1">
      <c r="A176"/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  <c r="O176"/>
      <c r="P176" s="58"/>
    </row>
    <row r="177" spans="1:16" s="40" customFormat="1" ht="18.75" customHeight="1">
      <c r="A177"/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  <c r="O177"/>
      <c r="P177" s="58"/>
    </row>
    <row r="178" spans="1:16" s="40" customFormat="1" ht="18.75" customHeight="1">
      <c r="A178"/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  <c r="O178"/>
      <c r="P178" s="58"/>
    </row>
    <row r="179" spans="1:16" s="40" customFormat="1" ht="18.75" customHeight="1">
      <c r="A179"/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  <c r="O179"/>
      <c r="P179" s="58"/>
    </row>
    <row r="180" spans="1:16" s="40" customFormat="1" ht="18.75" customHeight="1">
      <c r="A180"/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  <c r="O180"/>
      <c r="P180" s="58"/>
    </row>
    <row r="181" spans="1:16" s="40" customFormat="1" ht="18.75" customHeight="1">
      <c r="A181"/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  <c r="O181"/>
      <c r="P181" s="58"/>
    </row>
    <row r="182" spans="1:16" s="40" customFormat="1" ht="18.75" customHeight="1">
      <c r="A182"/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  <c r="O182"/>
      <c r="P182" s="58"/>
    </row>
    <row r="183" spans="1:16" s="40" customFormat="1" ht="18.75" customHeight="1">
      <c r="A183"/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  <c r="O183"/>
      <c r="P183" s="58"/>
    </row>
    <row r="184" spans="1:16" s="40" customFormat="1" ht="18.75" customHeight="1">
      <c r="A184"/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  <c r="O184"/>
      <c r="P184" s="58"/>
    </row>
    <row r="185" spans="1:16" s="40" customFormat="1" ht="18.75" customHeight="1">
      <c r="A185"/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  <c r="O185"/>
      <c r="P185" s="58"/>
    </row>
    <row r="186" spans="1:16" s="40" customFormat="1" ht="18.75" customHeight="1">
      <c r="A186"/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  <c r="O186"/>
      <c r="P186" s="58"/>
    </row>
    <row r="187" spans="1:16" s="40" customFormat="1" ht="18.75" customHeight="1">
      <c r="A187"/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  <c r="O187"/>
      <c r="P187" s="58"/>
    </row>
    <row r="188" spans="1:16" s="40" customFormat="1" ht="18.75" customHeight="1">
      <c r="A188"/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  <c r="O188"/>
      <c r="P188" s="58"/>
    </row>
    <row r="189" spans="1:16" s="40" customFormat="1" ht="18.75" customHeight="1">
      <c r="A189"/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  <c r="O189"/>
      <c r="P189" s="58"/>
    </row>
    <row r="190" spans="1:16" s="40" customFormat="1" ht="18.75" customHeight="1">
      <c r="A190"/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  <c r="O190"/>
      <c r="P190" s="58"/>
    </row>
    <row r="191" spans="1:16" s="40" customFormat="1" ht="18.75" customHeight="1">
      <c r="A191"/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  <c r="O191"/>
      <c r="P191" s="58"/>
    </row>
    <row r="192" spans="1:16" s="40" customFormat="1" ht="18.75" customHeight="1">
      <c r="A192"/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  <c r="O192"/>
      <c r="P192" s="58"/>
    </row>
    <row r="193" spans="1:16" s="40" customFormat="1" ht="18.75" customHeight="1">
      <c r="A193"/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  <c r="O193"/>
      <c r="P193" s="58"/>
    </row>
    <row r="194" spans="1:16" s="40" customFormat="1" ht="18.75" customHeight="1">
      <c r="A194"/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  <c r="O194"/>
      <c r="P194" s="58"/>
    </row>
    <row r="195" spans="1:16" s="40" customFormat="1" ht="18.75" customHeight="1">
      <c r="A195"/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  <c r="O195"/>
      <c r="P195" s="58"/>
    </row>
    <row r="196" spans="1:16" s="40" customFormat="1" ht="18.75" customHeight="1">
      <c r="A196"/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  <c r="O196"/>
      <c r="P196" s="58"/>
    </row>
    <row r="197" spans="1:16" s="40" customFormat="1" ht="18.75" customHeight="1">
      <c r="A197"/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  <c r="O197"/>
      <c r="P197" s="58"/>
    </row>
    <row r="198" spans="1:16" s="40" customFormat="1" ht="18.75" customHeight="1">
      <c r="A198"/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  <c r="O198"/>
      <c r="P198" s="58"/>
    </row>
    <row r="199" spans="1:16" s="40" customFormat="1" ht="18.75" customHeight="1">
      <c r="A199"/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  <c r="O199"/>
      <c r="P199" s="58"/>
    </row>
    <row r="200" spans="1:16" s="40" customFormat="1" ht="18.75" customHeight="1">
      <c r="A200"/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  <c r="O200"/>
      <c r="P200" s="58"/>
    </row>
    <row r="201" spans="1:16" s="40" customFormat="1" ht="18.75" customHeight="1">
      <c r="A201"/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  <c r="O201"/>
      <c r="P201" s="58"/>
    </row>
    <row r="202" spans="1:16" s="40" customFormat="1" ht="18.75" customHeight="1">
      <c r="A202"/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  <c r="O202"/>
      <c r="P202" s="58"/>
    </row>
    <row r="203" spans="1:16" s="40" customFormat="1" ht="18.75" customHeight="1">
      <c r="A203"/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  <c r="O203"/>
      <c r="P203" s="58"/>
    </row>
    <row r="204" spans="1:16" s="40" customFormat="1" ht="18.75" customHeight="1">
      <c r="A204"/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  <c r="O204"/>
      <c r="P204" s="58"/>
    </row>
    <row r="205" spans="1:16" s="40" customFormat="1" ht="18.75" customHeight="1">
      <c r="A205"/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  <c r="O205"/>
      <c r="P205" s="58"/>
    </row>
    <row r="206" spans="1:16" s="40" customFormat="1" ht="18.75" customHeight="1">
      <c r="A206"/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  <c r="O206"/>
      <c r="P206" s="58"/>
    </row>
    <row r="207" spans="1:16" s="40" customFormat="1" ht="18.75" customHeight="1">
      <c r="A207"/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  <c r="O207"/>
      <c r="P207" s="58"/>
    </row>
    <row r="208" spans="1:16" s="40" customFormat="1" ht="18.75" customHeight="1">
      <c r="A208"/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  <c r="O208"/>
      <c r="P208" s="58"/>
    </row>
    <row r="209" spans="1:16" s="40" customFormat="1" ht="18.75" customHeight="1">
      <c r="A209"/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  <c r="O209"/>
      <c r="P209" s="58"/>
    </row>
    <row r="210" spans="1:16" s="40" customFormat="1" ht="18.75" customHeight="1">
      <c r="A210"/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  <c r="O210"/>
      <c r="P210" s="58"/>
    </row>
    <row r="211" spans="1:16" s="40" customFormat="1" ht="18.75" customHeight="1">
      <c r="A211"/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  <c r="O211"/>
      <c r="P211" s="58"/>
    </row>
    <row r="212" spans="1:16" s="40" customFormat="1" ht="18.75" customHeight="1">
      <c r="A212"/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  <c r="O212"/>
      <c r="P212" s="58"/>
    </row>
    <row r="213" spans="1:16" s="40" customFormat="1" ht="18.75" customHeight="1">
      <c r="A213"/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  <c r="O213"/>
      <c r="P213" s="58"/>
    </row>
    <row r="214" spans="1:16" s="40" customFormat="1" ht="18.75" customHeight="1">
      <c r="A214"/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  <c r="O214"/>
      <c r="P214" s="58"/>
    </row>
    <row r="215" spans="1:16" s="40" customFormat="1" ht="18.75" customHeight="1">
      <c r="A215"/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  <c r="O215"/>
      <c r="P215" s="58"/>
    </row>
    <row r="216" spans="1:16" s="40" customFormat="1" ht="18.75" customHeight="1">
      <c r="A216"/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  <c r="O216"/>
      <c r="P216" s="58"/>
    </row>
    <row r="217" spans="1:16" s="40" customFormat="1" ht="18.75" customHeight="1">
      <c r="A217"/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  <c r="O217"/>
      <c r="P217" s="58"/>
    </row>
    <row r="218" spans="1:16" s="40" customFormat="1" ht="18.75" customHeight="1">
      <c r="A218"/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  <c r="O218"/>
      <c r="P218" s="58"/>
    </row>
    <row r="219" spans="1:16" s="40" customFormat="1" ht="18.75" customHeight="1">
      <c r="A219"/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  <c r="O219"/>
      <c r="P219" s="58"/>
    </row>
    <row r="220" spans="1:16" s="40" customFormat="1" ht="18.75" customHeight="1">
      <c r="A220"/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  <c r="O220"/>
      <c r="P220" s="58"/>
    </row>
    <row r="221" spans="1:16" s="40" customFormat="1" ht="18.75" customHeight="1">
      <c r="A221"/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  <c r="O221"/>
      <c r="P221" s="58"/>
    </row>
    <row r="222" spans="1:16" s="40" customFormat="1" ht="18.75" customHeight="1">
      <c r="A222"/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  <c r="O222"/>
      <c r="P222" s="58"/>
    </row>
    <row r="223" spans="1:16" s="40" customFormat="1" ht="18.75" customHeight="1">
      <c r="A223"/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  <c r="O223"/>
      <c r="P223" s="58"/>
    </row>
    <row r="224" spans="1:16" s="40" customFormat="1" ht="18.75" customHeight="1">
      <c r="A224"/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  <c r="O224"/>
      <c r="P224" s="58"/>
    </row>
    <row r="225" spans="1:16" s="40" customFormat="1" ht="18.75" customHeight="1">
      <c r="A225"/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  <c r="O225"/>
      <c r="P225" s="58"/>
    </row>
    <row r="226" spans="1:16" s="40" customFormat="1" ht="18.75" customHeight="1">
      <c r="A226"/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  <c r="O226"/>
      <c r="P226" s="58"/>
    </row>
    <row r="227" spans="1:16" s="40" customFormat="1" ht="18.75" customHeight="1">
      <c r="A227"/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  <c r="O227"/>
      <c r="P227" s="58"/>
    </row>
    <row r="228" spans="1:16" s="40" customFormat="1" ht="18.75" customHeight="1">
      <c r="A228"/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  <c r="O228"/>
      <c r="P228" s="58"/>
    </row>
    <row r="229" spans="1:16" s="40" customFormat="1" ht="18.75" customHeight="1">
      <c r="A229"/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  <c r="O229"/>
      <c r="P229" s="58"/>
    </row>
    <row r="230" spans="1:16" s="40" customFormat="1" ht="18.75" customHeight="1">
      <c r="A230"/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  <c r="O230"/>
      <c r="P230" s="58"/>
    </row>
    <row r="231" spans="1:16" s="40" customFormat="1" ht="18.75" customHeight="1">
      <c r="A231"/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  <c r="O231"/>
      <c r="P231" s="58"/>
    </row>
    <row r="232" spans="1:16" s="40" customFormat="1" ht="18.75" customHeight="1">
      <c r="A232"/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  <c r="O232"/>
      <c r="P232" s="58"/>
    </row>
    <row r="233" spans="1:16" s="40" customFormat="1" ht="18.75" customHeight="1">
      <c r="A233"/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  <c r="O233"/>
      <c r="P233" s="58"/>
    </row>
    <row r="234" spans="1:16" s="40" customFormat="1" ht="18.75" customHeight="1">
      <c r="A234"/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  <c r="O234"/>
      <c r="P234" s="58"/>
    </row>
    <row r="235" spans="1:16" s="40" customFormat="1" ht="18.75" customHeight="1">
      <c r="A235"/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  <c r="O235"/>
      <c r="P235" s="58"/>
    </row>
    <row r="236" spans="1:16" s="40" customFormat="1" ht="18.75" customHeight="1">
      <c r="A236"/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  <c r="O236"/>
      <c r="P236" s="58"/>
    </row>
    <row r="237" spans="1:16" s="40" customFormat="1" ht="18.75" customHeight="1">
      <c r="A237"/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  <c r="O237"/>
      <c r="P237" s="58"/>
    </row>
    <row r="238" spans="1:16" s="40" customFormat="1" ht="18.75" customHeight="1">
      <c r="A238"/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  <c r="O238"/>
      <c r="P238" s="58"/>
    </row>
    <row r="239" spans="1:16" s="40" customFormat="1" ht="18.75" customHeight="1">
      <c r="A239"/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  <c r="O239"/>
      <c r="P239" s="58"/>
    </row>
    <row r="240" spans="1:16" s="40" customFormat="1" ht="18.75" customHeight="1">
      <c r="A240"/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  <c r="O240"/>
      <c r="P240" s="58"/>
    </row>
    <row r="241" spans="1:16" s="40" customFormat="1" ht="18.75" customHeight="1">
      <c r="A241"/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  <c r="O241"/>
      <c r="P241" s="58"/>
    </row>
    <row r="242" spans="1:16" s="40" customFormat="1" ht="18.75" customHeight="1">
      <c r="A242"/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  <c r="O242"/>
      <c r="P242" s="58"/>
    </row>
    <row r="243" spans="1:16" s="40" customFormat="1" ht="18.75" customHeight="1">
      <c r="A243"/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  <c r="O243"/>
      <c r="P243" s="58"/>
    </row>
    <row r="244" spans="1:16" s="40" customFormat="1" ht="18.75" customHeight="1">
      <c r="A244"/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  <c r="O244"/>
      <c r="P244" s="58"/>
    </row>
    <row r="245" spans="1:16" s="40" customFormat="1" ht="18.75" customHeight="1">
      <c r="A245"/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  <c r="O245"/>
      <c r="P245" s="58"/>
    </row>
    <row r="246" spans="1:16" s="40" customFormat="1" ht="18.75" customHeight="1">
      <c r="A246"/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  <c r="O246"/>
      <c r="P246" s="58"/>
    </row>
    <row r="247" spans="1:16" s="40" customFormat="1" ht="18.75" customHeight="1">
      <c r="A247"/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  <c r="O247"/>
      <c r="P247" s="58"/>
    </row>
    <row r="248" spans="1:16" s="40" customFormat="1" ht="18.75" customHeight="1">
      <c r="A248"/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  <c r="O248"/>
      <c r="P248" s="58"/>
    </row>
    <row r="249" spans="1:16" s="40" customFormat="1" ht="18.75" customHeight="1">
      <c r="A249"/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  <c r="O249"/>
      <c r="P249" s="58"/>
    </row>
    <row r="250" spans="1:16" s="40" customFormat="1" ht="18.75" customHeight="1">
      <c r="A250"/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  <c r="O250"/>
      <c r="P250" s="58"/>
    </row>
    <row r="251" spans="1:16" s="40" customFormat="1" ht="18.75" customHeight="1">
      <c r="A251"/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  <c r="O251"/>
      <c r="P251" s="58"/>
    </row>
    <row r="252" spans="1:16" s="40" customFormat="1" ht="18.75" customHeight="1">
      <c r="A252"/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  <c r="O252"/>
      <c r="P252" s="58"/>
    </row>
    <row r="253" spans="1:16" s="40" customFormat="1" ht="18.75" customHeight="1">
      <c r="A253"/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  <c r="O253"/>
      <c r="P253" s="58"/>
    </row>
    <row r="254" spans="1:16" s="40" customFormat="1" ht="18.75" customHeight="1">
      <c r="A254"/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  <c r="O254"/>
      <c r="P254" s="58"/>
    </row>
    <row r="255" spans="1:16" s="40" customFormat="1" ht="18.75" customHeight="1">
      <c r="A255"/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  <c r="O255"/>
      <c r="P255" s="58"/>
    </row>
    <row r="256" spans="1:16" s="40" customFormat="1" ht="18.75" customHeight="1">
      <c r="A256"/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  <c r="O256"/>
      <c r="P256" s="58"/>
    </row>
    <row r="257" spans="1:16" s="40" customFormat="1" ht="18.75" customHeight="1">
      <c r="A257"/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  <c r="O257"/>
      <c r="P257" s="58"/>
    </row>
    <row r="258" spans="1:16" s="40" customFormat="1" ht="18.75" customHeight="1">
      <c r="A258"/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  <c r="O258"/>
      <c r="P258" s="58"/>
    </row>
    <row r="259" spans="1:16" s="40" customFormat="1" ht="18.75" customHeight="1">
      <c r="A259"/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  <c r="O259"/>
      <c r="P259" s="58"/>
    </row>
    <row r="260" spans="1:16" s="40" customFormat="1" ht="18.75" customHeight="1">
      <c r="A260"/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  <c r="O260"/>
      <c r="P260" s="58"/>
    </row>
    <row r="261" spans="1:16" s="40" customFormat="1" ht="18.75" customHeight="1">
      <c r="A261"/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  <c r="O261"/>
      <c r="P261" s="58"/>
    </row>
    <row r="262" spans="1:16" s="40" customFormat="1" ht="18.75" customHeight="1">
      <c r="A262"/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  <c r="O262"/>
      <c r="P262" s="58"/>
    </row>
    <row r="263" spans="1:16" s="40" customFormat="1" ht="18.75" customHeight="1">
      <c r="A263"/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  <c r="O263"/>
      <c r="P263" s="58"/>
    </row>
    <row r="264" spans="1:16" s="40" customFormat="1" ht="18.75" customHeight="1">
      <c r="A264"/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  <c r="O264"/>
      <c r="P264" s="58"/>
    </row>
    <row r="265" spans="1:16" s="40" customFormat="1" ht="18.75" customHeight="1">
      <c r="A265"/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  <c r="O265"/>
      <c r="P265" s="58"/>
    </row>
    <row r="266" spans="1:16" s="40" customFormat="1" ht="18.75" customHeight="1">
      <c r="A266"/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  <c r="O266"/>
      <c r="P266" s="58"/>
    </row>
    <row r="267" spans="1:16" s="40" customFormat="1" ht="18.75" customHeight="1">
      <c r="A267"/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  <c r="O267"/>
      <c r="P267" s="58"/>
    </row>
    <row r="268" spans="1:16" s="40" customFormat="1" ht="18.75" customHeight="1">
      <c r="A268"/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  <c r="O268"/>
      <c r="P268" s="58"/>
    </row>
    <row r="269" spans="1:16" s="40" customFormat="1" ht="18.75" customHeight="1">
      <c r="A269"/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  <c r="O269"/>
      <c r="P269" s="58"/>
    </row>
    <row r="270" spans="1:16" s="40" customFormat="1" ht="18.75" customHeight="1">
      <c r="A270"/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  <c r="O270"/>
      <c r="P270" s="58"/>
    </row>
    <row r="271" spans="1:16" s="40" customFormat="1" ht="18.75" customHeight="1">
      <c r="A271"/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  <c r="O271"/>
      <c r="P271" s="58"/>
    </row>
    <row r="272" spans="1:16" s="40" customFormat="1" ht="18.75" customHeight="1">
      <c r="A272"/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  <c r="O272"/>
      <c r="P272" s="58"/>
    </row>
    <row r="273" spans="1:16" s="40" customFormat="1" ht="18.75" customHeight="1">
      <c r="A273"/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  <c r="O273"/>
      <c r="P273" s="58"/>
    </row>
    <row r="274" spans="1:16" s="40" customFormat="1" ht="18.75" customHeight="1">
      <c r="A274"/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  <c r="O274"/>
      <c r="P274" s="58"/>
    </row>
    <row r="275" spans="1:16" s="40" customFormat="1" ht="18.75" customHeight="1">
      <c r="A275"/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  <c r="O275"/>
      <c r="P275" s="58"/>
    </row>
    <row r="276" spans="1:16" s="40" customFormat="1" ht="18.75" customHeight="1">
      <c r="A276"/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  <c r="O276"/>
      <c r="P276" s="58"/>
    </row>
    <row r="277" spans="1:16" s="40" customFormat="1" ht="18.75" customHeight="1">
      <c r="A277"/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  <c r="O277"/>
      <c r="P277" s="58"/>
    </row>
    <row r="278" spans="1:16" s="40" customFormat="1" ht="18.75" customHeight="1">
      <c r="A278"/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  <c r="O278"/>
      <c r="P278" s="58"/>
    </row>
    <row r="279" spans="1:16" s="40" customFormat="1" ht="18.75" customHeight="1">
      <c r="A279"/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  <c r="O279"/>
      <c r="P279" s="58"/>
    </row>
    <row r="280" spans="1:16" s="40" customFormat="1" ht="18.75" customHeight="1">
      <c r="A280"/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  <c r="O280"/>
      <c r="P280" s="58"/>
    </row>
    <row r="281" spans="1:16" s="40" customFormat="1" ht="18.75" customHeight="1">
      <c r="A281"/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  <c r="O281"/>
      <c r="P281" s="58"/>
    </row>
    <row r="282" spans="1:16" s="40" customFormat="1" ht="18.75" customHeight="1">
      <c r="A282"/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  <c r="O282"/>
      <c r="P282" s="58"/>
    </row>
    <row r="283" spans="1:16" s="40" customFormat="1" ht="18.75" customHeight="1">
      <c r="A283"/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  <c r="O283"/>
      <c r="P283" s="58"/>
    </row>
    <row r="284" spans="1:16" s="40" customFormat="1" ht="18.75" customHeight="1">
      <c r="A284"/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  <c r="O284"/>
      <c r="P284" s="58"/>
    </row>
    <row r="285" spans="1:16" s="40" customFormat="1" ht="18.75" customHeight="1">
      <c r="A285"/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  <c r="O285"/>
      <c r="P285" s="58"/>
    </row>
    <row r="286" spans="1:16" s="40" customFormat="1" ht="18.75" customHeight="1">
      <c r="A286"/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  <c r="O286"/>
      <c r="P286" s="58"/>
    </row>
    <row r="287" spans="1:16" s="40" customFormat="1" ht="18.75" customHeight="1">
      <c r="A287"/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  <c r="O287"/>
      <c r="P287" s="58"/>
    </row>
    <row r="288" spans="1:16" s="40" customFormat="1" ht="18.75" customHeight="1">
      <c r="A288"/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  <c r="O288"/>
      <c r="P288" s="58"/>
    </row>
    <row r="289" spans="1:16" s="40" customFormat="1" ht="18.75" customHeight="1">
      <c r="A289"/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  <c r="O289"/>
      <c r="P289" s="58"/>
    </row>
    <row r="290" spans="1:16" s="40" customFormat="1" ht="18.75" customHeight="1">
      <c r="A290"/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  <c r="O290"/>
      <c r="P290" s="58"/>
    </row>
    <row r="291" spans="1:16" s="40" customFormat="1" ht="18.75" customHeight="1">
      <c r="A291"/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  <c r="O291"/>
      <c r="P291" s="58"/>
    </row>
    <row r="292" spans="1:16" s="40" customFormat="1" ht="15.75" customHeight="1">
      <c r="A292"/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  <c r="O292"/>
      <c r="P292" s="58"/>
    </row>
    <row r="293" spans="1:16" s="40" customFormat="1" ht="15.75" customHeight="1">
      <c r="A293"/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  <c r="O293"/>
      <c r="P293" s="58"/>
    </row>
    <row r="294" spans="1:16" s="40" customFormat="1" ht="15.75" customHeight="1">
      <c r="A294"/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  <c r="O294"/>
      <c r="P294" s="58"/>
    </row>
    <row r="295" spans="1:16" s="40" customFormat="1" ht="15.75" customHeight="1">
      <c r="A295"/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  <c r="O295"/>
      <c r="P295" s="58"/>
    </row>
    <row r="296" spans="1:16" s="40" customFormat="1" ht="15.75" customHeight="1">
      <c r="A296"/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  <c r="O296"/>
      <c r="P296" s="58"/>
    </row>
    <row r="297" spans="1:16" s="40" customFormat="1" ht="15.75" customHeight="1">
      <c r="A297"/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  <c r="O297"/>
      <c r="P297" s="58"/>
    </row>
    <row r="298" spans="1:16" s="40" customFormat="1" ht="15.75" customHeight="1">
      <c r="A298"/>
      <c r="B298" s="26"/>
      <c r="C298" s="1"/>
      <c r="D298" s="20"/>
      <c r="E298" s="1"/>
      <c r="F298" s="1"/>
      <c r="G298" s="32"/>
      <c r="H298" s="2"/>
      <c r="I298" s="2"/>
      <c r="J298" s="60"/>
      <c r="K298" s="2"/>
      <c r="L298" s="34"/>
      <c r="M298" s="34"/>
      <c r="O298"/>
      <c r="P298" s="58"/>
    </row>
    <row r="299" spans="1:16" s="40" customFormat="1" ht="15.75" customHeight="1">
      <c r="A299"/>
      <c r="B299" s="26"/>
      <c r="C299" s="1"/>
      <c r="D299" s="20"/>
      <c r="E299" s="1"/>
      <c r="F299" s="1"/>
      <c r="G299" s="32"/>
      <c r="H299" s="2"/>
      <c r="I299" s="2"/>
      <c r="J299" s="60"/>
      <c r="K299" s="2"/>
      <c r="L299" s="34"/>
      <c r="M299" s="34"/>
      <c r="O299"/>
      <c r="P299" s="58"/>
    </row>
    <row r="300" spans="1:16" s="40" customFormat="1" ht="15.75" customHeight="1">
      <c r="A300"/>
      <c r="B300" s="26"/>
      <c r="C300" s="1"/>
      <c r="D300" s="20"/>
      <c r="E300" s="1"/>
      <c r="F300" s="1"/>
      <c r="G300" s="32"/>
      <c r="H300" s="2"/>
      <c r="I300" s="2"/>
      <c r="J300" s="60"/>
      <c r="K300" s="2"/>
      <c r="L300" s="34"/>
      <c r="M300" s="34"/>
      <c r="O300"/>
      <c r="P300" s="58"/>
    </row>
    <row r="301" spans="1:16" s="40" customFormat="1" ht="15.75" customHeight="1">
      <c r="A301"/>
      <c r="B301" s="26"/>
      <c r="C301" s="1"/>
      <c r="D301" s="20"/>
      <c r="E301" s="1"/>
      <c r="F301" s="1"/>
      <c r="G301" s="32"/>
      <c r="H301" s="2"/>
      <c r="I301" s="2"/>
      <c r="J301" s="60"/>
      <c r="K301" s="2"/>
      <c r="L301" s="34"/>
      <c r="M301" s="34"/>
      <c r="O301"/>
      <c r="P301" s="58"/>
    </row>
    <row r="302" spans="1:16" s="40" customFormat="1" ht="15.75" customHeight="1">
      <c r="A302"/>
      <c r="B302" s="26"/>
      <c r="C302" s="1"/>
      <c r="D302" s="20"/>
      <c r="E302" s="1"/>
      <c r="F302" s="1"/>
      <c r="G302" s="32"/>
      <c r="H302" s="2"/>
      <c r="I302" s="2"/>
      <c r="J302" s="60"/>
      <c r="K302" s="2"/>
      <c r="L302" s="34"/>
      <c r="M302" s="34"/>
      <c r="O302"/>
      <c r="P302" s="58"/>
    </row>
    <row r="303" spans="1:16" s="40" customFormat="1" ht="15.75" customHeight="1">
      <c r="A303"/>
      <c r="B303" s="26"/>
      <c r="C303" s="1"/>
      <c r="D303" s="20"/>
      <c r="E303" s="1"/>
      <c r="F303" s="1"/>
      <c r="G303" s="32"/>
      <c r="H303" s="2"/>
      <c r="I303" s="2"/>
      <c r="J303" s="60"/>
      <c r="K303" s="2"/>
      <c r="L303" s="34"/>
      <c r="M303" s="34"/>
      <c r="O303"/>
      <c r="P303" s="58"/>
    </row>
    <row r="304" spans="1:16" s="40" customFormat="1" ht="15.75" customHeight="1">
      <c r="A304"/>
      <c r="B304" s="26"/>
      <c r="C304" s="1"/>
      <c r="D304" s="20"/>
      <c r="E304" s="1"/>
      <c r="F304" s="1"/>
      <c r="G304" s="32"/>
      <c r="H304" s="2"/>
      <c r="I304" s="2"/>
      <c r="J304" s="60"/>
      <c r="K304" s="2"/>
      <c r="L304" s="34"/>
      <c r="M304" s="34"/>
      <c r="O304"/>
      <c r="P304" s="58"/>
    </row>
    <row r="305" spans="1:16" s="40" customFormat="1" ht="15.75" customHeight="1">
      <c r="A305"/>
      <c r="B305" s="26"/>
      <c r="C305" s="1"/>
      <c r="D305" s="20"/>
      <c r="E305" s="1"/>
      <c r="F305" s="1"/>
      <c r="G305" s="32"/>
      <c r="H305" s="2"/>
      <c r="I305" s="2"/>
      <c r="J305" s="60"/>
      <c r="K305" s="2"/>
      <c r="L305" s="34"/>
      <c r="M305" s="34"/>
      <c r="O305"/>
      <c r="P305" s="58"/>
    </row>
    <row r="306" spans="1:16" s="40" customFormat="1" ht="15.75" customHeight="1">
      <c r="A306"/>
      <c r="B306" s="26"/>
      <c r="C306" s="1"/>
      <c r="D306" s="20"/>
      <c r="E306" s="1"/>
      <c r="F306" s="1"/>
      <c r="G306" s="32"/>
      <c r="H306" s="2"/>
      <c r="I306" s="2"/>
      <c r="J306" s="60"/>
      <c r="K306" s="2"/>
      <c r="L306" s="34"/>
      <c r="M306" s="34"/>
      <c r="O306"/>
      <c r="P306" s="58"/>
    </row>
    <row r="307" spans="1:16" s="40" customFormat="1" ht="15.75" customHeight="1">
      <c r="A307"/>
      <c r="B307" s="26"/>
      <c r="C307" s="1"/>
      <c r="D307" s="20"/>
      <c r="E307" s="1"/>
      <c r="F307" s="1"/>
      <c r="G307" s="32"/>
      <c r="H307" s="2"/>
      <c r="I307" s="2"/>
      <c r="J307" s="60"/>
      <c r="K307" s="2"/>
      <c r="L307" s="34"/>
      <c r="M307" s="34"/>
      <c r="O307"/>
      <c r="P307" s="58"/>
    </row>
    <row r="308" spans="1:16" s="40" customFormat="1" ht="15.75" customHeight="1">
      <c r="A308"/>
      <c r="B308" s="26"/>
      <c r="C308" s="1"/>
      <c r="D308" s="20"/>
      <c r="E308" s="1"/>
      <c r="F308" s="1"/>
      <c r="G308" s="32"/>
      <c r="H308" s="2"/>
      <c r="I308" s="2"/>
      <c r="J308" s="60"/>
      <c r="K308" s="2"/>
      <c r="L308" s="34"/>
      <c r="M308" s="34"/>
      <c r="O308"/>
      <c r="P308" s="58"/>
    </row>
    <row r="309" spans="1:16" s="40" customFormat="1" ht="15.75" customHeight="1">
      <c r="A309"/>
      <c r="B309" s="26"/>
      <c r="C309" s="1"/>
      <c r="D309" s="20"/>
      <c r="E309" s="1"/>
      <c r="F309" s="1"/>
      <c r="G309" s="32"/>
      <c r="H309" s="2"/>
      <c r="I309" s="2"/>
      <c r="J309" s="60"/>
      <c r="K309" s="2"/>
      <c r="L309" s="34"/>
      <c r="M309" s="34"/>
      <c r="O309"/>
      <c r="P309" s="58"/>
    </row>
    <row r="310" spans="1:16" s="40" customFormat="1" ht="15.75" customHeight="1">
      <c r="A310"/>
      <c r="B310" s="26"/>
      <c r="C310" s="1"/>
      <c r="D310" s="20"/>
      <c r="E310" s="1"/>
      <c r="F310" s="1"/>
      <c r="G310" s="32"/>
      <c r="H310" s="2"/>
      <c r="I310" s="2"/>
      <c r="J310" s="60"/>
      <c r="K310" s="2"/>
      <c r="L310" s="34"/>
      <c r="M310" s="34"/>
      <c r="O310"/>
      <c r="P310" s="58"/>
    </row>
    <row r="311" spans="1:16" s="40" customFormat="1" ht="15.75" customHeight="1">
      <c r="A311"/>
      <c r="B311" s="26"/>
      <c r="C311" s="1"/>
      <c r="D311" s="20"/>
      <c r="E311" s="1"/>
      <c r="F311" s="1"/>
      <c r="G311" s="32"/>
      <c r="H311" s="2"/>
      <c r="I311" s="2"/>
      <c r="J311" s="60"/>
      <c r="K311" s="2"/>
      <c r="L311" s="34"/>
      <c r="M311" s="34"/>
      <c r="O311"/>
      <c r="P311" s="58"/>
    </row>
    <row r="312" spans="1:16" s="40" customFormat="1" ht="15.75" customHeight="1">
      <c r="A312"/>
      <c r="B312" s="26"/>
      <c r="C312" s="1"/>
      <c r="D312" s="20"/>
      <c r="E312" s="1"/>
      <c r="F312" s="1"/>
      <c r="G312" s="32"/>
      <c r="H312" s="2"/>
      <c r="I312" s="2"/>
      <c r="J312" s="60"/>
      <c r="K312" s="2"/>
      <c r="L312" s="34"/>
      <c r="M312" s="34"/>
      <c r="O312"/>
      <c r="P312" s="58"/>
    </row>
    <row r="313" spans="1:16" s="40" customFormat="1" ht="15.75" customHeight="1">
      <c r="A313"/>
      <c r="B313" s="26"/>
      <c r="C313" s="1"/>
      <c r="D313" s="20"/>
      <c r="E313" s="1"/>
      <c r="F313" s="1"/>
      <c r="G313" s="32"/>
      <c r="H313" s="2"/>
      <c r="I313" s="2"/>
      <c r="J313" s="60"/>
      <c r="K313" s="2"/>
      <c r="L313" s="34"/>
      <c r="M313" s="34"/>
      <c r="O313"/>
      <c r="P313" s="58"/>
    </row>
    <row r="314" spans="1:16" s="40" customFormat="1" ht="15.75" customHeight="1">
      <c r="A314"/>
      <c r="B314" s="26"/>
      <c r="C314" s="1"/>
      <c r="D314" s="20"/>
      <c r="E314" s="1"/>
      <c r="F314" s="1"/>
      <c r="G314" s="32"/>
      <c r="H314" s="2"/>
      <c r="I314" s="2"/>
      <c r="J314" s="60"/>
      <c r="K314" s="2"/>
      <c r="L314" s="34"/>
      <c r="M314" s="34"/>
      <c r="O314"/>
      <c r="P314" s="58"/>
    </row>
    <row r="315" spans="1:16" s="40" customFormat="1" ht="15.75" customHeight="1">
      <c r="A315"/>
      <c r="B315" s="26"/>
      <c r="C315" s="1"/>
      <c r="D315" s="20"/>
      <c r="E315" s="1"/>
      <c r="F315" s="1"/>
      <c r="G315" s="32"/>
      <c r="H315" s="2"/>
      <c r="I315" s="2"/>
      <c r="J315" s="60"/>
      <c r="K315" s="2"/>
      <c r="L315" s="34"/>
      <c r="M315" s="34"/>
      <c r="O315"/>
      <c r="P315" s="58"/>
    </row>
    <row r="316" spans="1:16" s="40" customFormat="1" ht="15.75" customHeight="1">
      <c r="A316"/>
      <c r="B316" s="26"/>
      <c r="C316" s="1"/>
      <c r="D316" s="20"/>
      <c r="E316" s="1"/>
      <c r="F316" s="1"/>
      <c r="G316" s="32"/>
      <c r="H316" s="2"/>
      <c r="I316" s="2"/>
      <c r="J316" s="60"/>
      <c r="K316" s="2"/>
      <c r="L316" s="34"/>
      <c r="M316" s="34"/>
      <c r="O316"/>
      <c r="P316" s="58"/>
    </row>
    <row r="317" spans="1:16" s="40" customFormat="1" ht="15.75" customHeight="1">
      <c r="A317"/>
      <c r="B317" s="26"/>
      <c r="C317" s="1"/>
      <c r="D317" s="20"/>
      <c r="E317" s="1"/>
      <c r="F317" s="1"/>
      <c r="G317" s="32"/>
      <c r="H317" s="2"/>
      <c r="I317" s="2"/>
      <c r="J317" s="60"/>
      <c r="K317" s="2"/>
      <c r="L317" s="34"/>
      <c r="M317" s="34"/>
      <c r="O317"/>
      <c r="P317" s="58"/>
    </row>
    <row r="318" spans="1:16" s="40" customFormat="1" ht="15.75" customHeight="1">
      <c r="A318"/>
      <c r="B318" s="26"/>
      <c r="C318" s="1"/>
      <c r="D318" s="20"/>
      <c r="E318" s="1"/>
      <c r="F318" s="1"/>
      <c r="G318" s="32"/>
      <c r="H318" s="2"/>
      <c r="I318" s="2"/>
      <c r="J318" s="60"/>
      <c r="K318" s="2"/>
      <c r="L318" s="34"/>
      <c r="M318" s="34"/>
      <c r="O318"/>
      <c r="P318" s="58"/>
    </row>
    <row r="319" spans="1:16" s="40" customFormat="1" ht="15.75" customHeight="1">
      <c r="A319"/>
      <c r="B319" s="26"/>
      <c r="C319" s="1"/>
      <c r="D319" s="20"/>
      <c r="E319" s="1"/>
      <c r="F319" s="1"/>
      <c r="G319" s="32"/>
      <c r="H319" s="2"/>
      <c r="I319" s="2"/>
      <c r="J319" s="60"/>
      <c r="K319" s="2"/>
      <c r="L319" s="34"/>
      <c r="M319" s="34"/>
      <c r="O319"/>
      <c r="P319" s="58"/>
    </row>
    <row r="320" spans="1:16" s="40" customFormat="1" ht="15.75" customHeight="1">
      <c r="A320"/>
      <c r="B320" s="26"/>
      <c r="C320" s="1"/>
      <c r="D320" s="20"/>
      <c r="E320" s="1"/>
      <c r="F320" s="1"/>
      <c r="G320" s="32"/>
      <c r="H320" s="2"/>
      <c r="I320" s="2"/>
      <c r="J320" s="60"/>
      <c r="K320" s="2"/>
      <c r="L320" s="34"/>
      <c r="M320" s="34"/>
      <c r="O320"/>
      <c r="P320" s="58"/>
    </row>
    <row r="321" spans="1:23" s="40" customFormat="1" ht="15.75" customHeight="1">
      <c r="A321"/>
      <c r="B321" s="26"/>
      <c r="C321" s="1"/>
      <c r="D321" s="20"/>
      <c r="E321" s="1"/>
      <c r="F321" s="1"/>
      <c r="G321" s="32"/>
      <c r="H321" s="2"/>
      <c r="I321" s="2"/>
      <c r="J321" s="60"/>
      <c r="K321" s="2"/>
      <c r="L321" s="34"/>
      <c r="M321" s="34"/>
      <c r="O321"/>
      <c r="P321" s="58"/>
    </row>
    <row r="322" spans="1:23" s="40" customFormat="1" ht="15.75" customHeight="1">
      <c r="A322"/>
      <c r="B322" s="26"/>
      <c r="C322" s="1"/>
      <c r="D322" s="20"/>
      <c r="E322" s="1"/>
      <c r="F322" s="1"/>
      <c r="G322" s="32"/>
      <c r="H322" s="2"/>
      <c r="I322" s="2"/>
      <c r="J322" s="60"/>
      <c r="K322" s="2"/>
      <c r="L322" s="34"/>
      <c r="M322" s="34"/>
      <c r="O322"/>
      <c r="P322" s="58"/>
    </row>
    <row r="323" spans="1:23" s="40" customFormat="1" ht="15.75" customHeight="1">
      <c r="A323"/>
      <c r="B323" s="26"/>
      <c r="C323" s="1"/>
      <c r="D323" s="20"/>
      <c r="E323" s="1"/>
      <c r="F323" s="1"/>
      <c r="G323" s="32"/>
      <c r="H323" s="2"/>
      <c r="I323" s="2"/>
      <c r="J323" s="60"/>
      <c r="K323" s="2"/>
      <c r="L323" s="34"/>
      <c r="M323" s="34"/>
      <c r="O323"/>
      <c r="P323" s="58"/>
    </row>
    <row r="324" spans="1:23" s="40" customFormat="1" ht="15.75" customHeight="1">
      <c r="A324"/>
      <c r="B324" s="26"/>
      <c r="C324" s="1"/>
      <c r="D324" s="20"/>
      <c r="E324" s="1"/>
      <c r="F324" s="1"/>
      <c r="G324" s="32"/>
      <c r="H324" s="2"/>
      <c r="I324" s="2"/>
      <c r="J324" s="60"/>
      <c r="K324" s="2"/>
      <c r="L324" s="34"/>
      <c r="M324" s="34"/>
      <c r="O324"/>
      <c r="P324" s="58"/>
    </row>
    <row r="325" spans="1:23" s="40" customFormat="1" ht="15.75" customHeight="1">
      <c r="A325"/>
      <c r="B325" s="26"/>
      <c r="C325" s="1"/>
      <c r="D325" s="20"/>
      <c r="E325" s="1"/>
      <c r="F325" s="1"/>
      <c r="G325" s="32"/>
      <c r="H325" s="2"/>
      <c r="I325" s="2"/>
      <c r="J325" s="60"/>
      <c r="K325" s="2"/>
      <c r="L325" s="34"/>
      <c r="M325" s="34"/>
      <c r="O325"/>
      <c r="P325" s="58"/>
    </row>
    <row r="326" spans="1:23" s="40" customFormat="1" ht="15.75" customHeight="1">
      <c r="A326"/>
      <c r="B326" s="26"/>
      <c r="C326" s="1"/>
      <c r="D326" s="20"/>
      <c r="E326" s="1"/>
      <c r="F326" s="1"/>
      <c r="G326" s="32"/>
      <c r="H326" s="2"/>
      <c r="I326" s="2"/>
      <c r="J326" s="60"/>
      <c r="K326" s="2"/>
      <c r="L326" s="34"/>
      <c r="M326" s="34"/>
      <c r="O326"/>
      <c r="P326" s="58"/>
    </row>
    <row r="327" spans="1:23" s="40" customFormat="1" ht="15.75" customHeight="1">
      <c r="A327"/>
      <c r="B327" s="26"/>
      <c r="C327" s="1"/>
      <c r="D327" s="20"/>
      <c r="E327" s="1"/>
      <c r="F327" s="1"/>
      <c r="G327" s="32"/>
      <c r="H327" s="2"/>
      <c r="I327" s="2"/>
      <c r="J327" s="60"/>
      <c r="K327" s="2"/>
      <c r="L327" s="34"/>
      <c r="M327" s="34"/>
      <c r="O327"/>
      <c r="P327" s="58"/>
    </row>
    <row r="328" spans="1:23" s="40" customFormat="1" ht="15.75" customHeight="1">
      <c r="A328"/>
      <c r="B328" s="26"/>
      <c r="C328" s="1"/>
      <c r="D328" s="20"/>
      <c r="E328" s="1"/>
      <c r="F328" s="1"/>
      <c r="G328" s="32"/>
      <c r="H328" s="2"/>
      <c r="I328" s="2"/>
      <c r="J328" s="60"/>
      <c r="K328" s="2"/>
      <c r="L328" s="34"/>
      <c r="M328" s="34"/>
      <c r="O328"/>
      <c r="P328" s="58"/>
    </row>
    <row r="329" spans="1:23" s="40" customFormat="1" ht="15.75" customHeight="1">
      <c r="A329"/>
      <c r="B329" s="26"/>
      <c r="C329" s="1"/>
      <c r="D329" s="20"/>
      <c r="E329" s="1"/>
      <c r="F329" s="1"/>
      <c r="G329" s="32"/>
      <c r="H329" s="2"/>
      <c r="I329" s="2"/>
      <c r="J329" s="60"/>
      <c r="K329" s="2"/>
      <c r="L329" s="34"/>
      <c r="M329" s="34"/>
      <c r="O329"/>
      <c r="P329" s="58"/>
    </row>
    <row r="330" spans="1:23" s="40" customFormat="1" ht="15.75" customHeight="1">
      <c r="A330"/>
      <c r="B330" s="26"/>
      <c r="C330" s="1"/>
      <c r="D330" s="20"/>
      <c r="E330" s="1"/>
      <c r="F330" s="1"/>
      <c r="G330" s="32"/>
      <c r="H330" s="2"/>
      <c r="I330" s="2"/>
      <c r="J330" s="60"/>
      <c r="K330" s="2"/>
      <c r="L330" s="34"/>
      <c r="M330" s="34"/>
      <c r="O330"/>
      <c r="P330" s="58"/>
    </row>
    <row r="331" spans="1:23" s="40" customFormat="1" ht="15.75" customHeight="1">
      <c r="A331"/>
      <c r="B331" s="31"/>
      <c r="C331"/>
      <c r="D331" s="25"/>
      <c r="E331"/>
      <c r="F331"/>
      <c r="G331" s="33"/>
      <c r="H331"/>
      <c r="I331"/>
      <c r="J331" s="65"/>
      <c r="K331"/>
      <c r="O331"/>
      <c r="P331" s="58"/>
      <c r="R331"/>
      <c r="S331"/>
      <c r="T331"/>
      <c r="U331"/>
      <c r="V331"/>
      <c r="W331"/>
    </row>
    <row r="332" spans="1:23" s="40" customFormat="1" ht="15.75" customHeight="1">
      <c r="A332"/>
      <c r="B332" s="31"/>
      <c r="C332"/>
      <c r="D332" s="25"/>
      <c r="E332"/>
      <c r="F332"/>
      <c r="G332" s="33"/>
      <c r="H332"/>
      <c r="I332"/>
      <c r="J332" s="65"/>
      <c r="K332"/>
      <c r="O332"/>
      <c r="P332" s="58"/>
      <c r="R332"/>
      <c r="S332"/>
      <c r="T332"/>
      <c r="U332"/>
      <c r="V332"/>
      <c r="W332"/>
    </row>
    <row r="333" spans="1:23" s="40" customFormat="1" ht="15.75" customHeight="1">
      <c r="A333"/>
      <c r="B333" s="31"/>
      <c r="C333"/>
      <c r="D333" s="25"/>
      <c r="E333"/>
      <c r="F333"/>
      <c r="G333" s="33"/>
      <c r="H333"/>
      <c r="I333"/>
      <c r="J333" s="65"/>
      <c r="K333"/>
      <c r="O333"/>
      <c r="P333" s="58"/>
      <c r="R333"/>
      <c r="S333"/>
      <c r="T333"/>
      <c r="U333"/>
      <c r="V333"/>
      <c r="W333"/>
    </row>
    <row r="334" spans="1:23" s="40" customFormat="1" ht="15.75" customHeight="1">
      <c r="A334"/>
      <c r="B334" s="31"/>
      <c r="C334"/>
      <c r="D334" s="25"/>
      <c r="E334"/>
      <c r="F334"/>
      <c r="G334" s="33"/>
      <c r="H334"/>
      <c r="I334"/>
      <c r="J334" s="65"/>
      <c r="K334"/>
      <c r="O334"/>
      <c r="P334" s="58"/>
      <c r="R334"/>
      <c r="S334"/>
      <c r="T334"/>
      <c r="U334"/>
      <c r="V334"/>
      <c r="W334"/>
    </row>
    <row r="335" spans="1:23" s="40" customFormat="1" ht="15.75" customHeight="1">
      <c r="A335"/>
      <c r="B335" s="31"/>
      <c r="C335"/>
      <c r="D335" s="25"/>
      <c r="E335"/>
      <c r="F335"/>
      <c r="G335" s="33"/>
      <c r="H335"/>
      <c r="I335"/>
      <c r="J335" s="65"/>
      <c r="K335"/>
      <c r="O335"/>
      <c r="P335" s="58"/>
      <c r="R335"/>
      <c r="S335"/>
      <c r="T335"/>
      <c r="U335"/>
      <c r="V335"/>
      <c r="W335"/>
    </row>
    <row r="336" spans="1:23" s="40" customFormat="1" ht="15.75" customHeight="1">
      <c r="A336"/>
      <c r="B336" s="31"/>
      <c r="C336"/>
      <c r="D336" s="25"/>
      <c r="E336"/>
      <c r="F336"/>
      <c r="G336" s="33"/>
      <c r="H336"/>
      <c r="I336"/>
      <c r="J336" s="65"/>
      <c r="K336"/>
      <c r="O336"/>
      <c r="P336" s="58"/>
      <c r="R336"/>
      <c r="S336"/>
      <c r="T336"/>
      <c r="U336"/>
      <c r="V336"/>
      <c r="W336"/>
    </row>
    <row r="337" spans="1:23" s="40" customFormat="1" ht="15.75" customHeight="1">
      <c r="A337"/>
      <c r="B337" s="31"/>
      <c r="C337"/>
      <c r="D337" s="25"/>
      <c r="E337"/>
      <c r="F337"/>
      <c r="G337" s="33"/>
      <c r="H337"/>
      <c r="I337"/>
      <c r="J337" s="65"/>
      <c r="K337"/>
      <c r="O337"/>
      <c r="P337" s="58"/>
      <c r="R337"/>
      <c r="S337"/>
      <c r="T337"/>
      <c r="U337"/>
      <c r="V337"/>
      <c r="W337"/>
    </row>
    <row r="338" spans="1:23" s="40" customFormat="1" ht="15.75" customHeight="1">
      <c r="A338"/>
      <c r="B338" s="31"/>
      <c r="C338"/>
      <c r="D338" s="25"/>
      <c r="E338"/>
      <c r="F338"/>
      <c r="G338" s="33"/>
      <c r="H338"/>
      <c r="I338"/>
      <c r="J338" s="65"/>
      <c r="K338"/>
      <c r="O338"/>
      <c r="P338" s="58"/>
      <c r="R338"/>
      <c r="S338"/>
      <c r="T338"/>
      <c r="U338"/>
      <c r="V338"/>
      <c r="W338"/>
    </row>
    <row r="339" spans="1:23" s="40" customFormat="1" ht="15.75" customHeight="1">
      <c r="A339"/>
      <c r="B339" s="31"/>
      <c r="C339"/>
      <c r="D339" s="25"/>
      <c r="E339"/>
      <c r="F339"/>
      <c r="G339" s="33"/>
      <c r="H339"/>
      <c r="I339"/>
      <c r="J339" s="65"/>
      <c r="K339"/>
      <c r="O339"/>
      <c r="P339" s="58"/>
      <c r="R339"/>
      <c r="S339"/>
      <c r="T339"/>
      <c r="U339"/>
      <c r="V339"/>
      <c r="W339"/>
    </row>
    <row r="340" spans="1:23" s="40" customFormat="1" ht="15.75" customHeight="1">
      <c r="A340"/>
      <c r="B340" s="31"/>
      <c r="C340"/>
      <c r="D340" s="25"/>
      <c r="E340"/>
      <c r="F340"/>
      <c r="G340" s="33"/>
      <c r="H340"/>
      <c r="I340"/>
      <c r="J340" s="65"/>
      <c r="K340"/>
      <c r="O340"/>
      <c r="P340" s="58"/>
      <c r="R340"/>
      <c r="S340"/>
      <c r="T340"/>
      <c r="U340"/>
      <c r="V340"/>
      <c r="W340"/>
    </row>
    <row r="341" spans="1:23" s="40" customFormat="1" ht="15.75" customHeight="1">
      <c r="A341"/>
      <c r="B341" s="31"/>
      <c r="C341"/>
      <c r="D341" s="25"/>
      <c r="E341"/>
      <c r="F341"/>
      <c r="G341" s="33"/>
      <c r="H341"/>
      <c r="I341"/>
      <c r="J341" s="65"/>
      <c r="K341"/>
      <c r="O341"/>
      <c r="P341" s="58"/>
      <c r="R341"/>
      <c r="S341"/>
      <c r="T341"/>
      <c r="U341"/>
      <c r="V341"/>
      <c r="W341"/>
    </row>
    <row r="342" spans="1:23" ht="15.75" customHeight="1"/>
    <row r="343" spans="1:23" ht="15.75" customHeight="1"/>
    <row r="344" spans="1:23" ht="15.75" customHeight="1"/>
    <row r="345" spans="1:23" ht="15.75" customHeight="1"/>
    <row r="346" spans="1:23" ht="15.75" customHeight="1"/>
    <row r="347" spans="1:23" ht="15.75" customHeight="1"/>
    <row r="348" spans="1:23" ht="15.75" customHeight="1"/>
    <row r="349" spans="1:23" ht="15.75" customHeight="1"/>
    <row r="350" spans="1:23" ht="15.75" customHeight="1"/>
    <row r="351" spans="1:23" ht="15.75" customHeight="1"/>
    <row r="352" spans="1:23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honeticPr fontId="5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1CCA-7BD7-4D9D-8F48-392158A2D551}">
  <dimension ref="A1:Q974"/>
  <sheetViews>
    <sheetView zoomScale="80" zoomScaleNormal="80" workbookViewId="0">
      <pane ySplit="2" topLeftCell="A31" activePane="bottomLeft" state="frozen"/>
      <selection pane="bottomLeft" activeCell="G1" sqref="G1"/>
      <selection activeCell="G1" sqref="G1"/>
    </sheetView>
  </sheetViews>
  <sheetFormatPr defaultColWidth="14.42578125" defaultRowHeight="15" customHeight="1"/>
  <cols>
    <col min="1" max="1" width="21.28515625" bestFit="1" customWidth="1"/>
    <col min="2" max="2" width="13.42578125" style="31" bestFit="1" customWidth="1"/>
    <col min="3" max="3" width="11.28515625" bestFit="1" customWidth="1"/>
    <col min="4" max="4" width="14.5703125" style="25" customWidth="1"/>
    <col min="5" max="5" width="36.85546875" customWidth="1"/>
    <col min="6" max="6" width="13.42578125" bestFit="1" customWidth="1"/>
    <col min="7" max="7" width="95.7109375" style="33" customWidth="1"/>
    <col min="8" max="8" width="12.7109375" bestFit="1" customWidth="1"/>
    <col min="9" max="9" width="10.28515625" bestFit="1" customWidth="1"/>
    <col min="10" max="10" width="9.140625" style="65" bestFit="1" customWidth="1"/>
    <col min="11" max="11" width="7" customWidth="1"/>
    <col min="12" max="13" width="17.42578125" style="40" bestFit="1" customWidth="1"/>
    <col min="14" max="14" width="7.7109375" style="40" customWidth="1"/>
    <col min="15" max="15" width="16.85546875" customWidth="1"/>
    <col min="16" max="16" width="23.28515625" style="58" bestFit="1" customWidth="1"/>
    <col min="17" max="17" width="13" style="40" bestFit="1" customWidth="1"/>
  </cols>
  <sheetData>
    <row r="1" spans="1:17" ht="18.75" customHeight="1">
      <c r="A1" s="13" t="s">
        <v>761</v>
      </c>
      <c r="B1" s="26"/>
      <c r="C1" s="1"/>
      <c r="D1" s="20"/>
      <c r="E1" s="1"/>
      <c r="F1" s="1"/>
      <c r="G1" s="32"/>
      <c r="H1" s="2"/>
      <c r="I1" s="2"/>
      <c r="J1" s="60"/>
      <c r="K1" s="2"/>
      <c r="L1" s="34"/>
      <c r="M1" s="34"/>
    </row>
    <row r="2" spans="1:17" ht="18.75" customHeight="1">
      <c r="A2" s="3" t="s">
        <v>1</v>
      </c>
      <c r="B2" s="27" t="s">
        <v>2</v>
      </c>
      <c r="C2" s="3" t="s">
        <v>3</v>
      </c>
      <c r="D2" s="21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61" t="s">
        <v>10</v>
      </c>
      <c r="K2" s="4" t="s">
        <v>11</v>
      </c>
      <c r="L2" s="35" t="s">
        <v>12</v>
      </c>
      <c r="M2" s="41" t="s">
        <v>13</v>
      </c>
      <c r="N2" s="52" t="s">
        <v>14</v>
      </c>
      <c r="O2" s="47" t="s">
        <v>15</v>
      </c>
      <c r="P2" s="57" t="s">
        <v>16</v>
      </c>
      <c r="Q2" s="66" t="s">
        <v>762</v>
      </c>
    </row>
    <row r="3" spans="1:17" ht="18.75" customHeight="1">
      <c r="A3" s="5">
        <v>990314</v>
      </c>
      <c r="B3" s="28">
        <v>119235</v>
      </c>
      <c r="C3" s="5" t="s">
        <v>59</v>
      </c>
      <c r="D3" s="22">
        <v>45744.518750000003</v>
      </c>
      <c r="E3" s="17" t="s">
        <v>22</v>
      </c>
      <c r="F3" s="5" t="s">
        <v>162</v>
      </c>
      <c r="G3" s="17" t="s">
        <v>459</v>
      </c>
      <c r="H3" s="6">
        <v>9000</v>
      </c>
      <c r="I3" s="6">
        <v>1</v>
      </c>
      <c r="J3" s="62">
        <v>2</v>
      </c>
      <c r="K3" s="6" t="s">
        <v>56</v>
      </c>
      <c r="L3" s="36">
        <v>18000</v>
      </c>
      <c r="M3" s="42">
        <v>19800</v>
      </c>
      <c r="N3" s="56">
        <v>2000</v>
      </c>
      <c r="O3" s="48" t="s">
        <v>763</v>
      </c>
      <c r="P3" s="59" t="s">
        <v>764</v>
      </c>
      <c r="Q3" s="97">
        <f>(M3+N3*1.1)/(I3*J3)</f>
        <v>11000</v>
      </c>
    </row>
    <row r="4" spans="1:17" ht="18.75" customHeight="1">
      <c r="A4" s="5">
        <v>988742</v>
      </c>
      <c r="B4" s="28">
        <v>119038</v>
      </c>
      <c r="C4" s="5" t="s">
        <v>59</v>
      </c>
      <c r="D4" s="22">
        <v>45741.923611111109</v>
      </c>
      <c r="E4" s="17" t="s">
        <v>22</v>
      </c>
      <c r="F4" s="5" t="s">
        <v>765</v>
      </c>
      <c r="G4" s="17" t="s">
        <v>766</v>
      </c>
      <c r="H4" s="6">
        <v>120</v>
      </c>
      <c r="I4" s="6">
        <v>50</v>
      </c>
      <c r="J4" s="62">
        <v>10</v>
      </c>
      <c r="K4" s="6" t="s">
        <v>107</v>
      </c>
      <c r="L4" s="36">
        <v>60000</v>
      </c>
      <c r="M4" s="42">
        <v>66000</v>
      </c>
      <c r="N4" s="53">
        <v>1080</v>
      </c>
      <c r="O4" s="48" t="s">
        <v>626</v>
      </c>
      <c r="P4" s="51">
        <v>45717</v>
      </c>
      <c r="Q4" s="97">
        <f t="shared" ref="Q4:Q42" si="0">(M4+N4*1.1)/(I4*J4)</f>
        <v>134.376</v>
      </c>
    </row>
    <row r="5" spans="1:17" ht="18.75" customHeight="1">
      <c r="A5" s="5">
        <v>988479</v>
      </c>
      <c r="B5" s="28">
        <v>118981</v>
      </c>
      <c r="C5" s="5" t="s">
        <v>53</v>
      </c>
      <c r="D5" s="22">
        <v>45741.729166666664</v>
      </c>
      <c r="E5" s="17" t="s">
        <v>23</v>
      </c>
      <c r="F5" s="5" t="s">
        <v>482</v>
      </c>
      <c r="G5" s="17" t="s">
        <v>483</v>
      </c>
      <c r="H5" s="6">
        <v>150</v>
      </c>
      <c r="I5" s="6">
        <v>240</v>
      </c>
      <c r="J5" s="62">
        <v>1</v>
      </c>
      <c r="K5" s="6" t="s">
        <v>56</v>
      </c>
      <c r="L5" s="36">
        <v>36000</v>
      </c>
      <c r="M5" s="42">
        <v>39600</v>
      </c>
      <c r="N5" s="53">
        <v>0</v>
      </c>
      <c r="O5" s="48" t="s">
        <v>71</v>
      </c>
      <c r="P5" s="51" t="s">
        <v>485</v>
      </c>
      <c r="Q5" s="97">
        <f t="shared" si="0"/>
        <v>165</v>
      </c>
    </row>
    <row r="6" spans="1:17" ht="18.75" customHeight="1">
      <c r="A6" s="5">
        <v>988480</v>
      </c>
      <c r="B6" s="28">
        <v>118981</v>
      </c>
      <c r="C6" s="5" t="s">
        <v>53</v>
      </c>
      <c r="D6" s="22">
        <v>45741.729166666664</v>
      </c>
      <c r="E6" s="17" t="s">
        <v>23</v>
      </c>
      <c r="F6" s="5" t="s">
        <v>578</v>
      </c>
      <c r="G6" s="17" t="s">
        <v>579</v>
      </c>
      <c r="H6" s="6">
        <v>170</v>
      </c>
      <c r="I6" s="6">
        <v>264</v>
      </c>
      <c r="J6" s="62">
        <v>1</v>
      </c>
      <c r="K6" s="6" t="s">
        <v>56</v>
      </c>
      <c r="L6" s="36">
        <v>44880</v>
      </c>
      <c r="M6" s="42">
        <v>49368</v>
      </c>
      <c r="N6" s="53">
        <v>0</v>
      </c>
      <c r="O6" s="48" t="s">
        <v>71</v>
      </c>
      <c r="P6" s="51" t="s">
        <v>581</v>
      </c>
      <c r="Q6" s="97">
        <f t="shared" si="0"/>
        <v>187</v>
      </c>
    </row>
    <row r="7" spans="1:17" ht="18.75" customHeight="1">
      <c r="A7" s="5">
        <v>988481</v>
      </c>
      <c r="B7" s="28">
        <v>118981</v>
      </c>
      <c r="C7" s="5" t="s">
        <v>53</v>
      </c>
      <c r="D7" s="22">
        <v>45741.729166666664</v>
      </c>
      <c r="E7" s="17" t="s">
        <v>23</v>
      </c>
      <c r="F7" s="5" t="s">
        <v>323</v>
      </c>
      <c r="G7" s="17" t="s">
        <v>324</v>
      </c>
      <c r="H7" s="6">
        <v>350</v>
      </c>
      <c r="I7" s="6">
        <v>162</v>
      </c>
      <c r="J7" s="62">
        <v>1</v>
      </c>
      <c r="K7" s="6" t="s">
        <v>56</v>
      </c>
      <c r="L7" s="36">
        <v>56700</v>
      </c>
      <c r="M7" s="42">
        <v>62370</v>
      </c>
      <c r="N7" s="53">
        <v>0</v>
      </c>
      <c r="O7" s="48" t="s">
        <v>71</v>
      </c>
      <c r="P7" s="51" t="s">
        <v>326</v>
      </c>
      <c r="Q7" s="97">
        <f t="shared" si="0"/>
        <v>385</v>
      </c>
    </row>
    <row r="8" spans="1:17" ht="18.75" customHeight="1">
      <c r="A8" s="5">
        <v>988477</v>
      </c>
      <c r="B8" s="28">
        <v>118980</v>
      </c>
      <c r="C8" s="5" t="s">
        <v>59</v>
      </c>
      <c r="D8" s="22">
        <v>45741.729166666664</v>
      </c>
      <c r="E8" s="17" t="s">
        <v>19</v>
      </c>
      <c r="F8" s="5" t="s">
        <v>323</v>
      </c>
      <c r="G8" s="17" t="s">
        <v>324</v>
      </c>
      <c r="H8" s="6">
        <v>350</v>
      </c>
      <c r="I8" s="6">
        <v>162</v>
      </c>
      <c r="J8" s="62">
        <v>1</v>
      </c>
      <c r="K8" s="6" t="s">
        <v>56</v>
      </c>
      <c r="L8" s="36">
        <v>56700</v>
      </c>
      <c r="M8" s="42">
        <v>62370</v>
      </c>
      <c r="N8" s="53">
        <v>0</v>
      </c>
      <c r="O8" s="48" t="s">
        <v>767</v>
      </c>
      <c r="P8" s="51" t="s">
        <v>326</v>
      </c>
      <c r="Q8" s="97">
        <f t="shared" si="0"/>
        <v>385</v>
      </c>
    </row>
    <row r="9" spans="1:17" ht="18.75" customHeight="1">
      <c r="A9" s="5">
        <v>988476</v>
      </c>
      <c r="B9" s="28">
        <v>118980</v>
      </c>
      <c r="C9" s="5" t="s">
        <v>53</v>
      </c>
      <c r="D9" s="22">
        <v>45741.729166666664</v>
      </c>
      <c r="E9" s="17" t="s">
        <v>19</v>
      </c>
      <c r="F9" s="5" t="s">
        <v>578</v>
      </c>
      <c r="G9" s="17" t="s">
        <v>579</v>
      </c>
      <c r="H9" s="6">
        <v>170</v>
      </c>
      <c r="I9" s="6">
        <v>264</v>
      </c>
      <c r="J9" s="62">
        <v>1</v>
      </c>
      <c r="K9" s="6" t="s">
        <v>56</v>
      </c>
      <c r="L9" s="36">
        <v>44880</v>
      </c>
      <c r="M9" s="42">
        <v>49368</v>
      </c>
      <c r="N9" s="53">
        <v>0</v>
      </c>
      <c r="O9" s="48" t="s">
        <v>71</v>
      </c>
      <c r="P9" s="51" t="s">
        <v>581</v>
      </c>
      <c r="Q9" s="97">
        <f t="shared" si="0"/>
        <v>187</v>
      </c>
    </row>
    <row r="10" spans="1:17" ht="18.75" customHeight="1">
      <c r="A10" s="5">
        <v>988475</v>
      </c>
      <c r="B10" s="28">
        <v>118980</v>
      </c>
      <c r="C10" s="5" t="s">
        <v>53</v>
      </c>
      <c r="D10" s="22">
        <v>45741.729166666664</v>
      </c>
      <c r="E10" s="17" t="s">
        <v>19</v>
      </c>
      <c r="F10" s="5" t="s">
        <v>482</v>
      </c>
      <c r="G10" s="17" t="s">
        <v>483</v>
      </c>
      <c r="H10" s="6">
        <v>150</v>
      </c>
      <c r="I10" s="6">
        <v>240</v>
      </c>
      <c r="J10" s="62">
        <v>1</v>
      </c>
      <c r="K10" s="6" t="s">
        <v>56</v>
      </c>
      <c r="L10" s="36">
        <v>36000</v>
      </c>
      <c r="M10" s="42">
        <v>39600</v>
      </c>
      <c r="N10" s="53">
        <v>0</v>
      </c>
      <c r="O10" s="48" t="s">
        <v>71</v>
      </c>
      <c r="P10" s="51" t="s">
        <v>485</v>
      </c>
      <c r="Q10" s="97">
        <f t="shared" si="0"/>
        <v>165</v>
      </c>
    </row>
    <row r="11" spans="1:17" ht="18.75" customHeight="1">
      <c r="A11" s="5">
        <v>988472</v>
      </c>
      <c r="B11" s="28">
        <v>118978</v>
      </c>
      <c r="C11" s="5" t="s">
        <v>59</v>
      </c>
      <c r="D11" s="22">
        <v>45741.728472222225</v>
      </c>
      <c r="E11" s="17" t="s">
        <v>22</v>
      </c>
      <c r="F11" s="5" t="s">
        <v>323</v>
      </c>
      <c r="G11" s="17" t="s">
        <v>324</v>
      </c>
      <c r="H11" s="6">
        <v>350</v>
      </c>
      <c r="I11" s="6">
        <v>162</v>
      </c>
      <c r="J11" s="62">
        <v>1</v>
      </c>
      <c r="K11" s="6" t="s">
        <v>56</v>
      </c>
      <c r="L11" s="36">
        <v>56700</v>
      </c>
      <c r="M11" s="42">
        <v>62370</v>
      </c>
      <c r="N11" s="53">
        <v>0</v>
      </c>
      <c r="O11" s="48" t="s">
        <v>767</v>
      </c>
      <c r="P11" s="51" t="s">
        <v>326</v>
      </c>
      <c r="Q11" s="97">
        <f t="shared" si="0"/>
        <v>385</v>
      </c>
    </row>
    <row r="12" spans="1:17" ht="18.75" customHeight="1">
      <c r="A12" s="5">
        <v>988470</v>
      </c>
      <c r="B12" s="28">
        <v>118978</v>
      </c>
      <c r="C12" s="5" t="s">
        <v>53</v>
      </c>
      <c r="D12" s="22">
        <v>45741.728472222225</v>
      </c>
      <c r="E12" s="17" t="s">
        <v>22</v>
      </c>
      <c r="F12" s="5" t="s">
        <v>578</v>
      </c>
      <c r="G12" s="17" t="s">
        <v>579</v>
      </c>
      <c r="H12" s="6">
        <v>170</v>
      </c>
      <c r="I12" s="6">
        <v>264</v>
      </c>
      <c r="J12" s="62">
        <v>1</v>
      </c>
      <c r="K12" s="6" t="s">
        <v>56</v>
      </c>
      <c r="L12" s="36">
        <v>44880</v>
      </c>
      <c r="M12" s="42">
        <v>49368</v>
      </c>
      <c r="N12" s="53">
        <v>0</v>
      </c>
      <c r="O12" s="48" t="s">
        <v>71</v>
      </c>
      <c r="P12" s="51" t="s">
        <v>581</v>
      </c>
      <c r="Q12" s="97">
        <f t="shared" si="0"/>
        <v>187</v>
      </c>
    </row>
    <row r="13" spans="1:17" ht="18.75" customHeight="1">
      <c r="A13" s="5">
        <v>988469</v>
      </c>
      <c r="B13" s="28">
        <v>118978</v>
      </c>
      <c r="C13" s="5" t="s">
        <v>53</v>
      </c>
      <c r="D13" s="22">
        <v>45741.728472222225</v>
      </c>
      <c r="E13" s="17" t="s">
        <v>22</v>
      </c>
      <c r="F13" s="5" t="s">
        <v>482</v>
      </c>
      <c r="G13" s="17" t="s">
        <v>483</v>
      </c>
      <c r="H13" s="6">
        <v>150</v>
      </c>
      <c r="I13" s="6">
        <v>240</v>
      </c>
      <c r="J13" s="62">
        <v>1</v>
      </c>
      <c r="K13" s="6" t="s">
        <v>56</v>
      </c>
      <c r="L13" s="36">
        <v>36000</v>
      </c>
      <c r="M13" s="42">
        <v>39600</v>
      </c>
      <c r="N13" s="53">
        <v>0</v>
      </c>
      <c r="O13" s="48" t="s">
        <v>71</v>
      </c>
      <c r="P13" s="51" t="s">
        <v>485</v>
      </c>
      <c r="Q13" s="97">
        <f t="shared" si="0"/>
        <v>165</v>
      </c>
    </row>
    <row r="14" spans="1:17" ht="18.75" customHeight="1">
      <c r="A14" s="5">
        <v>986809</v>
      </c>
      <c r="B14" s="28">
        <v>118725</v>
      </c>
      <c r="C14" s="5" t="s">
        <v>59</v>
      </c>
      <c r="D14" s="22">
        <v>45740.395138888889</v>
      </c>
      <c r="E14" s="17" t="s">
        <v>22</v>
      </c>
      <c r="F14" s="5" t="s">
        <v>304</v>
      </c>
      <c r="G14" s="17" t="s">
        <v>768</v>
      </c>
      <c r="H14" s="6">
        <v>8000</v>
      </c>
      <c r="I14" s="6">
        <v>1</v>
      </c>
      <c r="J14" s="62">
        <v>1</v>
      </c>
      <c r="K14" s="6" t="s">
        <v>56</v>
      </c>
      <c r="L14" s="36">
        <v>8000</v>
      </c>
      <c r="M14" s="42">
        <v>8800</v>
      </c>
      <c r="N14" s="53">
        <v>1000</v>
      </c>
      <c r="O14" s="48" t="s">
        <v>769</v>
      </c>
      <c r="P14" s="51" t="s">
        <v>764</v>
      </c>
      <c r="Q14" s="97">
        <f t="shared" si="0"/>
        <v>9900</v>
      </c>
    </row>
    <row r="15" spans="1:17" ht="18.75" customHeight="1">
      <c r="A15" s="5">
        <v>984066</v>
      </c>
      <c r="B15" s="28">
        <v>118363</v>
      </c>
      <c r="C15" s="5" t="s">
        <v>59</v>
      </c>
      <c r="D15" s="22">
        <v>45736.796527777777</v>
      </c>
      <c r="E15" s="17" t="s">
        <v>122</v>
      </c>
      <c r="F15" s="5" t="s">
        <v>196</v>
      </c>
      <c r="G15" s="17" t="s">
        <v>770</v>
      </c>
      <c r="H15" s="6">
        <v>9000</v>
      </c>
      <c r="I15" s="6">
        <v>1</v>
      </c>
      <c r="J15" s="62">
        <v>1</v>
      </c>
      <c r="K15" s="6" t="s">
        <v>56</v>
      </c>
      <c r="L15" s="36">
        <v>9000</v>
      </c>
      <c r="M15" s="42">
        <v>9900</v>
      </c>
      <c r="N15" s="53">
        <v>1000</v>
      </c>
      <c r="O15" s="48" t="s">
        <v>771</v>
      </c>
      <c r="P15" s="51" t="s">
        <v>764</v>
      </c>
      <c r="Q15" s="97">
        <f t="shared" si="0"/>
        <v>11000</v>
      </c>
    </row>
    <row r="16" spans="1:17" ht="18.75" customHeight="1">
      <c r="A16" s="5">
        <v>984065</v>
      </c>
      <c r="B16" s="28">
        <v>118363</v>
      </c>
      <c r="C16" s="5" t="s">
        <v>59</v>
      </c>
      <c r="D16" s="22">
        <v>45736.796527777777</v>
      </c>
      <c r="E16" s="17" t="s">
        <v>122</v>
      </c>
      <c r="F16" s="5" t="s">
        <v>162</v>
      </c>
      <c r="G16" s="17" t="s">
        <v>459</v>
      </c>
      <c r="H16" s="6">
        <v>9000</v>
      </c>
      <c r="I16" s="6">
        <v>1</v>
      </c>
      <c r="J16" s="62">
        <v>1</v>
      </c>
      <c r="K16" s="6" t="s">
        <v>56</v>
      </c>
      <c r="L16" s="36">
        <v>9000</v>
      </c>
      <c r="M16" s="42">
        <v>9900</v>
      </c>
      <c r="N16" s="53">
        <v>1000</v>
      </c>
      <c r="O16" s="48" t="s">
        <v>771</v>
      </c>
      <c r="P16" s="51" t="s">
        <v>764</v>
      </c>
      <c r="Q16" s="97">
        <f t="shared" si="0"/>
        <v>11000</v>
      </c>
    </row>
    <row r="17" spans="1:17" ht="18.75" customHeight="1">
      <c r="A17" s="5">
        <v>977794</v>
      </c>
      <c r="B17" s="28">
        <v>117505</v>
      </c>
      <c r="C17" s="5" t="s">
        <v>59</v>
      </c>
      <c r="D17" s="22">
        <v>45733.862500000003</v>
      </c>
      <c r="E17" s="17" t="s">
        <v>19</v>
      </c>
      <c r="F17" s="5" t="s">
        <v>772</v>
      </c>
      <c r="G17" s="17" t="s">
        <v>773</v>
      </c>
      <c r="H17" s="6">
        <v>889</v>
      </c>
      <c r="I17" s="6">
        <v>60</v>
      </c>
      <c r="J17" s="62">
        <v>0.5</v>
      </c>
      <c r="K17" s="6" t="s">
        <v>56</v>
      </c>
      <c r="L17" s="36">
        <v>26670</v>
      </c>
      <c r="M17" s="42">
        <v>29337</v>
      </c>
      <c r="N17" s="53">
        <v>1000</v>
      </c>
      <c r="O17" s="48" t="s">
        <v>71</v>
      </c>
      <c r="P17" s="51" t="s">
        <v>774</v>
      </c>
      <c r="Q17" s="97">
        <f t="shared" si="0"/>
        <v>1014.5666666666667</v>
      </c>
    </row>
    <row r="18" spans="1:17" ht="18.75" customHeight="1">
      <c r="A18" s="5">
        <v>977389</v>
      </c>
      <c r="B18" s="28">
        <v>117454</v>
      </c>
      <c r="C18" s="5" t="s">
        <v>59</v>
      </c>
      <c r="D18" s="22">
        <v>45728.675694444442</v>
      </c>
      <c r="E18" s="17" t="s">
        <v>19</v>
      </c>
      <c r="F18" s="5" t="s">
        <v>208</v>
      </c>
      <c r="G18" s="17" t="s">
        <v>775</v>
      </c>
      <c r="H18" s="6">
        <v>61000</v>
      </c>
      <c r="I18" s="6">
        <v>1</v>
      </c>
      <c r="J18" s="62">
        <v>1</v>
      </c>
      <c r="K18" s="6" t="s">
        <v>56</v>
      </c>
      <c r="L18" s="36">
        <v>61000</v>
      </c>
      <c r="M18" s="42">
        <v>67100</v>
      </c>
      <c r="N18" s="53">
        <v>0</v>
      </c>
      <c r="O18" s="48" t="s">
        <v>776</v>
      </c>
      <c r="P18" s="51" t="s">
        <v>764</v>
      </c>
      <c r="Q18" s="97">
        <f t="shared" si="0"/>
        <v>67100</v>
      </c>
    </row>
    <row r="19" spans="1:17" ht="18.75" customHeight="1">
      <c r="A19" s="5">
        <v>977387</v>
      </c>
      <c r="B19" s="28">
        <v>117454</v>
      </c>
      <c r="C19" s="5" t="s">
        <v>59</v>
      </c>
      <c r="D19" s="22">
        <v>45728.675694444442</v>
      </c>
      <c r="E19" s="17" t="s">
        <v>19</v>
      </c>
      <c r="F19" s="5" t="s">
        <v>777</v>
      </c>
      <c r="G19" s="17" t="s">
        <v>778</v>
      </c>
      <c r="H19" s="6">
        <v>63500</v>
      </c>
      <c r="I19" s="6">
        <v>1</v>
      </c>
      <c r="J19" s="62">
        <v>1</v>
      </c>
      <c r="K19" s="6" t="s">
        <v>56</v>
      </c>
      <c r="L19" s="36">
        <v>63500</v>
      </c>
      <c r="M19" s="42">
        <v>69850</v>
      </c>
      <c r="N19" s="53">
        <v>0</v>
      </c>
      <c r="O19" s="48" t="s">
        <v>776</v>
      </c>
      <c r="P19" s="51" t="s">
        <v>764</v>
      </c>
      <c r="Q19" s="97">
        <f t="shared" si="0"/>
        <v>69850</v>
      </c>
    </row>
    <row r="20" spans="1:17" ht="18.75" customHeight="1">
      <c r="A20" s="5">
        <v>971163</v>
      </c>
      <c r="B20" s="28">
        <v>116846</v>
      </c>
      <c r="C20" s="5" t="s">
        <v>59</v>
      </c>
      <c r="D20" s="22">
        <v>45723.598611111112</v>
      </c>
      <c r="E20" s="17" t="s">
        <v>22</v>
      </c>
      <c r="F20" s="5" t="s">
        <v>779</v>
      </c>
      <c r="G20" s="17" t="s">
        <v>780</v>
      </c>
      <c r="H20" s="6">
        <v>365</v>
      </c>
      <c r="I20" s="6">
        <v>168</v>
      </c>
      <c r="J20" s="62">
        <v>1</v>
      </c>
      <c r="K20" s="6" t="s">
        <v>56</v>
      </c>
      <c r="L20" s="36">
        <v>61320</v>
      </c>
      <c r="M20" s="42">
        <v>67452</v>
      </c>
      <c r="N20" s="53">
        <v>0</v>
      </c>
      <c r="O20" s="48" t="s">
        <v>781</v>
      </c>
      <c r="P20" s="51" t="s">
        <v>782</v>
      </c>
      <c r="Q20" s="97">
        <f t="shared" si="0"/>
        <v>401.5</v>
      </c>
    </row>
    <row r="21" spans="1:17" ht="18.75" customHeight="1">
      <c r="A21" s="5">
        <v>971030</v>
      </c>
      <c r="B21" s="28">
        <v>116842</v>
      </c>
      <c r="C21" s="5" t="s">
        <v>59</v>
      </c>
      <c r="D21" s="22">
        <v>45723.490277777775</v>
      </c>
      <c r="E21" s="17" t="s">
        <v>19</v>
      </c>
      <c r="F21" s="5" t="s">
        <v>162</v>
      </c>
      <c r="G21" s="17" t="s">
        <v>459</v>
      </c>
      <c r="H21" s="6">
        <v>9000</v>
      </c>
      <c r="I21" s="6">
        <v>1</v>
      </c>
      <c r="J21" s="62">
        <v>8</v>
      </c>
      <c r="K21" s="6" t="s">
        <v>56</v>
      </c>
      <c r="L21" s="36">
        <v>72000</v>
      </c>
      <c r="M21" s="42">
        <v>79200</v>
      </c>
      <c r="N21" s="53">
        <v>8000</v>
      </c>
      <c r="O21" s="48" t="s">
        <v>781</v>
      </c>
      <c r="P21" s="51" t="s">
        <v>764</v>
      </c>
      <c r="Q21" s="97">
        <f t="shared" si="0"/>
        <v>11000</v>
      </c>
    </row>
    <row r="22" spans="1:17" ht="18.75" customHeight="1">
      <c r="A22" s="5">
        <v>962706</v>
      </c>
      <c r="B22" s="28">
        <v>116398</v>
      </c>
      <c r="C22" s="5" t="s">
        <v>59</v>
      </c>
      <c r="D22" s="22">
        <v>45719.952777777777</v>
      </c>
      <c r="E22" s="17" t="s">
        <v>22</v>
      </c>
      <c r="F22" s="5" t="s">
        <v>783</v>
      </c>
      <c r="G22" s="17" t="s">
        <v>784</v>
      </c>
      <c r="H22" s="6">
        <v>390</v>
      </c>
      <c r="I22" s="6">
        <v>120</v>
      </c>
      <c r="J22" s="62">
        <v>1</v>
      </c>
      <c r="K22" s="6" t="s">
        <v>56</v>
      </c>
      <c r="L22" s="36">
        <v>46800</v>
      </c>
      <c r="M22" s="42">
        <v>51480</v>
      </c>
      <c r="N22" s="53">
        <v>0</v>
      </c>
      <c r="O22" s="48" t="s">
        <v>785</v>
      </c>
      <c r="P22" s="51" t="s">
        <v>504</v>
      </c>
      <c r="Q22" s="97">
        <f t="shared" si="0"/>
        <v>429</v>
      </c>
    </row>
    <row r="23" spans="1:17" ht="18.75" customHeight="1">
      <c r="A23" s="5">
        <v>962699</v>
      </c>
      <c r="B23" s="28">
        <v>116398</v>
      </c>
      <c r="C23" s="5" t="s">
        <v>59</v>
      </c>
      <c r="D23" s="22">
        <v>45719.952777777777</v>
      </c>
      <c r="E23" s="17" t="s">
        <v>22</v>
      </c>
      <c r="F23" s="5" t="s">
        <v>786</v>
      </c>
      <c r="G23" s="17" t="s">
        <v>787</v>
      </c>
      <c r="H23" s="6">
        <v>90</v>
      </c>
      <c r="I23" s="6">
        <v>624</v>
      </c>
      <c r="J23" s="62">
        <v>0.5</v>
      </c>
      <c r="K23" s="6" t="s">
        <v>56</v>
      </c>
      <c r="L23" s="36">
        <v>28080</v>
      </c>
      <c r="M23" s="42">
        <v>30888</v>
      </c>
      <c r="N23" s="53">
        <v>1000</v>
      </c>
      <c r="O23" s="48" t="s">
        <v>785</v>
      </c>
      <c r="P23" s="51" t="s">
        <v>764</v>
      </c>
      <c r="Q23" s="97">
        <f t="shared" si="0"/>
        <v>102.52564102564102</v>
      </c>
    </row>
    <row r="24" spans="1:17" ht="18.75" customHeight="1">
      <c r="A24" s="5">
        <v>960945</v>
      </c>
      <c r="B24" s="28">
        <v>116312</v>
      </c>
      <c r="C24" s="5" t="s">
        <v>59</v>
      </c>
      <c r="D24" s="22">
        <v>45719.448611111111</v>
      </c>
      <c r="E24" s="17" t="s">
        <v>23</v>
      </c>
      <c r="F24" s="5" t="s">
        <v>788</v>
      </c>
      <c r="G24" s="17" t="s">
        <v>789</v>
      </c>
      <c r="H24" s="6">
        <v>330</v>
      </c>
      <c r="I24" s="6">
        <v>120</v>
      </c>
      <c r="J24" s="62">
        <v>1</v>
      </c>
      <c r="K24" s="6" t="s">
        <v>56</v>
      </c>
      <c r="L24" s="36">
        <v>39600</v>
      </c>
      <c r="M24" s="42">
        <v>43560</v>
      </c>
      <c r="N24" s="53">
        <v>0</v>
      </c>
      <c r="O24" s="48" t="s">
        <v>790</v>
      </c>
      <c r="P24" s="51" t="s">
        <v>478</v>
      </c>
      <c r="Q24" s="97">
        <f t="shared" si="0"/>
        <v>363</v>
      </c>
    </row>
    <row r="25" spans="1:17" ht="18.75" customHeight="1">
      <c r="A25" s="5">
        <v>960944</v>
      </c>
      <c r="B25" s="28">
        <v>116311</v>
      </c>
      <c r="C25" s="5" t="s">
        <v>59</v>
      </c>
      <c r="D25" s="22">
        <v>45719.448611111111</v>
      </c>
      <c r="E25" s="17" t="s">
        <v>19</v>
      </c>
      <c r="F25" s="5" t="s">
        <v>788</v>
      </c>
      <c r="G25" s="17" t="s">
        <v>789</v>
      </c>
      <c r="H25" s="6">
        <v>330</v>
      </c>
      <c r="I25" s="6">
        <v>120</v>
      </c>
      <c r="J25" s="62">
        <v>1</v>
      </c>
      <c r="K25" s="6" t="s">
        <v>56</v>
      </c>
      <c r="L25" s="36">
        <v>39600</v>
      </c>
      <c r="M25" s="42">
        <v>43560</v>
      </c>
      <c r="N25" s="53">
        <v>0</v>
      </c>
      <c r="O25" s="48" t="s">
        <v>790</v>
      </c>
      <c r="P25" s="51" t="s">
        <v>478</v>
      </c>
      <c r="Q25" s="97">
        <f t="shared" si="0"/>
        <v>363</v>
      </c>
    </row>
    <row r="26" spans="1:17" ht="18.75" customHeight="1">
      <c r="A26" s="5">
        <v>960804</v>
      </c>
      <c r="B26" s="28">
        <v>116289</v>
      </c>
      <c r="C26" s="5" t="s">
        <v>59</v>
      </c>
      <c r="D26" s="22">
        <v>45719.443055555559</v>
      </c>
      <c r="E26" s="17" t="s">
        <v>22</v>
      </c>
      <c r="F26" s="5" t="s">
        <v>600</v>
      </c>
      <c r="G26" s="17" t="s">
        <v>601</v>
      </c>
      <c r="H26" s="6">
        <v>690</v>
      </c>
      <c r="I26" s="6">
        <v>72</v>
      </c>
      <c r="J26" s="62">
        <v>1</v>
      </c>
      <c r="K26" s="6" t="s">
        <v>56</v>
      </c>
      <c r="L26" s="37">
        <v>49680</v>
      </c>
      <c r="M26" s="43">
        <v>54648</v>
      </c>
      <c r="N26" s="54">
        <v>0</v>
      </c>
      <c r="O26" s="48" t="s">
        <v>791</v>
      </c>
      <c r="P26" s="51" t="s">
        <v>603</v>
      </c>
      <c r="Q26" s="97">
        <f t="shared" si="0"/>
        <v>759</v>
      </c>
    </row>
    <row r="27" spans="1:17" ht="18.75" customHeight="1">
      <c r="A27" s="5">
        <v>960805</v>
      </c>
      <c r="B27" s="28">
        <v>116289</v>
      </c>
      <c r="C27" s="5" t="s">
        <v>59</v>
      </c>
      <c r="D27" s="22">
        <v>45719.443055555559</v>
      </c>
      <c r="E27" s="17" t="s">
        <v>22</v>
      </c>
      <c r="F27" s="5" t="s">
        <v>792</v>
      </c>
      <c r="G27" s="17" t="s">
        <v>793</v>
      </c>
      <c r="H27" s="6">
        <v>690</v>
      </c>
      <c r="I27" s="6">
        <v>72</v>
      </c>
      <c r="J27" s="62">
        <v>1</v>
      </c>
      <c r="K27" s="6" t="s">
        <v>56</v>
      </c>
      <c r="L27" s="36">
        <v>49680</v>
      </c>
      <c r="M27" s="42">
        <v>54648</v>
      </c>
      <c r="N27" s="53">
        <v>0</v>
      </c>
      <c r="O27" s="48" t="s">
        <v>794</v>
      </c>
      <c r="P27" s="51" t="s">
        <v>737</v>
      </c>
      <c r="Q27" s="97">
        <f t="shared" si="0"/>
        <v>759</v>
      </c>
    </row>
    <row r="28" spans="1:17" ht="18.75" customHeight="1">
      <c r="A28" s="5">
        <v>960806</v>
      </c>
      <c r="B28" s="28">
        <v>116289</v>
      </c>
      <c r="C28" s="5" t="s">
        <v>59</v>
      </c>
      <c r="D28" s="22">
        <v>45719.443055555559</v>
      </c>
      <c r="E28" s="17" t="s">
        <v>22</v>
      </c>
      <c r="F28" s="5" t="s">
        <v>788</v>
      </c>
      <c r="G28" s="17" t="s">
        <v>789</v>
      </c>
      <c r="H28" s="6">
        <v>330</v>
      </c>
      <c r="I28" s="6">
        <v>120</v>
      </c>
      <c r="J28" s="62">
        <v>1</v>
      </c>
      <c r="K28" s="6" t="s">
        <v>56</v>
      </c>
      <c r="L28" s="36">
        <v>39600</v>
      </c>
      <c r="M28" s="42">
        <v>43560</v>
      </c>
      <c r="N28" s="53">
        <v>0</v>
      </c>
      <c r="O28" s="48" t="s">
        <v>790</v>
      </c>
      <c r="P28" s="51" t="s">
        <v>478</v>
      </c>
      <c r="Q28" s="97">
        <f t="shared" si="0"/>
        <v>363</v>
      </c>
    </row>
    <row r="29" spans="1:17" ht="18.75" customHeight="1">
      <c r="A29" s="5">
        <v>958323</v>
      </c>
      <c r="B29" s="28">
        <v>116036</v>
      </c>
      <c r="C29" s="5" t="s">
        <v>59</v>
      </c>
      <c r="D29" s="22">
        <v>45716.606944444444</v>
      </c>
      <c r="E29" s="17" t="s">
        <v>22</v>
      </c>
      <c r="F29" s="5" t="s">
        <v>680</v>
      </c>
      <c r="G29" s="17" t="s">
        <v>681</v>
      </c>
      <c r="H29" s="6">
        <v>300</v>
      </c>
      <c r="I29" s="6">
        <v>196</v>
      </c>
      <c r="J29" s="62">
        <v>1</v>
      </c>
      <c r="K29" s="6" t="s">
        <v>56</v>
      </c>
      <c r="L29" s="36">
        <v>58800</v>
      </c>
      <c r="M29" s="42">
        <v>64680</v>
      </c>
      <c r="N29" s="53">
        <v>0</v>
      </c>
      <c r="O29" s="48" t="s">
        <v>795</v>
      </c>
      <c r="P29" s="51" t="s">
        <v>683</v>
      </c>
      <c r="Q29" s="97">
        <f t="shared" si="0"/>
        <v>330</v>
      </c>
    </row>
    <row r="30" spans="1:17" ht="18.75" customHeight="1">
      <c r="A30" s="5">
        <v>957599</v>
      </c>
      <c r="B30" s="28">
        <v>115893</v>
      </c>
      <c r="C30" s="5" t="s">
        <v>59</v>
      </c>
      <c r="D30" s="22">
        <v>45715.761805555558</v>
      </c>
      <c r="E30" s="17" t="s">
        <v>19</v>
      </c>
      <c r="F30" s="5" t="s">
        <v>796</v>
      </c>
      <c r="G30" s="17" t="s">
        <v>797</v>
      </c>
      <c r="H30" s="6">
        <v>270</v>
      </c>
      <c r="I30" s="6">
        <v>160</v>
      </c>
      <c r="J30" s="62">
        <v>1</v>
      </c>
      <c r="K30" s="6" t="s">
        <v>56</v>
      </c>
      <c r="L30" s="36">
        <v>43200</v>
      </c>
      <c r="M30" s="42">
        <v>46656</v>
      </c>
      <c r="N30" s="53">
        <v>0</v>
      </c>
      <c r="O30" s="48" t="s">
        <v>798</v>
      </c>
      <c r="P30" s="51" t="s">
        <v>799</v>
      </c>
      <c r="Q30" s="97">
        <f t="shared" si="0"/>
        <v>291.60000000000002</v>
      </c>
    </row>
    <row r="31" spans="1:17" ht="18.75" customHeight="1">
      <c r="A31" s="5">
        <v>957597</v>
      </c>
      <c r="B31" s="28">
        <v>115892</v>
      </c>
      <c r="C31" s="5" t="s">
        <v>59</v>
      </c>
      <c r="D31" s="22">
        <v>45715.760416666664</v>
      </c>
      <c r="E31" s="17" t="s">
        <v>23</v>
      </c>
      <c r="F31" s="5" t="s">
        <v>796</v>
      </c>
      <c r="G31" s="17" t="s">
        <v>797</v>
      </c>
      <c r="H31" s="6">
        <v>270</v>
      </c>
      <c r="I31" s="6">
        <v>160</v>
      </c>
      <c r="J31" s="62">
        <v>1</v>
      </c>
      <c r="K31" s="6" t="s">
        <v>56</v>
      </c>
      <c r="L31" s="36">
        <v>43200</v>
      </c>
      <c r="M31" s="42">
        <v>46656</v>
      </c>
      <c r="N31" s="53">
        <v>0</v>
      </c>
      <c r="O31" s="48" t="s">
        <v>798</v>
      </c>
      <c r="P31" s="51" t="s">
        <v>799</v>
      </c>
      <c r="Q31" s="97">
        <f t="shared" si="0"/>
        <v>291.60000000000002</v>
      </c>
    </row>
    <row r="32" spans="1:17" ht="18.75" customHeight="1">
      <c r="A32" s="5">
        <v>957595</v>
      </c>
      <c r="B32" s="30">
        <v>115890</v>
      </c>
      <c r="C32" s="5" t="s">
        <v>59</v>
      </c>
      <c r="D32" s="22">
        <v>45715.757638888892</v>
      </c>
      <c r="E32" s="17" t="s">
        <v>22</v>
      </c>
      <c r="F32" s="5" t="s">
        <v>796</v>
      </c>
      <c r="G32" s="17" t="s">
        <v>797</v>
      </c>
      <c r="H32" s="6">
        <v>270</v>
      </c>
      <c r="I32" s="6">
        <v>160</v>
      </c>
      <c r="J32" s="62">
        <v>1</v>
      </c>
      <c r="K32" s="6" t="s">
        <v>56</v>
      </c>
      <c r="L32" s="36">
        <v>43200</v>
      </c>
      <c r="M32" s="42">
        <v>46656</v>
      </c>
      <c r="N32" s="53">
        <v>0</v>
      </c>
      <c r="O32" s="48" t="s">
        <v>798</v>
      </c>
      <c r="P32" s="51" t="s">
        <v>799</v>
      </c>
      <c r="Q32" s="97">
        <f t="shared" si="0"/>
        <v>291.60000000000002</v>
      </c>
    </row>
    <row r="33" spans="1:17" ht="18.75" customHeight="1">
      <c r="A33" s="7">
        <v>957594</v>
      </c>
      <c r="B33" s="30">
        <v>115830</v>
      </c>
      <c r="C33" s="8" t="s">
        <v>59</v>
      </c>
      <c r="D33" s="24">
        <v>45715.756249999999</v>
      </c>
      <c r="E33" s="19" t="s">
        <v>19</v>
      </c>
      <c r="F33" s="8" t="s">
        <v>796</v>
      </c>
      <c r="G33" s="19" t="s">
        <v>797</v>
      </c>
      <c r="H33" s="9">
        <v>270</v>
      </c>
      <c r="I33" s="9">
        <v>160</v>
      </c>
      <c r="J33" s="64">
        <v>1</v>
      </c>
      <c r="K33" s="9" t="s">
        <v>56</v>
      </c>
      <c r="L33" s="39">
        <v>43200</v>
      </c>
      <c r="M33" s="46">
        <v>46656</v>
      </c>
      <c r="N33" s="53">
        <v>0</v>
      </c>
      <c r="O33" s="48" t="s">
        <v>798</v>
      </c>
      <c r="P33" s="51" t="s">
        <v>799</v>
      </c>
      <c r="Q33" s="97">
        <f t="shared" si="0"/>
        <v>291.60000000000002</v>
      </c>
    </row>
    <row r="34" spans="1:17" ht="18.75" customHeight="1">
      <c r="A34" s="137">
        <v>956894</v>
      </c>
      <c r="B34" s="28">
        <v>115830</v>
      </c>
      <c r="C34" s="5" t="s">
        <v>59</v>
      </c>
      <c r="D34" s="22">
        <v>45715.756249999999</v>
      </c>
      <c r="E34" s="17" t="s">
        <v>19</v>
      </c>
      <c r="F34" s="5" t="s">
        <v>800</v>
      </c>
      <c r="G34" s="17" t="s">
        <v>801</v>
      </c>
      <c r="H34" s="6">
        <v>820</v>
      </c>
      <c r="I34" s="6">
        <v>40</v>
      </c>
      <c r="J34" s="62">
        <v>1</v>
      </c>
      <c r="K34" s="6" t="s">
        <v>56</v>
      </c>
      <c r="L34" s="36">
        <v>32800</v>
      </c>
      <c r="M34" s="46">
        <v>35424</v>
      </c>
      <c r="N34" s="53">
        <v>0</v>
      </c>
      <c r="O34" s="48" t="s">
        <v>802</v>
      </c>
      <c r="P34" s="51" t="s">
        <v>764</v>
      </c>
      <c r="Q34" s="97">
        <f t="shared" si="0"/>
        <v>885.6</v>
      </c>
    </row>
    <row r="35" spans="1:17" ht="18.75" customHeight="1">
      <c r="A35" s="137">
        <v>955639</v>
      </c>
      <c r="B35" s="28">
        <v>115632</v>
      </c>
      <c r="C35" s="5" t="s">
        <v>59</v>
      </c>
      <c r="D35" s="22">
        <v>45714.49722222222</v>
      </c>
      <c r="E35" s="17" t="s">
        <v>23</v>
      </c>
      <c r="F35" s="5" t="s">
        <v>803</v>
      </c>
      <c r="G35" s="17" t="s">
        <v>804</v>
      </c>
      <c r="H35" s="6">
        <v>770</v>
      </c>
      <c r="I35" s="6">
        <v>72</v>
      </c>
      <c r="J35" s="62">
        <v>1</v>
      </c>
      <c r="K35" s="6" t="s">
        <v>56</v>
      </c>
      <c r="L35" s="36">
        <v>55440</v>
      </c>
      <c r="M35" s="46">
        <v>60984</v>
      </c>
      <c r="N35" s="53">
        <v>0</v>
      </c>
      <c r="O35" s="48" t="s">
        <v>805</v>
      </c>
      <c r="P35" s="51" t="s">
        <v>806</v>
      </c>
      <c r="Q35" s="97">
        <f t="shared" si="0"/>
        <v>847</v>
      </c>
    </row>
    <row r="36" spans="1:17" ht="18.75" customHeight="1">
      <c r="A36" s="137">
        <v>940635</v>
      </c>
      <c r="B36" s="28">
        <v>113134</v>
      </c>
      <c r="C36" s="5" t="s">
        <v>59</v>
      </c>
      <c r="D36" s="22">
        <v>45697.793055555558</v>
      </c>
      <c r="E36" s="17" t="s">
        <v>19</v>
      </c>
      <c r="F36" s="5" t="s">
        <v>807</v>
      </c>
      <c r="G36" s="17" t="s">
        <v>808</v>
      </c>
      <c r="H36" s="6">
        <v>480</v>
      </c>
      <c r="I36" s="6">
        <v>96</v>
      </c>
      <c r="J36" s="62">
        <v>0.5</v>
      </c>
      <c r="K36" s="6" t="s">
        <v>56</v>
      </c>
      <c r="L36" s="36">
        <v>23040</v>
      </c>
      <c r="M36" s="46">
        <v>25344</v>
      </c>
      <c r="N36" s="53">
        <v>0</v>
      </c>
      <c r="O36" s="48" t="s">
        <v>809</v>
      </c>
      <c r="P36" s="51" t="s">
        <v>806</v>
      </c>
      <c r="Q36" s="97">
        <f t="shared" si="0"/>
        <v>528</v>
      </c>
    </row>
    <row r="37" spans="1:17" ht="18.75" customHeight="1">
      <c r="A37" s="5">
        <v>918464</v>
      </c>
      <c r="B37" s="28">
        <v>111304</v>
      </c>
      <c r="C37" s="5" t="s">
        <v>59</v>
      </c>
      <c r="D37" s="22">
        <v>45674.895138888889</v>
      </c>
      <c r="E37" s="17" t="s">
        <v>23</v>
      </c>
      <c r="F37" s="5" t="s">
        <v>777</v>
      </c>
      <c r="G37" s="17" t="s">
        <v>778</v>
      </c>
      <c r="H37" s="6">
        <v>63500</v>
      </c>
      <c r="I37" s="6">
        <v>1</v>
      </c>
      <c r="J37" s="62">
        <v>0.5</v>
      </c>
      <c r="K37" s="6" t="s">
        <v>56</v>
      </c>
      <c r="L37" s="36">
        <v>31750</v>
      </c>
      <c r="M37" s="42">
        <v>34925</v>
      </c>
      <c r="N37" s="53">
        <v>1000</v>
      </c>
      <c r="O37" s="48" t="s">
        <v>810</v>
      </c>
      <c r="P37" s="51" t="s">
        <v>764</v>
      </c>
      <c r="Q37" s="97">
        <f t="shared" si="0"/>
        <v>72050</v>
      </c>
    </row>
    <row r="38" spans="1:17" ht="18.75" customHeight="1">
      <c r="A38" s="5">
        <v>904997</v>
      </c>
      <c r="B38" s="28">
        <v>109791</v>
      </c>
      <c r="C38" s="5" t="s">
        <v>59</v>
      </c>
      <c r="D38" s="22">
        <v>45663.345138888886</v>
      </c>
      <c r="E38" s="17" t="s">
        <v>537</v>
      </c>
      <c r="F38" s="5" t="s">
        <v>811</v>
      </c>
      <c r="G38" s="17" t="s">
        <v>812</v>
      </c>
      <c r="H38" s="6">
        <v>1000</v>
      </c>
      <c r="I38" s="6">
        <v>60</v>
      </c>
      <c r="J38" s="62">
        <v>1</v>
      </c>
      <c r="K38" s="6" t="s">
        <v>56</v>
      </c>
      <c r="L38" s="36">
        <v>60000</v>
      </c>
      <c r="M38" s="42">
        <v>66000</v>
      </c>
      <c r="N38" s="53">
        <v>0</v>
      </c>
      <c r="O38" s="48" t="s">
        <v>813</v>
      </c>
      <c r="P38" s="51" t="s">
        <v>814</v>
      </c>
      <c r="Q38" s="97">
        <f t="shared" si="0"/>
        <v>1100</v>
      </c>
    </row>
    <row r="39" spans="1:17" ht="18.75" customHeight="1">
      <c r="A39" s="5">
        <v>904994</v>
      </c>
      <c r="B39" s="30">
        <v>109791</v>
      </c>
      <c r="C39" s="5" t="s">
        <v>59</v>
      </c>
      <c r="D39" s="22">
        <v>45663.345138888886</v>
      </c>
      <c r="E39" s="17" t="s">
        <v>537</v>
      </c>
      <c r="F39" s="5" t="s">
        <v>815</v>
      </c>
      <c r="G39" s="17" t="s">
        <v>816</v>
      </c>
      <c r="H39" s="6">
        <v>1000</v>
      </c>
      <c r="I39" s="6">
        <v>60</v>
      </c>
      <c r="J39" s="62">
        <v>0.5</v>
      </c>
      <c r="K39" s="6" t="s">
        <v>56</v>
      </c>
      <c r="L39" s="36">
        <v>30000</v>
      </c>
      <c r="M39" s="42">
        <v>33000</v>
      </c>
      <c r="N39" s="53">
        <v>1100</v>
      </c>
      <c r="O39" s="48" t="s">
        <v>817</v>
      </c>
      <c r="P39" s="51" t="s">
        <v>814</v>
      </c>
      <c r="Q39" s="97">
        <f t="shared" si="0"/>
        <v>1140.3333333333333</v>
      </c>
    </row>
    <row r="40" spans="1:17" ht="18.75" customHeight="1">
      <c r="A40" s="7">
        <v>895926</v>
      </c>
      <c r="B40" s="30">
        <v>108583</v>
      </c>
      <c r="C40" s="8" t="s">
        <v>59</v>
      </c>
      <c r="D40" s="24">
        <v>45650.817361111112</v>
      </c>
      <c r="E40" s="19" t="s">
        <v>537</v>
      </c>
      <c r="F40" s="8" t="s">
        <v>818</v>
      </c>
      <c r="G40" s="19" t="s">
        <v>819</v>
      </c>
      <c r="H40" s="9">
        <v>250</v>
      </c>
      <c r="I40" s="9">
        <v>240</v>
      </c>
      <c r="J40" s="64">
        <v>0.5</v>
      </c>
      <c r="K40" s="9" t="s">
        <v>56</v>
      </c>
      <c r="L40" s="39">
        <v>30000</v>
      </c>
      <c r="M40" s="46">
        <v>33000</v>
      </c>
      <c r="N40" s="53">
        <v>1000</v>
      </c>
      <c r="O40" s="48" t="s">
        <v>820</v>
      </c>
      <c r="P40" s="51" t="s">
        <v>821</v>
      </c>
      <c r="Q40" s="97">
        <f t="shared" si="0"/>
        <v>284.16666666666669</v>
      </c>
    </row>
    <row r="41" spans="1:17" ht="18.75" customHeight="1">
      <c r="A41" s="137">
        <v>895004</v>
      </c>
      <c r="B41" s="28">
        <v>108583</v>
      </c>
      <c r="C41" s="5" t="s">
        <v>59</v>
      </c>
      <c r="D41" s="22">
        <v>45650.817361111112</v>
      </c>
      <c r="E41" s="17" t="s">
        <v>537</v>
      </c>
      <c r="F41" s="5" t="s">
        <v>822</v>
      </c>
      <c r="G41" s="17" t="s">
        <v>823</v>
      </c>
      <c r="H41" s="6">
        <v>645</v>
      </c>
      <c r="I41" s="6">
        <v>100</v>
      </c>
      <c r="J41" s="62">
        <v>0.5</v>
      </c>
      <c r="K41" s="6" t="s">
        <v>56</v>
      </c>
      <c r="L41" s="36">
        <v>32250</v>
      </c>
      <c r="M41" s="46">
        <v>35475</v>
      </c>
      <c r="N41" s="53">
        <v>1000</v>
      </c>
      <c r="O41" s="48" t="s">
        <v>71</v>
      </c>
      <c r="P41" s="51" t="s">
        <v>824</v>
      </c>
      <c r="Q41" s="97">
        <f t="shared" si="0"/>
        <v>731.5</v>
      </c>
    </row>
    <row r="42" spans="1:17" ht="18.75" customHeight="1">
      <c r="A42" s="137">
        <v>848582</v>
      </c>
      <c r="B42" s="28">
        <v>103883</v>
      </c>
      <c r="C42" s="5" t="s">
        <v>59</v>
      </c>
      <c r="D42" s="22">
        <v>45600.906944444447</v>
      </c>
      <c r="E42" s="17" t="s">
        <v>537</v>
      </c>
      <c r="F42" s="5" t="s">
        <v>825</v>
      </c>
      <c r="G42" s="17" t="s">
        <v>826</v>
      </c>
      <c r="H42" s="6">
        <v>180</v>
      </c>
      <c r="I42" s="6">
        <v>40</v>
      </c>
      <c r="J42" s="62">
        <v>2</v>
      </c>
      <c r="K42" s="6" t="s">
        <v>107</v>
      </c>
      <c r="L42" s="36">
        <v>14400</v>
      </c>
      <c r="M42" s="46">
        <v>15840</v>
      </c>
      <c r="N42" s="53">
        <v>500</v>
      </c>
      <c r="O42" s="48" t="s">
        <v>827</v>
      </c>
      <c r="P42" s="51" t="s">
        <v>828</v>
      </c>
      <c r="Q42" s="97">
        <f t="shared" si="0"/>
        <v>204.875</v>
      </c>
    </row>
    <row r="43" spans="1:17" ht="18.75" customHeight="1">
      <c r="A43" s="137"/>
      <c r="B43" s="28"/>
      <c r="C43" s="5"/>
      <c r="D43" s="22"/>
      <c r="E43" s="17"/>
      <c r="F43" s="5"/>
      <c r="G43" s="17"/>
      <c r="H43" s="6"/>
      <c r="I43" s="6"/>
      <c r="J43" s="62"/>
      <c r="K43" s="6"/>
      <c r="L43" s="36"/>
      <c r="M43" s="46"/>
      <c r="N43" s="53"/>
      <c r="O43" s="48"/>
      <c r="P43" s="51"/>
      <c r="Q43" s="67"/>
    </row>
    <row r="44" spans="1:17" ht="18.75" customHeight="1">
      <c r="A44" s="10"/>
      <c r="B44" s="138"/>
      <c r="C44" s="134"/>
      <c r="D44" s="139"/>
      <c r="E44" s="135"/>
      <c r="F44" s="134"/>
      <c r="G44" s="135"/>
      <c r="H44" s="16"/>
      <c r="I44" s="16"/>
      <c r="J44" s="136"/>
      <c r="K44" s="16"/>
      <c r="L44" s="140"/>
      <c r="M44" s="45"/>
      <c r="N44" s="53"/>
      <c r="O44" s="48"/>
      <c r="P44" s="51"/>
      <c r="Q44" s="67"/>
    </row>
    <row r="45" spans="1:17" ht="18.75" customHeight="1">
      <c r="A45" s="5"/>
      <c r="B45" s="28"/>
      <c r="C45" s="5"/>
      <c r="D45" s="22"/>
      <c r="E45" s="17"/>
      <c r="F45" s="5"/>
      <c r="G45" s="17"/>
      <c r="H45" s="6"/>
      <c r="I45" s="6"/>
      <c r="J45" s="62"/>
      <c r="K45" s="6"/>
      <c r="L45" s="36"/>
      <c r="M45" s="42"/>
      <c r="N45" s="53"/>
      <c r="O45" s="48"/>
      <c r="P45" s="51"/>
      <c r="Q45" s="67"/>
    </row>
    <row r="46" spans="1:17" ht="18.75" customHeight="1">
      <c r="A46" s="1"/>
      <c r="B46" s="26"/>
      <c r="C46" s="1"/>
      <c r="D46" s="20"/>
      <c r="E46" s="1"/>
      <c r="F46" s="1"/>
      <c r="G46" s="32"/>
      <c r="H46" s="2"/>
      <c r="I46" s="2"/>
      <c r="J46" s="60"/>
      <c r="K46" s="2"/>
      <c r="L46" s="34"/>
      <c r="M46" s="34">
        <f>SUM(M3:M45)</f>
        <v>1794993</v>
      </c>
      <c r="N46" s="34">
        <f>SUM(N3:N45)*1.1</f>
        <v>22748.000000000004</v>
      </c>
      <c r="O46" s="131">
        <f>M46+N46</f>
        <v>1817741</v>
      </c>
    </row>
    <row r="47" spans="1:17" ht="18.75" customHeight="1">
      <c r="A47" s="1"/>
      <c r="B47" s="26"/>
      <c r="C47" s="1"/>
      <c r="D47" s="20"/>
      <c r="E47" s="1"/>
      <c r="F47" s="1"/>
      <c r="G47" s="32"/>
      <c r="H47" s="2"/>
      <c r="I47" s="2"/>
      <c r="J47" s="60"/>
      <c r="K47" s="2"/>
      <c r="L47" s="34"/>
      <c r="M47" s="34"/>
    </row>
    <row r="48" spans="1:17" ht="18.75" customHeight="1">
      <c r="A48" s="122" t="s">
        <v>18</v>
      </c>
      <c r="B48" s="123"/>
      <c r="C48" s="122"/>
      <c r="D48" s="124">
        <v>45728</v>
      </c>
      <c r="E48" s="17" t="s">
        <v>19</v>
      </c>
      <c r="F48" s="122"/>
      <c r="G48" s="96" t="s">
        <v>829</v>
      </c>
      <c r="H48" s="125">
        <v>450</v>
      </c>
      <c r="I48" s="125">
        <v>70</v>
      </c>
      <c r="J48" s="126">
        <v>2</v>
      </c>
      <c r="K48" s="125"/>
      <c r="L48" s="95">
        <v>63000</v>
      </c>
      <c r="M48" s="95">
        <f>L48*1.1</f>
        <v>69300</v>
      </c>
      <c r="N48" s="56"/>
      <c r="O48" s="49"/>
      <c r="P48" s="59"/>
      <c r="Q48" s="67">
        <f t="shared" ref="Q48:Q52" si="1">(M48+N48*1.1)/(I48*J48)</f>
        <v>495</v>
      </c>
    </row>
    <row r="49" spans="1:17" ht="18.75" customHeight="1">
      <c r="A49" s="122"/>
      <c r="B49" s="123"/>
      <c r="C49" s="122"/>
      <c r="D49" s="124">
        <v>45728</v>
      </c>
      <c r="E49" s="17" t="s">
        <v>19</v>
      </c>
      <c r="F49" s="122"/>
      <c r="G49" s="96" t="s">
        <v>830</v>
      </c>
      <c r="H49" s="125">
        <v>260</v>
      </c>
      <c r="I49" s="125">
        <v>200</v>
      </c>
      <c r="J49" s="126">
        <v>1</v>
      </c>
      <c r="K49" s="125"/>
      <c r="L49" s="95">
        <v>52000</v>
      </c>
      <c r="M49" s="95">
        <f t="shared" ref="M49:M52" si="2">L49*1.1</f>
        <v>57200.000000000007</v>
      </c>
      <c r="N49" s="56"/>
      <c r="O49" s="49"/>
      <c r="P49" s="59"/>
      <c r="Q49" s="67">
        <f t="shared" si="1"/>
        <v>286.00000000000006</v>
      </c>
    </row>
    <row r="50" spans="1:17" ht="18.75" customHeight="1">
      <c r="A50" s="122"/>
      <c r="B50" s="123"/>
      <c r="C50" s="122"/>
      <c r="D50" s="124">
        <v>45728</v>
      </c>
      <c r="E50" s="17" t="s">
        <v>19</v>
      </c>
      <c r="F50" s="122"/>
      <c r="G50" s="158" t="s">
        <v>831</v>
      </c>
      <c r="H50" s="125">
        <v>370</v>
      </c>
      <c r="I50" s="125">
        <v>120</v>
      </c>
      <c r="J50" s="126">
        <v>1</v>
      </c>
      <c r="K50" s="125"/>
      <c r="L50" s="95">
        <v>44400</v>
      </c>
      <c r="M50" s="95">
        <f t="shared" si="2"/>
        <v>48840.000000000007</v>
      </c>
      <c r="N50" s="56"/>
      <c r="O50" s="49"/>
      <c r="P50" s="59"/>
      <c r="Q50" s="67">
        <f t="shared" si="1"/>
        <v>407.00000000000006</v>
      </c>
    </row>
    <row r="51" spans="1:17" ht="18.75" customHeight="1">
      <c r="A51" s="122"/>
      <c r="B51" s="123"/>
      <c r="C51" s="122"/>
      <c r="D51" s="124">
        <v>45728</v>
      </c>
      <c r="E51" s="17" t="s">
        <v>19</v>
      </c>
      <c r="F51" s="122"/>
      <c r="G51" s="158" t="s">
        <v>832</v>
      </c>
      <c r="H51" s="125">
        <v>500</v>
      </c>
      <c r="I51" s="125">
        <v>120</v>
      </c>
      <c r="J51" s="126">
        <v>1</v>
      </c>
      <c r="K51" s="125"/>
      <c r="L51" s="95">
        <v>60000</v>
      </c>
      <c r="M51" s="95">
        <f t="shared" si="2"/>
        <v>66000</v>
      </c>
      <c r="N51" s="56"/>
      <c r="O51" s="49"/>
      <c r="P51" s="59"/>
      <c r="Q51" s="67">
        <f t="shared" si="1"/>
        <v>550</v>
      </c>
    </row>
    <row r="52" spans="1:17" ht="18.75" customHeight="1">
      <c r="A52" s="122"/>
      <c r="B52" s="123"/>
      <c r="C52" s="122"/>
      <c r="D52" s="124">
        <v>45728</v>
      </c>
      <c r="E52" s="17" t="s">
        <v>19</v>
      </c>
      <c r="F52" s="122"/>
      <c r="G52" s="158" t="s">
        <v>833</v>
      </c>
      <c r="H52" s="125">
        <v>550</v>
      </c>
      <c r="I52" s="125">
        <v>100</v>
      </c>
      <c r="J52" s="126">
        <v>1</v>
      </c>
      <c r="K52" s="125"/>
      <c r="L52" s="95">
        <v>55000</v>
      </c>
      <c r="M52" s="95">
        <f t="shared" si="2"/>
        <v>60500.000000000007</v>
      </c>
      <c r="N52" s="56"/>
      <c r="O52" s="49"/>
      <c r="P52" s="59"/>
      <c r="Q52" s="67">
        <f t="shared" si="1"/>
        <v>605.00000000000011</v>
      </c>
    </row>
    <row r="53" spans="1:17" ht="18.75" customHeight="1">
      <c r="A53" s="122"/>
      <c r="B53" s="123"/>
      <c r="C53" s="122"/>
      <c r="D53" s="124">
        <v>45728</v>
      </c>
      <c r="E53" s="17" t="s">
        <v>427</v>
      </c>
      <c r="F53" s="122"/>
      <c r="G53" s="158" t="s">
        <v>834</v>
      </c>
      <c r="H53" s="125">
        <v>370</v>
      </c>
      <c r="I53" s="125">
        <v>120</v>
      </c>
      <c r="J53" s="126">
        <v>2</v>
      </c>
      <c r="K53" s="125"/>
      <c r="L53" s="95">
        <f>H53*I53*J53</f>
        <v>88800</v>
      </c>
      <c r="M53" s="95">
        <f t="shared" ref="M53:M56" si="3">L53*1.1</f>
        <v>97680.000000000015</v>
      </c>
      <c r="N53" s="56"/>
      <c r="O53" s="49"/>
      <c r="P53" s="59"/>
      <c r="Q53" s="67">
        <f t="shared" ref="Q53:Q60" si="4">(M53+N53*1.1)/(I53*J53)</f>
        <v>407.00000000000006</v>
      </c>
    </row>
    <row r="54" spans="1:17" ht="18.75" customHeight="1">
      <c r="A54" s="122"/>
      <c r="B54" s="123"/>
      <c r="C54" s="122"/>
      <c r="D54" s="124">
        <v>45728</v>
      </c>
      <c r="E54" s="17" t="s">
        <v>427</v>
      </c>
      <c r="F54" s="122"/>
      <c r="G54" s="158" t="s">
        <v>835</v>
      </c>
      <c r="H54" s="125">
        <v>270</v>
      </c>
      <c r="I54" s="125">
        <v>200</v>
      </c>
      <c r="J54" s="126">
        <v>2</v>
      </c>
      <c r="K54" s="125"/>
      <c r="L54" s="95">
        <f t="shared" ref="L54:L56" si="5">H54*I54*J54</f>
        <v>108000</v>
      </c>
      <c r="M54" s="95">
        <f t="shared" si="3"/>
        <v>118800.00000000001</v>
      </c>
      <c r="N54" s="56"/>
      <c r="O54" s="49"/>
      <c r="P54" s="59"/>
      <c r="Q54" s="67">
        <f t="shared" si="4"/>
        <v>297.00000000000006</v>
      </c>
    </row>
    <row r="55" spans="1:17" ht="18.75" customHeight="1">
      <c r="A55" s="122"/>
      <c r="B55" s="123"/>
      <c r="C55" s="122"/>
      <c r="D55" s="124">
        <v>45728</v>
      </c>
      <c r="E55" s="17" t="s">
        <v>427</v>
      </c>
      <c r="F55" s="122"/>
      <c r="G55" s="158" t="s">
        <v>836</v>
      </c>
      <c r="H55" s="125">
        <v>280</v>
      </c>
      <c r="I55" s="125">
        <v>120</v>
      </c>
      <c r="J55" s="126">
        <v>2</v>
      </c>
      <c r="K55" s="125"/>
      <c r="L55" s="95">
        <f t="shared" si="5"/>
        <v>67200</v>
      </c>
      <c r="M55" s="95">
        <f t="shared" si="3"/>
        <v>73920</v>
      </c>
      <c r="N55" s="56"/>
      <c r="O55" s="49"/>
      <c r="P55" s="59"/>
      <c r="Q55" s="67">
        <f t="shared" si="4"/>
        <v>308</v>
      </c>
    </row>
    <row r="56" spans="1:17" ht="18.75" customHeight="1">
      <c r="A56" s="122"/>
      <c r="B56" s="123"/>
      <c r="C56" s="122"/>
      <c r="D56" s="124">
        <v>45728</v>
      </c>
      <c r="E56" s="17" t="s">
        <v>427</v>
      </c>
      <c r="F56" s="122"/>
      <c r="G56" s="158" t="s">
        <v>833</v>
      </c>
      <c r="H56" s="125">
        <v>550</v>
      </c>
      <c r="I56" s="125">
        <v>100</v>
      </c>
      <c r="J56" s="126">
        <v>2</v>
      </c>
      <c r="K56" s="125"/>
      <c r="L56" s="95">
        <f t="shared" si="5"/>
        <v>110000</v>
      </c>
      <c r="M56" s="95">
        <f t="shared" si="3"/>
        <v>121000.00000000001</v>
      </c>
      <c r="N56" s="56"/>
      <c r="O56" s="49"/>
      <c r="P56" s="59"/>
      <c r="Q56" s="67">
        <f t="shared" si="4"/>
        <v>605.00000000000011</v>
      </c>
    </row>
    <row r="57" spans="1:17" ht="18.75" customHeight="1">
      <c r="A57" s="87"/>
      <c r="B57" s="88"/>
      <c r="C57" s="87"/>
      <c r="D57" s="89">
        <v>45744</v>
      </c>
      <c r="E57" s="157" t="s">
        <v>19</v>
      </c>
      <c r="F57" s="156"/>
      <c r="G57" s="159" t="s">
        <v>833</v>
      </c>
      <c r="H57" s="91">
        <v>550</v>
      </c>
      <c r="I57" s="91">
        <v>100</v>
      </c>
      <c r="J57" s="92">
        <v>2</v>
      </c>
      <c r="K57" s="91"/>
      <c r="L57" s="93">
        <v>110000</v>
      </c>
      <c r="M57" s="93">
        <v>121000</v>
      </c>
      <c r="N57" s="152"/>
      <c r="O57" s="153"/>
      <c r="P57" s="154"/>
      <c r="Q57" s="67">
        <f t="shared" si="4"/>
        <v>605</v>
      </c>
    </row>
    <row r="58" spans="1:17" ht="18.75" customHeight="1">
      <c r="A58" s="87"/>
      <c r="B58" s="88"/>
      <c r="C58" s="87"/>
      <c r="D58" s="89">
        <v>45744</v>
      </c>
      <c r="E58" s="157" t="s">
        <v>19</v>
      </c>
      <c r="F58" s="156"/>
      <c r="G58" s="159" t="s">
        <v>835</v>
      </c>
      <c r="H58" s="91">
        <v>270</v>
      </c>
      <c r="I58" s="91">
        <v>200</v>
      </c>
      <c r="J58" s="92">
        <v>1</v>
      </c>
      <c r="K58" s="91"/>
      <c r="L58" s="93">
        <v>108000</v>
      </c>
      <c r="M58" s="93">
        <v>118800</v>
      </c>
      <c r="N58" s="152"/>
      <c r="O58" s="153"/>
      <c r="P58" s="154"/>
      <c r="Q58" s="67">
        <f t="shared" si="4"/>
        <v>594</v>
      </c>
    </row>
    <row r="59" spans="1:17" ht="18.75" customHeight="1">
      <c r="A59" s="87"/>
      <c r="B59" s="88"/>
      <c r="C59" s="87"/>
      <c r="D59" s="89">
        <v>45744</v>
      </c>
      <c r="E59" s="157" t="s">
        <v>19</v>
      </c>
      <c r="F59" s="156"/>
      <c r="G59" s="159" t="s">
        <v>837</v>
      </c>
      <c r="H59" s="91">
        <v>280</v>
      </c>
      <c r="I59" s="91">
        <v>240</v>
      </c>
      <c r="J59" s="92">
        <v>1</v>
      </c>
      <c r="K59" s="91"/>
      <c r="L59" s="93">
        <v>67200</v>
      </c>
      <c r="M59" s="93">
        <v>73920</v>
      </c>
      <c r="N59" s="152"/>
      <c r="O59" s="153"/>
      <c r="P59" s="154"/>
      <c r="Q59" s="67">
        <f t="shared" si="4"/>
        <v>308</v>
      </c>
    </row>
    <row r="60" spans="1:17" ht="18.75" customHeight="1">
      <c r="A60" s="87"/>
      <c r="B60" s="88"/>
      <c r="C60" s="87"/>
      <c r="D60" s="89">
        <v>45744</v>
      </c>
      <c r="E60" s="157" t="s">
        <v>19</v>
      </c>
      <c r="F60" s="156"/>
      <c r="G60" s="159" t="s">
        <v>838</v>
      </c>
      <c r="H60" s="91">
        <v>580</v>
      </c>
      <c r="I60" s="91">
        <v>96</v>
      </c>
      <c r="J60" s="92">
        <v>2</v>
      </c>
      <c r="K60" s="91"/>
      <c r="L60" s="93">
        <v>111360</v>
      </c>
      <c r="M60" s="93">
        <v>122496</v>
      </c>
      <c r="N60" s="152"/>
      <c r="O60" s="153"/>
      <c r="P60" s="154"/>
      <c r="Q60" s="67">
        <f t="shared" si="4"/>
        <v>638</v>
      </c>
    </row>
    <row r="61" spans="1:17" ht="18.75" customHeight="1">
      <c r="A61" s="87"/>
      <c r="B61" s="88"/>
      <c r="C61" s="87"/>
      <c r="D61" s="89"/>
      <c r="E61" s="157"/>
      <c r="F61" s="156"/>
      <c r="G61" s="162"/>
      <c r="H61" s="91"/>
      <c r="I61" s="91"/>
      <c r="J61" s="92"/>
      <c r="K61" s="91"/>
      <c r="L61" s="95"/>
      <c r="M61" s="95"/>
      <c r="N61" s="152"/>
      <c r="O61" s="153"/>
      <c r="P61" s="154"/>
      <c r="Q61" s="67"/>
    </row>
    <row r="62" spans="1:17" ht="18.75" customHeight="1">
      <c r="A62" s="87"/>
      <c r="B62" s="88"/>
      <c r="C62" s="87"/>
      <c r="D62" s="89"/>
      <c r="E62" s="157"/>
      <c r="F62" s="156"/>
      <c r="G62" s="162"/>
      <c r="H62" s="91"/>
      <c r="I62" s="91"/>
      <c r="J62" s="92"/>
      <c r="K62" s="91"/>
      <c r="L62" s="95"/>
      <c r="M62" s="95"/>
      <c r="N62" s="152"/>
      <c r="O62" s="153"/>
      <c r="P62" s="154"/>
      <c r="Q62" s="67"/>
    </row>
    <row r="63" spans="1:17" ht="18.75" customHeight="1">
      <c r="A63" s="87"/>
      <c r="B63" s="88"/>
      <c r="C63" s="87"/>
      <c r="D63" s="89"/>
      <c r="E63" s="157"/>
      <c r="F63" s="156"/>
      <c r="G63" s="90"/>
      <c r="H63" s="91"/>
      <c r="I63" s="91"/>
      <c r="J63" s="92"/>
      <c r="K63" s="91"/>
      <c r="L63" s="95"/>
      <c r="M63" s="95"/>
      <c r="N63" s="152"/>
      <c r="O63" s="153"/>
      <c r="P63" s="154"/>
      <c r="Q63" s="67"/>
    </row>
    <row r="64" spans="1:17" ht="18.75" customHeight="1">
      <c r="A64" s="87"/>
      <c r="B64" s="88"/>
      <c r="C64" s="87"/>
      <c r="D64" s="89"/>
      <c r="E64" s="157"/>
      <c r="F64" s="156"/>
      <c r="G64" s="90"/>
      <c r="H64" s="91"/>
      <c r="I64" s="91"/>
      <c r="J64" s="92"/>
      <c r="K64" s="91"/>
      <c r="L64" s="95"/>
      <c r="M64" s="95"/>
      <c r="N64" s="152"/>
      <c r="O64" s="153"/>
      <c r="P64" s="154"/>
      <c r="Q64" s="67"/>
    </row>
    <row r="65" spans="1:17" ht="18.75" customHeight="1">
      <c r="A65" s="87"/>
      <c r="B65" s="88"/>
      <c r="C65" s="87"/>
      <c r="D65" s="89"/>
      <c r="E65" s="157"/>
      <c r="F65" s="156"/>
      <c r="G65" s="90"/>
      <c r="H65" s="91"/>
      <c r="I65" s="91"/>
      <c r="J65" s="92"/>
      <c r="K65" s="91"/>
      <c r="L65" s="95"/>
      <c r="M65" s="95"/>
      <c r="N65" s="152"/>
      <c r="O65" s="153"/>
      <c r="P65" s="154"/>
      <c r="Q65" s="67"/>
    </row>
    <row r="66" spans="1:17" ht="18.75" customHeight="1">
      <c r="A66" s="87"/>
      <c r="B66" s="88"/>
      <c r="C66" s="87"/>
      <c r="D66" s="89"/>
      <c r="E66" s="157"/>
      <c r="F66" s="156"/>
      <c r="G66" s="90"/>
      <c r="H66" s="91"/>
      <c r="I66" s="91"/>
      <c r="J66" s="92"/>
      <c r="K66" s="91"/>
      <c r="L66" s="95"/>
      <c r="M66" s="95"/>
      <c r="N66" s="152"/>
      <c r="O66" s="153"/>
      <c r="P66" s="154"/>
      <c r="Q66" s="67"/>
    </row>
    <row r="67" spans="1:17" ht="18.75" customHeight="1">
      <c r="A67" s="87"/>
      <c r="B67" s="88"/>
      <c r="C67" s="87"/>
      <c r="D67" s="89"/>
      <c r="E67" s="157"/>
      <c r="F67" s="156"/>
      <c r="G67" s="162"/>
      <c r="H67" s="91"/>
      <c r="I67" s="91"/>
      <c r="J67" s="92"/>
      <c r="K67" s="91"/>
      <c r="L67" s="95"/>
      <c r="M67" s="95"/>
      <c r="N67" s="152"/>
      <c r="O67" s="153"/>
      <c r="P67" s="154"/>
      <c r="Q67" s="67"/>
    </row>
    <row r="68" spans="1:17" ht="18.75" customHeight="1">
      <c r="A68" s="87"/>
      <c r="B68" s="88"/>
      <c r="C68" s="87"/>
      <c r="D68" s="89"/>
      <c r="E68" s="157"/>
      <c r="F68" s="156"/>
      <c r="G68" s="162"/>
      <c r="H68" s="91"/>
      <c r="I68" s="91"/>
      <c r="J68" s="92"/>
      <c r="K68" s="91"/>
      <c r="L68" s="95"/>
      <c r="M68" s="95"/>
      <c r="N68" s="152"/>
      <c r="O68" s="153"/>
      <c r="P68" s="154"/>
      <c r="Q68" s="67"/>
    </row>
    <row r="69" spans="1:17" ht="18.75" customHeight="1">
      <c r="A69" s="87"/>
      <c r="B69" s="88"/>
      <c r="C69" s="87"/>
      <c r="D69" s="89"/>
      <c r="E69" s="157"/>
      <c r="F69" s="156"/>
      <c r="G69" s="159"/>
      <c r="H69" s="91"/>
      <c r="I69" s="91"/>
      <c r="J69" s="92"/>
      <c r="K69" s="91"/>
      <c r="L69" s="95"/>
      <c r="M69" s="95"/>
      <c r="N69" s="152"/>
      <c r="O69" s="153"/>
      <c r="P69" s="154"/>
      <c r="Q69" s="155"/>
    </row>
    <row r="70" spans="1:17" ht="18.75" customHeight="1">
      <c r="A70" s="12"/>
      <c r="B70" s="68"/>
      <c r="C70" s="12"/>
      <c r="D70" s="69"/>
      <c r="E70" s="12"/>
      <c r="F70" s="12"/>
      <c r="G70" s="70"/>
      <c r="H70" s="71"/>
      <c r="I70" s="71"/>
      <c r="J70" s="72"/>
      <c r="K70" s="71"/>
      <c r="L70" s="73"/>
      <c r="M70" s="73">
        <f>SUM(M48:M69)</f>
        <v>1149456</v>
      </c>
      <c r="N70" s="74"/>
      <c r="O70" s="11"/>
      <c r="P70" s="75"/>
      <c r="Q70" s="74"/>
    </row>
    <row r="71" spans="1:17" ht="18.75" customHeight="1">
      <c r="A71" s="12"/>
      <c r="B71" s="68"/>
      <c r="C71" s="12"/>
      <c r="D71" s="69"/>
      <c r="E71" s="12"/>
      <c r="F71" s="12"/>
      <c r="G71" s="70"/>
      <c r="H71" s="71"/>
      <c r="I71" s="71"/>
      <c r="J71" s="72"/>
      <c r="K71" s="71"/>
      <c r="L71" s="73"/>
      <c r="M71" s="73"/>
      <c r="N71" s="74"/>
      <c r="O71" s="11"/>
      <c r="P71" s="75"/>
      <c r="Q71" s="74"/>
    </row>
    <row r="72" spans="1:17" ht="18.75" customHeight="1">
      <c r="A72" s="122" t="s">
        <v>28</v>
      </c>
      <c r="B72" s="123"/>
      <c r="C72" s="122"/>
      <c r="D72" s="124"/>
      <c r="E72" s="132" t="s">
        <v>543</v>
      </c>
      <c r="F72" s="122"/>
      <c r="G72" s="96" t="s">
        <v>638</v>
      </c>
      <c r="H72" s="125">
        <v>620</v>
      </c>
      <c r="I72" s="125">
        <v>84</v>
      </c>
      <c r="J72" s="126">
        <v>1</v>
      </c>
      <c r="K72" s="125"/>
      <c r="L72" s="95">
        <v>52080</v>
      </c>
      <c r="M72" s="95">
        <f>L72*1.1</f>
        <v>57288.000000000007</v>
      </c>
      <c r="N72" s="56"/>
      <c r="O72" s="49"/>
      <c r="P72" s="59"/>
      <c r="Q72" s="67">
        <f t="shared" ref="Q72" si="6">(M72+N72*1.1)/(I72*J72)</f>
        <v>682.00000000000011</v>
      </c>
    </row>
    <row r="73" spans="1:17" ht="18.75" customHeight="1">
      <c r="A73" s="122"/>
      <c r="B73" s="123"/>
      <c r="C73" s="122"/>
      <c r="D73" s="124"/>
      <c r="E73" s="132" t="s">
        <v>543</v>
      </c>
      <c r="F73" s="122"/>
      <c r="G73" s="96" t="s">
        <v>839</v>
      </c>
      <c r="H73" s="125">
        <v>680</v>
      </c>
      <c r="I73" s="125">
        <v>60</v>
      </c>
      <c r="J73" s="126">
        <v>1</v>
      </c>
      <c r="K73" s="125"/>
      <c r="L73" s="95">
        <v>40800</v>
      </c>
      <c r="M73" s="95">
        <f>L73*1.1</f>
        <v>44880</v>
      </c>
      <c r="N73" s="56"/>
      <c r="O73" s="49"/>
      <c r="P73" s="59"/>
      <c r="Q73" s="67">
        <f t="shared" ref="Q73:Q81" si="7">(M73+N73*1.1)/(I73*J73)</f>
        <v>748</v>
      </c>
    </row>
    <row r="74" spans="1:17" ht="18.75" customHeight="1">
      <c r="A74" s="122"/>
      <c r="B74" s="123"/>
      <c r="C74" s="122"/>
      <c r="D74" s="124"/>
      <c r="E74" s="132" t="s">
        <v>34</v>
      </c>
      <c r="F74" s="122"/>
      <c r="G74" s="132" t="s">
        <v>840</v>
      </c>
      <c r="H74" s="125">
        <v>680</v>
      </c>
      <c r="I74" s="125">
        <v>60</v>
      </c>
      <c r="J74" s="126">
        <v>1</v>
      </c>
      <c r="K74" s="125"/>
      <c r="L74" s="95">
        <v>40800</v>
      </c>
      <c r="M74" s="95">
        <f>L74*1.1</f>
        <v>44880</v>
      </c>
      <c r="N74" s="56"/>
      <c r="O74" s="49"/>
      <c r="P74" s="59"/>
      <c r="Q74" s="67">
        <f t="shared" si="7"/>
        <v>748</v>
      </c>
    </row>
    <row r="75" spans="1:17" ht="18.75" customHeight="1">
      <c r="A75" s="122"/>
      <c r="B75" s="123"/>
      <c r="C75" s="122"/>
      <c r="D75" s="124"/>
      <c r="E75" s="132" t="s">
        <v>32</v>
      </c>
      <c r="F75" s="122"/>
      <c r="G75" s="96" t="s">
        <v>638</v>
      </c>
      <c r="H75" s="125">
        <v>620</v>
      </c>
      <c r="I75" s="125">
        <v>84</v>
      </c>
      <c r="J75" s="126">
        <v>2</v>
      </c>
      <c r="K75" s="125"/>
      <c r="L75" s="95">
        <v>104160</v>
      </c>
      <c r="M75" s="95">
        <f t="shared" ref="M75:M80" si="8">L75*1.1</f>
        <v>114576.00000000001</v>
      </c>
      <c r="N75" s="56"/>
      <c r="O75" s="49"/>
      <c r="P75" s="59" t="s">
        <v>841</v>
      </c>
      <c r="Q75" s="67">
        <f t="shared" si="7"/>
        <v>682.00000000000011</v>
      </c>
    </row>
    <row r="76" spans="1:17" ht="18.75" customHeight="1">
      <c r="A76" s="122"/>
      <c r="B76" s="123"/>
      <c r="C76" s="122"/>
      <c r="D76" s="124"/>
      <c r="E76" s="132" t="s">
        <v>34</v>
      </c>
      <c r="F76" s="122"/>
      <c r="G76" s="132" t="s">
        <v>842</v>
      </c>
      <c r="H76" s="125">
        <v>950</v>
      </c>
      <c r="I76" s="125">
        <v>60</v>
      </c>
      <c r="J76" s="126">
        <v>2</v>
      </c>
      <c r="K76" s="125"/>
      <c r="L76" s="95">
        <v>114000</v>
      </c>
      <c r="M76" s="95">
        <f t="shared" si="8"/>
        <v>125400.00000000001</v>
      </c>
      <c r="N76" s="56"/>
      <c r="O76" s="49"/>
      <c r="P76" s="59" t="s">
        <v>841</v>
      </c>
      <c r="Q76" s="67">
        <f t="shared" si="7"/>
        <v>1045.0000000000002</v>
      </c>
    </row>
    <row r="77" spans="1:17" ht="18.75" customHeight="1">
      <c r="A77" s="122"/>
      <c r="B77" s="123"/>
      <c r="C77" s="122"/>
      <c r="D77" s="124"/>
      <c r="E77" s="132" t="s">
        <v>32</v>
      </c>
      <c r="F77" s="122"/>
      <c r="G77" s="132" t="s">
        <v>843</v>
      </c>
      <c r="H77" s="125">
        <v>680</v>
      </c>
      <c r="I77" s="125">
        <v>60</v>
      </c>
      <c r="J77" s="126">
        <v>1</v>
      </c>
      <c r="K77" s="125"/>
      <c r="L77" s="95">
        <f t="shared" ref="L77" si="9">H77*I77*J77</f>
        <v>40800</v>
      </c>
      <c r="M77" s="95">
        <f t="shared" si="8"/>
        <v>44880</v>
      </c>
      <c r="N77" s="56"/>
      <c r="O77" s="49"/>
      <c r="P77" s="59" t="s">
        <v>841</v>
      </c>
      <c r="Q77" s="67">
        <f t="shared" si="7"/>
        <v>748</v>
      </c>
    </row>
    <row r="78" spans="1:17" ht="18.75" customHeight="1">
      <c r="A78" s="122"/>
      <c r="B78" s="123"/>
      <c r="C78" s="122"/>
      <c r="D78" s="124"/>
      <c r="E78" s="132" t="s">
        <v>34</v>
      </c>
      <c r="F78" s="122"/>
      <c r="G78" s="132" t="s">
        <v>843</v>
      </c>
      <c r="H78" s="125">
        <v>680</v>
      </c>
      <c r="I78" s="125">
        <v>60</v>
      </c>
      <c r="J78" s="126">
        <v>1</v>
      </c>
      <c r="K78" s="125"/>
      <c r="L78" s="95">
        <f t="shared" ref="L78:L79" si="10">H78*I78*J78</f>
        <v>40800</v>
      </c>
      <c r="M78" s="95">
        <f t="shared" ref="M78:M79" si="11">L78*1.1</f>
        <v>44880</v>
      </c>
      <c r="N78" s="56"/>
      <c r="O78" s="49"/>
      <c r="P78" s="59" t="s">
        <v>841</v>
      </c>
      <c r="Q78" s="67">
        <f t="shared" si="7"/>
        <v>748</v>
      </c>
    </row>
    <row r="79" spans="1:17" ht="18.75" customHeight="1">
      <c r="A79" s="122"/>
      <c r="B79" s="123"/>
      <c r="C79" s="122"/>
      <c r="D79" s="124"/>
      <c r="E79" s="96" t="s">
        <v>844</v>
      </c>
      <c r="F79" s="122"/>
      <c r="G79" s="132" t="s">
        <v>843</v>
      </c>
      <c r="H79" s="125">
        <v>680</v>
      </c>
      <c r="I79" s="125">
        <v>60</v>
      </c>
      <c r="J79" s="126">
        <v>1</v>
      </c>
      <c r="K79" s="125"/>
      <c r="L79" s="95">
        <f t="shared" si="10"/>
        <v>40800</v>
      </c>
      <c r="M79" s="95">
        <f t="shared" si="11"/>
        <v>44880</v>
      </c>
      <c r="N79" s="56"/>
      <c r="O79" s="49"/>
      <c r="P79" s="59" t="s">
        <v>841</v>
      </c>
      <c r="Q79" s="67">
        <f t="shared" si="7"/>
        <v>748</v>
      </c>
    </row>
    <row r="80" spans="1:17" ht="18.75" customHeight="1">
      <c r="A80" s="122"/>
      <c r="B80" s="123"/>
      <c r="C80" s="122"/>
      <c r="D80" s="124"/>
      <c r="E80" s="96"/>
      <c r="F80" s="122"/>
      <c r="G80" s="96"/>
      <c r="H80" s="125"/>
      <c r="I80" s="125"/>
      <c r="J80" s="126"/>
      <c r="K80" s="125"/>
      <c r="L80" s="95"/>
      <c r="M80" s="95">
        <f t="shared" si="8"/>
        <v>0</v>
      </c>
      <c r="N80" s="56"/>
      <c r="O80" s="49"/>
      <c r="P80" s="59"/>
      <c r="Q80" s="67" t="e">
        <f t="shared" si="7"/>
        <v>#DIV/0!</v>
      </c>
    </row>
    <row r="81" spans="1:17" ht="18.75" customHeight="1">
      <c r="A81" s="11"/>
      <c r="B81" s="68"/>
      <c r="C81" s="12"/>
      <c r="D81" s="69"/>
      <c r="E81" s="12"/>
      <c r="F81" s="12"/>
      <c r="G81" s="70"/>
      <c r="H81" s="71"/>
      <c r="I81" s="71"/>
      <c r="J81" s="72"/>
      <c r="K81" s="71"/>
      <c r="L81" s="73"/>
      <c r="M81" s="73">
        <f>SUM(M72:M80)</f>
        <v>521664</v>
      </c>
      <c r="N81" s="74"/>
      <c r="O81" s="11"/>
      <c r="P81" s="75"/>
      <c r="Q81" s="74" t="e">
        <f t="shared" si="7"/>
        <v>#DIV/0!</v>
      </c>
    </row>
    <row r="82" spans="1:17" ht="18.75" customHeight="1">
      <c r="A82" s="11"/>
      <c r="B82" s="68"/>
      <c r="C82" s="12"/>
      <c r="D82" s="69"/>
      <c r="E82" s="12"/>
      <c r="F82" s="12"/>
      <c r="G82" s="70"/>
      <c r="H82" s="71"/>
      <c r="I82" s="71"/>
      <c r="J82" s="72"/>
      <c r="K82" s="71"/>
      <c r="L82" s="73"/>
      <c r="M82" s="73"/>
      <c r="N82" s="74"/>
      <c r="O82" s="11"/>
      <c r="P82" s="75"/>
      <c r="Q82" s="74"/>
    </row>
    <row r="83" spans="1:17" ht="18.75" customHeight="1">
      <c r="A83" s="122" t="s">
        <v>29</v>
      </c>
      <c r="B83" s="123"/>
      <c r="C83" s="122"/>
      <c r="D83" s="124"/>
      <c r="E83" s="132" t="s">
        <v>34</v>
      </c>
      <c r="F83" s="122"/>
      <c r="G83" s="132" t="s">
        <v>845</v>
      </c>
      <c r="H83" s="125">
        <v>750</v>
      </c>
      <c r="I83" s="125">
        <v>48</v>
      </c>
      <c r="J83" s="126">
        <v>1</v>
      </c>
      <c r="K83" s="125"/>
      <c r="L83" s="95">
        <f>H83*I83*J83</f>
        <v>36000</v>
      </c>
      <c r="M83" s="95">
        <f>L83*1.1</f>
        <v>39600</v>
      </c>
      <c r="N83" s="56"/>
      <c r="O83" s="49"/>
      <c r="P83" s="59" t="s">
        <v>846</v>
      </c>
      <c r="Q83" s="67">
        <f t="shared" ref="Q83:Q87" si="12">(M83+N83*1.1)/(I83*J83)</f>
        <v>825</v>
      </c>
    </row>
    <row r="84" spans="1:17" ht="18.75" customHeight="1">
      <c r="A84" s="122"/>
      <c r="B84" s="123"/>
      <c r="C84" s="122"/>
      <c r="D84" s="124"/>
      <c r="E84" s="132" t="s">
        <v>34</v>
      </c>
      <c r="F84" s="122"/>
      <c r="G84" s="132" t="s">
        <v>847</v>
      </c>
      <c r="H84" s="125">
        <v>210</v>
      </c>
      <c r="I84" s="125">
        <v>240</v>
      </c>
      <c r="J84" s="126">
        <v>2</v>
      </c>
      <c r="K84" s="125"/>
      <c r="L84" s="95">
        <f t="shared" ref="L84:L87" si="13">H84*I84*J84</f>
        <v>100800</v>
      </c>
      <c r="M84" s="95">
        <f>L84*1.1</f>
        <v>110880.00000000001</v>
      </c>
      <c r="N84" s="56"/>
      <c r="O84" s="49"/>
      <c r="P84" s="59">
        <v>45720</v>
      </c>
      <c r="Q84" s="67">
        <f t="shared" si="12"/>
        <v>231.00000000000003</v>
      </c>
    </row>
    <row r="85" spans="1:17" ht="18.75" customHeight="1">
      <c r="A85" s="122"/>
      <c r="B85" s="123"/>
      <c r="C85" s="122"/>
      <c r="D85" s="124"/>
      <c r="E85" s="132" t="s">
        <v>427</v>
      </c>
      <c r="F85" s="122"/>
      <c r="G85" s="132" t="s">
        <v>847</v>
      </c>
      <c r="H85" s="125">
        <v>210</v>
      </c>
      <c r="I85" s="125">
        <v>240</v>
      </c>
      <c r="J85" s="126">
        <v>2</v>
      </c>
      <c r="K85" s="125"/>
      <c r="L85" s="95">
        <f t="shared" si="13"/>
        <v>100800</v>
      </c>
      <c r="M85" s="95">
        <f>L85*1.1</f>
        <v>110880.00000000001</v>
      </c>
      <c r="N85" s="56"/>
      <c r="O85" s="49"/>
      <c r="P85" s="59">
        <v>45720</v>
      </c>
      <c r="Q85" s="67">
        <f t="shared" si="12"/>
        <v>231.00000000000003</v>
      </c>
    </row>
    <row r="86" spans="1:17" ht="18.75" customHeight="1">
      <c r="A86" s="122"/>
      <c r="B86" s="123"/>
      <c r="C86" s="122"/>
      <c r="D86" s="124"/>
      <c r="E86" s="96"/>
      <c r="F86" s="122"/>
      <c r="G86" s="96"/>
      <c r="H86" s="125"/>
      <c r="I86" s="125"/>
      <c r="J86" s="126"/>
      <c r="K86" s="125"/>
      <c r="L86" s="95">
        <f t="shared" si="13"/>
        <v>0</v>
      </c>
      <c r="M86" s="95">
        <f t="shared" ref="M86:M87" si="14">L86*1.1</f>
        <v>0</v>
      </c>
      <c r="N86" s="56"/>
      <c r="O86" s="49"/>
      <c r="P86" s="59"/>
      <c r="Q86" s="67" t="e">
        <f t="shared" si="12"/>
        <v>#DIV/0!</v>
      </c>
    </row>
    <row r="87" spans="1:17" ht="18.75" customHeight="1">
      <c r="A87" s="122"/>
      <c r="B87" s="123"/>
      <c r="C87" s="122"/>
      <c r="D87" s="124"/>
      <c r="E87" s="96"/>
      <c r="F87" s="122"/>
      <c r="G87" s="96"/>
      <c r="H87" s="125"/>
      <c r="I87" s="125"/>
      <c r="J87" s="126"/>
      <c r="K87" s="125"/>
      <c r="L87" s="95">
        <f t="shared" si="13"/>
        <v>0</v>
      </c>
      <c r="M87" s="95">
        <f t="shared" si="14"/>
        <v>0</v>
      </c>
      <c r="N87" s="56"/>
      <c r="O87" s="49"/>
      <c r="P87" s="59"/>
      <c r="Q87" s="67" t="e">
        <f t="shared" si="12"/>
        <v>#DIV/0!</v>
      </c>
    </row>
    <row r="88" spans="1:17" ht="18.75" customHeight="1">
      <c r="A88" s="12"/>
      <c r="B88" s="68"/>
      <c r="C88" s="12"/>
      <c r="D88" s="69"/>
      <c r="E88" s="12"/>
      <c r="F88" s="12"/>
      <c r="G88" s="70"/>
      <c r="H88" s="71"/>
      <c r="I88" s="71"/>
      <c r="J88" s="72"/>
      <c r="K88" s="71"/>
      <c r="L88" s="73"/>
      <c r="M88" s="73">
        <f>SUM(M83:M87)</f>
        <v>261360</v>
      </c>
      <c r="N88" s="74"/>
      <c r="O88" s="11"/>
      <c r="P88" s="75"/>
      <c r="Q88" s="74"/>
    </row>
    <row r="89" spans="1:17" ht="18.75" customHeight="1">
      <c r="A89" s="12"/>
      <c r="B89" s="68"/>
      <c r="C89" s="12"/>
      <c r="D89" s="69"/>
      <c r="E89" s="12"/>
      <c r="F89" s="12"/>
      <c r="G89" s="70"/>
      <c r="H89" s="71"/>
      <c r="I89" s="71"/>
      <c r="J89" s="72"/>
      <c r="K89" s="71"/>
      <c r="L89" s="73"/>
      <c r="M89" s="73"/>
      <c r="N89" s="74"/>
      <c r="O89" s="11"/>
      <c r="P89" s="75"/>
      <c r="Q89" s="74"/>
    </row>
    <row r="90" spans="1:17" ht="18.75" customHeight="1">
      <c r="A90" s="151" t="s">
        <v>30</v>
      </c>
      <c r="B90" s="123"/>
      <c r="C90" s="122"/>
      <c r="D90" s="124"/>
      <c r="E90" s="132" t="s">
        <v>34</v>
      </c>
      <c r="F90" s="122"/>
      <c r="G90" s="96" t="s">
        <v>848</v>
      </c>
      <c r="H90" s="125">
        <v>313</v>
      </c>
      <c r="I90" s="125">
        <v>128</v>
      </c>
      <c r="J90" s="126">
        <v>3</v>
      </c>
      <c r="K90" s="125"/>
      <c r="L90" s="95">
        <v>120000</v>
      </c>
      <c r="M90" s="95">
        <f>L90*1.1</f>
        <v>132000</v>
      </c>
      <c r="N90" s="56"/>
      <c r="O90" s="49"/>
      <c r="P90" s="59"/>
      <c r="Q90" s="67">
        <f t="shared" ref="Q90:Q94" si="15">(M90+N90*1.1)/(I90*J90)</f>
        <v>343.75</v>
      </c>
    </row>
    <row r="91" spans="1:17" ht="18.75" customHeight="1">
      <c r="A91" s="122"/>
      <c r="B91" s="123"/>
      <c r="C91" s="122"/>
      <c r="D91" s="124"/>
      <c r="E91" s="96"/>
      <c r="F91" s="122"/>
      <c r="G91" s="96"/>
      <c r="H91" s="125"/>
      <c r="I91" s="125"/>
      <c r="J91" s="126"/>
      <c r="K91" s="125"/>
      <c r="L91" s="95"/>
      <c r="M91" s="95">
        <f>L91*1.1</f>
        <v>0</v>
      </c>
      <c r="N91" s="56"/>
      <c r="O91" s="49"/>
      <c r="P91" s="59"/>
      <c r="Q91" s="67" t="e">
        <f t="shared" si="15"/>
        <v>#DIV/0!</v>
      </c>
    </row>
    <row r="92" spans="1:17" ht="18.75" customHeight="1">
      <c r="A92" s="122"/>
      <c r="B92" s="123"/>
      <c r="C92" s="122"/>
      <c r="D92" s="124"/>
      <c r="E92" s="96"/>
      <c r="F92" s="122"/>
      <c r="G92" s="96"/>
      <c r="H92" s="125"/>
      <c r="I92" s="125"/>
      <c r="J92" s="126"/>
      <c r="K92" s="125"/>
      <c r="L92" s="95"/>
      <c r="M92" s="95">
        <f>L92*1.1</f>
        <v>0</v>
      </c>
      <c r="N92" s="56"/>
      <c r="O92" s="49"/>
      <c r="P92" s="59"/>
      <c r="Q92" s="67" t="e">
        <f t="shared" si="15"/>
        <v>#DIV/0!</v>
      </c>
    </row>
    <row r="93" spans="1:17" ht="18.75" customHeight="1">
      <c r="A93" s="122"/>
      <c r="B93" s="123"/>
      <c r="C93" s="122"/>
      <c r="D93" s="124"/>
      <c r="E93" s="96"/>
      <c r="F93" s="122"/>
      <c r="G93" s="96"/>
      <c r="H93" s="125"/>
      <c r="I93" s="125"/>
      <c r="J93" s="126"/>
      <c r="K93" s="125"/>
      <c r="L93" s="95"/>
      <c r="M93" s="95">
        <f t="shared" ref="M93:M94" si="16">L93*1.1</f>
        <v>0</v>
      </c>
      <c r="N93" s="56"/>
      <c r="O93" s="49"/>
      <c r="P93" s="59"/>
      <c r="Q93" s="67" t="e">
        <f t="shared" si="15"/>
        <v>#DIV/0!</v>
      </c>
    </row>
    <row r="94" spans="1:17" ht="18.75" customHeight="1">
      <c r="A94" s="122"/>
      <c r="B94" s="123"/>
      <c r="C94" s="122"/>
      <c r="D94" s="124"/>
      <c r="E94" s="96"/>
      <c r="F94" s="122"/>
      <c r="G94" s="96"/>
      <c r="H94" s="125"/>
      <c r="I94" s="125"/>
      <c r="J94" s="126"/>
      <c r="K94" s="125"/>
      <c r="L94" s="95"/>
      <c r="M94" s="95">
        <f t="shared" si="16"/>
        <v>0</v>
      </c>
      <c r="N94" s="56"/>
      <c r="O94" s="49"/>
      <c r="P94" s="59"/>
      <c r="Q94" s="67" t="e">
        <f t="shared" si="15"/>
        <v>#DIV/0!</v>
      </c>
    </row>
    <row r="95" spans="1:17" ht="18.75" customHeight="1">
      <c r="A95" s="12"/>
      <c r="B95" s="68"/>
      <c r="C95" s="12"/>
      <c r="D95" s="69"/>
      <c r="E95" s="12"/>
      <c r="F95" s="12"/>
      <c r="G95" s="70"/>
      <c r="H95" s="71"/>
      <c r="I95" s="71"/>
      <c r="J95" s="72"/>
      <c r="K95" s="71"/>
      <c r="L95" s="73"/>
      <c r="M95" s="73">
        <f>SUM(M90:M94)</f>
        <v>132000</v>
      </c>
      <c r="N95" s="74"/>
      <c r="O95" s="11"/>
      <c r="P95" s="75"/>
      <c r="Q95" s="74"/>
    </row>
    <row r="96" spans="1:17" ht="18.75" customHeight="1">
      <c r="A96" s="12"/>
      <c r="B96" s="68"/>
      <c r="C96" s="12"/>
      <c r="D96" s="69"/>
      <c r="E96" s="12"/>
      <c r="F96" s="12"/>
      <c r="G96" s="70"/>
      <c r="H96" s="71"/>
      <c r="I96" s="71"/>
      <c r="J96" s="72"/>
      <c r="K96" s="71"/>
      <c r="L96" s="73"/>
      <c r="M96" s="73"/>
      <c r="N96" s="74"/>
      <c r="O96" s="11"/>
      <c r="P96" s="75"/>
      <c r="Q96" s="74"/>
    </row>
    <row r="97" spans="1:17" ht="18.75" customHeight="1">
      <c r="A97" s="148" t="s">
        <v>849</v>
      </c>
      <c r="B97" s="123"/>
      <c r="C97" s="122"/>
      <c r="D97" s="124">
        <v>45728</v>
      </c>
      <c r="E97" s="96" t="s">
        <v>34</v>
      </c>
      <c r="F97" s="122"/>
      <c r="G97" s="96" t="s">
        <v>850</v>
      </c>
      <c r="H97" s="125"/>
      <c r="I97" s="125">
        <v>500</v>
      </c>
      <c r="J97" s="126">
        <v>3</v>
      </c>
      <c r="K97" s="125"/>
      <c r="L97" s="95">
        <v>37500</v>
      </c>
      <c r="M97" s="95">
        <f>L97*1.1</f>
        <v>41250</v>
      </c>
      <c r="N97" s="56"/>
      <c r="O97" s="49"/>
      <c r="P97" s="59"/>
      <c r="Q97" s="67">
        <f t="shared" ref="Q97:Q101" si="17">(M97+N97*1.1)/(I97*J97)</f>
        <v>27.5</v>
      </c>
    </row>
    <row r="98" spans="1:17" ht="18.75" customHeight="1">
      <c r="A98" s="122"/>
      <c r="B98" s="123"/>
      <c r="C98" s="122"/>
      <c r="D98" s="124"/>
      <c r="E98" s="96"/>
      <c r="F98" s="122"/>
      <c r="G98" s="96"/>
      <c r="H98" s="125"/>
      <c r="I98" s="125"/>
      <c r="J98" s="126"/>
      <c r="K98" s="125"/>
      <c r="L98" s="95"/>
      <c r="M98" s="95">
        <f>L98*1.1</f>
        <v>0</v>
      </c>
      <c r="N98" s="56"/>
      <c r="O98" s="49"/>
      <c r="P98" s="59"/>
      <c r="Q98" s="67" t="e">
        <f t="shared" si="17"/>
        <v>#DIV/0!</v>
      </c>
    </row>
    <row r="99" spans="1:17" ht="18.75" customHeight="1">
      <c r="A99" s="122"/>
      <c r="B99" s="123"/>
      <c r="C99" s="122"/>
      <c r="D99" s="124"/>
      <c r="E99" s="96"/>
      <c r="F99" s="122"/>
      <c r="G99" s="96"/>
      <c r="H99" s="125"/>
      <c r="I99" s="125"/>
      <c r="J99" s="126"/>
      <c r="K99" s="125"/>
      <c r="L99" s="95"/>
      <c r="M99" s="95">
        <f>L99*1.1</f>
        <v>0</v>
      </c>
      <c r="N99" s="56"/>
      <c r="O99" s="49"/>
      <c r="P99" s="59"/>
      <c r="Q99" s="67" t="e">
        <f t="shared" si="17"/>
        <v>#DIV/0!</v>
      </c>
    </row>
    <row r="100" spans="1:17" ht="18.75" customHeight="1">
      <c r="A100" s="122"/>
      <c r="B100" s="123"/>
      <c r="C100" s="122"/>
      <c r="D100" s="124"/>
      <c r="E100" s="96"/>
      <c r="F100" s="122"/>
      <c r="G100" s="96"/>
      <c r="H100" s="125"/>
      <c r="I100" s="125"/>
      <c r="J100" s="126"/>
      <c r="K100" s="125"/>
      <c r="L100" s="95"/>
      <c r="M100" s="95">
        <f t="shared" ref="M100:M101" si="18">L100*1.1</f>
        <v>0</v>
      </c>
      <c r="N100" s="56"/>
      <c r="O100" s="49"/>
      <c r="P100" s="59"/>
      <c r="Q100" s="67" t="e">
        <f t="shared" si="17"/>
        <v>#DIV/0!</v>
      </c>
    </row>
    <row r="101" spans="1:17" ht="18.75" customHeight="1">
      <c r="A101" s="122"/>
      <c r="B101" s="123"/>
      <c r="C101" s="122"/>
      <c r="D101" s="124"/>
      <c r="E101" s="96"/>
      <c r="F101" s="122"/>
      <c r="G101" s="96"/>
      <c r="H101" s="125"/>
      <c r="I101" s="125"/>
      <c r="J101" s="126"/>
      <c r="K101" s="125"/>
      <c r="L101" s="95"/>
      <c r="M101" s="95">
        <f t="shared" si="18"/>
        <v>0</v>
      </c>
      <c r="N101" s="56"/>
      <c r="O101" s="49"/>
      <c r="P101" s="59"/>
      <c r="Q101" s="67" t="e">
        <f t="shared" si="17"/>
        <v>#DIV/0!</v>
      </c>
    </row>
    <row r="102" spans="1:17" ht="18.75" customHeight="1">
      <c r="A102" s="11"/>
      <c r="B102" s="127"/>
      <c r="C102" s="11"/>
      <c r="D102" s="128"/>
      <c r="E102" s="11"/>
      <c r="F102" s="11"/>
      <c r="G102" s="70"/>
      <c r="H102" s="11"/>
      <c r="I102" s="11"/>
      <c r="J102" s="129"/>
      <c r="K102" s="11"/>
      <c r="L102" s="74"/>
      <c r="M102" s="74">
        <f>SUM(M97:M101)</f>
        <v>41250</v>
      </c>
      <c r="N102" s="74"/>
      <c r="O102" s="11"/>
      <c r="P102" s="75"/>
      <c r="Q102" s="74"/>
    </row>
    <row r="103" spans="1:17" ht="18.75" customHeight="1"/>
    <row r="104" spans="1:17" ht="18.75" customHeight="1"/>
    <row r="105" spans="1:17" ht="18.75" customHeight="1">
      <c r="L105" s="150" t="s">
        <v>851</v>
      </c>
      <c r="M105" s="149">
        <f>M46+M70+M81+M88+M102</f>
        <v>3768723</v>
      </c>
    </row>
    <row r="106" spans="1:17" ht="18.75" customHeight="1"/>
    <row r="107" spans="1:17" ht="18.75" customHeight="1"/>
    <row r="108" spans="1:17" ht="18.75" customHeight="1"/>
    <row r="109" spans="1:17" ht="18.75" customHeight="1"/>
    <row r="110" spans="1:17" ht="18.75" customHeight="1">
      <c r="B110" s="26"/>
      <c r="C110" s="1"/>
      <c r="D110" s="20"/>
      <c r="E110" s="1"/>
      <c r="F110" s="1"/>
      <c r="G110" s="32"/>
      <c r="H110" s="2"/>
      <c r="I110" s="2"/>
      <c r="J110" s="60"/>
      <c r="K110" s="2"/>
      <c r="L110" s="34"/>
      <c r="M110" s="34"/>
    </row>
    <row r="111" spans="1:17" ht="18.75" customHeight="1">
      <c r="B111" s="26"/>
      <c r="C111" s="1"/>
      <c r="D111" s="20"/>
      <c r="E111" s="1"/>
      <c r="F111" s="1"/>
      <c r="G111" s="32"/>
      <c r="H111" s="2"/>
      <c r="I111" s="2"/>
      <c r="J111" s="60"/>
      <c r="K111" s="2"/>
      <c r="L111" s="34"/>
      <c r="M111" s="34"/>
    </row>
    <row r="112" spans="1:17" ht="18.75" customHeight="1">
      <c r="B112" s="26"/>
      <c r="C112" s="1"/>
      <c r="D112" s="20"/>
      <c r="E112" s="1"/>
      <c r="F112" s="1"/>
      <c r="G112" s="32"/>
      <c r="H112" s="2"/>
      <c r="I112" s="2"/>
      <c r="J112" s="60"/>
      <c r="K112" s="2"/>
      <c r="L112" s="34"/>
      <c r="M112" s="34"/>
    </row>
    <row r="113" spans="2:13" ht="18.75" customHeight="1">
      <c r="B113" s="26"/>
      <c r="C113" s="1"/>
      <c r="D113" s="20"/>
      <c r="E113" s="1"/>
      <c r="F113" s="1"/>
      <c r="G113" s="32"/>
      <c r="H113" s="2"/>
      <c r="I113" s="2"/>
      <c r="J113" s="60"/>
      <c r="K113" s="2"/>
      <c r="L113" s="34"/>
      <c r="M113" s="34"/>
    </row>
    <row r="114" spans="2:13" ht="18.75" customHeight="1">
      <c r="B114" s="26"/>
      <c r="C114" s="1"/>
      <c r="D114" s="20"/>
      <c r="E114" s="1"/>
      <c r="F114" s="1"/>
      <c r="G114" s="32"/>
      <c r="H114" s="2"/>
      <c r="I114" s="2"/>
      <c r="J114" s="60"/>
      <c r="K114" s="2"/>
      <c r="L114" s="34"/>
      <c r="M114" s="34"/>
    </row>
    <row r="115" spans="2:13" ht="18.75" customHeight="1">
      <c r="B115" s="26"/>
      <c r="C115" s="1"/>
      <c r="D115" s="20"/>
      <c r="E115" s="1"/>
      <c r="F115" s="1"/>
      <c r="G115" s="32"/>
      <c r="H115" s="2"/>
      <c r="I115" s="2"/>
      <c r="J115" s="60"/>
      <c r="K115" s="2"/>
      <c r="L115" s="34"/>
      <c r="M115" s="34"/>
    </row>
    <row r="116" spans="2:13" ht="18.75" customHeight="1">
      <c r="B116" s="26"/>
      <c r="C116" s="1"/>
      <c r="D116" s="20"/>
      <c r="E116" s="1"/>
      <c r="F116" s="1"/>
      <c r="G116" s="32"/>
      <c r="H116" s="2"/>
      <c r="I116" s="2"/>
      <c r="J116" s="60"/>
      <c r="K116" s="2"/>
      <c r="L116" s="34"/>
      <c r="M116" s="34"/>
    </row>
    <row r="117" spans="2:13" ht="18.75" customHeight="1">
      <c r="B117" s="26"/>
      <c r="C117" s="1"/>
      <c r="D117" s="20"/>
      <c r="E117" s="1"/>
      <c r="F117" s="1"/>
      <c r="G117" s="32"/>
      <c r="H117" s="2"/>
      <c r="I117" s="2"/>
      <c r="J117" s="60"/>
      <c r="K117" s="2"/>
      <c r="L117" s="34"/>
      <c r="M117" s="34"/>
    </row>
    <row r="118" spans="2:13" ht="18.75" customHeight="1">
      <c r="B118" s="26"/>
      <c r="C118" s="1"/>
      <c r="D118" s="20"/>
      <c r="E118" s="1"/>
      <c r="F118" s="1"/>
      <c r="G118" s="32"/>
      <c r="H118" s="2"/>
      <c r="I118" s="2"/>
      <c r="J118" s="60"/>
      <c r="K118" s="2"/>
      <c r="L118" s="34"/>
      <c r="M118" s="34"/>
    </row>
    <row r="119" spans="2:13" ht="18.75" customHeight="1">
      <c r="B119" s="26"/>
      <c r="C119" s="1"/>
      <c r="D119" s="20"/>
      <c r="E119" s="1"/>
      <c r="F119" s="1"/>
      <c r="G119" s="32"/>
      <c r="H119" s="2"/>
      <c r="I119" s="2"/>
      <c r="J119" s="60"/>
      <c r="K119" s="2"/>
      <c r="L119" s="34"/>
      <c r="M119" s="34"/>
    </row>
    <row r="120" spans="2:13" ht="18.75" customHeight="1">
      <c r="B120" s="26"/>
      <c r="C120" s="1"/>
      <c r="D120" s="20"/>
      <c r="E120" s="1"/>
      <c r="F120" s="1"/>
      <c r="G120" s="32"/>
      <c r="H120" s="2"/>
      <c r="I120" s="2"/>
      <c r="J120" s="60"/>
      <c r="K120" s="2"/>
      <c r="L120" s="34"/>
      <c r="M120" s="34"/>
    </row>
    <row r="121" spans="2:13" ht="18.75" customHeight="1">
      <c r="B121" s="26"/>
      <c r="C121" s="1"/>
      <c r="D121" s="20"/>
      <c r="E121" s="1"/>
      <c r="F121" s="1"/>
      <c r="G121" s="32"/>
      <c r="H121" s="2"/>
      <c r="I121" s="2"/>
      <c r="J121" s="60"/>
      <c r="K121" s="2"/>
      <c r="L121" s="34"/>
      <c r="M121" s="34"/>
    </row>
    <row r="122" spans="2:13" ht="18.75" customHeight="1">
      <c r="B122" s="26"/>
      <c r="C122" s="1"/>
      <c r="D122" s="20"/>
      <c r="E122" s="1"/>
      <c r="F122" s="1"/>
      <c r="G122" s="32"/>
      <c r="H122" s="2"/>
      <c r="I122" s="2"/>
      <c r="J122" s="60"/>
      <c r="K122" s="2"/>
      <c r="L122" s="34"/>
      <c r="M122" s="34"/>
    </row>
    <row r="123" spans="2:13" ht="18.75" customHeight="1">
      <c r="B123" s="26"/>
      <c r="C123" s="1"/>
      <c r="D123" s="20"/>
      <c r="E123" s="1"/>
      <c r="F123" s="1"/>
      <c r="G123" s="32"/>
      <c r="H123" s="2"/>
      <c r="I123" s="2"/>
      <c r="J123" s="60"/>
      <c r="K123" s="2"/>
      <c r="L123" s="34"/>
      <c r="M123" s="34"/>
    </row>
    <row r="124" spans="2:13" ht="18.75" customHeight="1">
      <c r="B124" s="26"/>
      <c r="C124" s="1"/>
      <c r="D124" s="20"/>
      <c r="E124" s="1"/>
      <c r="F124" s="1"/>
      <c r="G124" s="32"/>
      <c r="H124" s="2"/>
      <c r="I124" s="2"/>
      <c r="J124" s="60"/>
      <c r="K124" s="2"/>
      <c r="L124" s="34"/>
      <c r="M124" s="34"/>
    </row>
    <row r="125" spans="2:13" ht="18.75" customHeight="1">
      <c r="B125" s="26"/>
      <c r="C125" s="1"/>
      <c r="D125" s="20"/>
      <c r="E125" s="1"/>
      <c r="F125" s="1"/>
      <c r="G125" s="32"/>
      <c r="H125" s="2"/>
      <c r="I125" s="2"/>
      <c r="J125" s="60"/>
      <c r="K125" s="2"/>
      <c r="L125" s="34"/>
      <c r="M125" s="34"/>
    </row>
    <row r="126" spans="2:13" ht="18.75" customHeight="1">
      <c r="B126" s="26"/>
      <c r="C126" s="1"/>
      <c r="D126" s="20"/>
      <c r="E126" s="1"/>
      <c r="F126" s="1"/>
      <c r="G126" s="32"/>
      <c r="H126" s="2"/>
      <c r="I126" s="2"/>
      <c r="J126" s="60"/>
      <c r="K126" s="2"/>
      <c r="L126" s="34"/>
      <c r="M126" s="34"/>
    </row>
    <row r="127" spans="2:13" ht="18.75" customHeight="1">
      <c r="B127" s="26"/>
      <c r="C127" s="1"/>
      <c r="D127" s="20"/>
      <c r="E127" s="1"/>
      <c r="F127" s="1"/>
      <c r="G127" s="32"/>
      <c r="H127" s="2"/>
      <c r="I127" s="2"/>
      <c r="J127" s="60"/>
      <c r="K127" s="2"/>
      <c r="L127" s="34"/>
      <c r="M127" s="34"/>
    </row>
    <row r="128" spans="2:13" ht="18.75" customHeight="1">
      <c r="B128" s="26"/>
      <c r="C128" s="1"/>
      <c r="D128" s="20"/>
      <c r="E128" s="1"/>
      <c r="F128" s="1"/>
      <c r="G128" s="32"/>
      <c r="H128" s="2"/>
      <c r="I128" s="2"/>
      <c r="J128" s="60"/>
      <c r="K128" s="2"/>
      <c r="L128" s="34"/>
      <c r="M128" s="34"/>
    </row>
    <row r="129" spans="2:13" ht="18.75" customHeight="1">
      <c r="B129" s="26"/>
      <c r="C129" s="1"/>
      <c r="D129" s="20"/>
      <c r="E129" s="1"/>
      <c r="F129" s="1"/>
      <c r="G129" s="32"/>
      <c r="H129" s="2"/>
      <c r="I129" s="2"/>
      <c r="J129" s="60"/>
      <c r="K129" s="2"/>
      <c r="L129" s="34"/>
      <c r="M129" s="34"/>
    </row>
    <row r="130" spans="2:13" ht="18.75" customHeight="1">
      <c r="B130" s="26"/>
      <c r="C130" s="1"/>
      <c r="D130" s="20"/>
      <c r="E130" s="1"/>
      <c r="F130" s="1"/>
      <c r="G130" s="32"/>
      <c r="H130" s="2"/>
      <c r="I130" s="2"/>
      <c r="J130" s="60"/>
      <c r="K130" s="2"/>
      <c r="L130" s="34"/>
      <c r="M130" s="34"/>
    </row>
    <row r="131" spans="2:13" ht="18.75" customHeight="1">
      <c r="B131" s="26"/>
      <c r="C131" s="1"/>
      <c r="D131" s="20"/>
      <c r="E131" s="1"/>
      <c r="F131" s="1"/>
      <c r="G131" s="32"/>
      <c r="H131" s="2"/>
      <c r="I131" s="2"/>
      <c r="J131" s="60"/>
      <c r="K131" s="2"/>
      <c r="L131" s="34"/>
      <c r="M131" s="34"/>
    </row>
    <row r="132" spans="2:13" ht="18.75" customHeight="1">
      <c r="B132" s="26"/>
      <c r="C132" s="1"/>
      <c r="D132" s="20"/>
      <c r="E132" s="1"/>
      <c r="F132" s="1"/>
      <c r="G132" s="32"/>
      <c r="H132" s="2"/>
      <c r="I132" s="2"/>
      <c r="J132" s="60"/>
      <c r="K132" s="2"/>
      <c r="L132" s="34"/>
      <c r="M132" s="34"/>
    </row>
    <row r="133" spans="2:13" ht="18.75" customHeight="1">
      <c r="B133" s="26"/>
      <c r="C133" s="1"/>
      <c r="D133" s="20"/>
      <c r="E133" s="1"/>
      <c r="F133" s="1"/>
      <c r="G133" s="32"/>
      <c r="H133" s="2"/>
      <c r="I133" s="2"/>
      <c r="J133" s="60"/>
      <c r="K133" s="2"/>
      <c r="L133" s="34"/>
      <c r="M133" s="34"/>
    </row>
    <row r="134" spans="2:13" ht="18.75" customHeight="1">
      <c r="B134" s="26"/>
      <c r="C134" s="1"/>
      <c r="D134" s="20"/>
      <c r="E134" s="1"/>
      <c r="F134" s="1"/>
      <c r="G134" s="32"/>
      <c r="H134" s="2"/>
      <c r="I134" s="2"/>
      <c r="J134" s="60"/>
      <c r="K134" s="2"/>
      <c r="L134" s="34"/>
      <c r="M134" s="34"/>
    </row>
    <row r="135" spans="2:13" ht="18.75" customHeight="1">
      <c r="B135" s="26"/>
      <c r="C135" s="1"/>
      <c r="D135" s="20"/>
      <c r="E135" s="1"/>
      <c r="F135" s="1"/>
      <c r="G135" s="32"/>
      <c r="H135" s="2"/>
      <c r="I135" s="2"/>
      <c r="J135" s="60"/>
      <c r="K135" s="2"/>
      <c r="L135" s="34"/>
      <c r="M135" s="34"/>
    </row>
    <row r="136" spans="2:13" ht="18.75" customHeight="1">
      <c r="B136" s="26"/>
      <c r="C136" s="1"/>
      <c r="D136" s="20"/>
      <c r="E136" s="1"/>
      <c r="F136" s="1"/>
      <c r="G136" s="32"/>
      <c r="H136" s="2"/>
      <c r="I136" s="2"/>
      <c r="J136" s="60"/>
      <c r="K136" s="2"/>
      <c r="L136" s="34"/>
      <c r="M136" s="34"/>
    </row>
    <row r="137" spans="2:13" ht="18.75" customHeight="1">
      <c r="B137" s="26"/>
      <c r="C137" s="1"/>
      <c r="D137" s="20"/>
      <c r="E137" s="1"/>
      <c r="F137" s="1"/>
      <c r="G137" s="32"/>
      <c r="H137" s="2"/>
      <c r="I137" s="2"/>
      <c r="J137" s="60"/>
      <c r="K137" s="2"/>
      <c r="L137" s="34"/>
      <c r="M137" s="34"/>
    </row>
    <row r="138" spans="2:13" ht="18.75" customHeight="1">
      <c r="B138" s="26"/>
      <c r="C138" s="1"/>
      <c r="D138" s="20"/>
      <c r="E138" s="1"/>
      <c r="F138" s="1"/>
      <c r="G138" s="32"/>
      <c r="H138" s="2"/>
      <c r="I138" s="2"/>
      <c r="J138" s="60"/>
      <c r="K138" s="2"/>
      <c r="L138" s="34"/>
      <c r="M138" s="34"/>
    </row>
    <row r="139" spans="2:13" ht="18.75" customHeight="1">
      <c r="B139" s="26"/>
      <c r="C139" s="1"/>
      <c r="D139" s="20"/>
      <c r="E139" s="1"/>
      <c r="F139" s="1"/>
      <c r="G139" s="32"/>
      <c r="H139" s="2"/>
      <c r="I139" s="2"/>
      <c r="J139" s="60"/>
      <c r="K139" s="2"/>
      <c r="L139" s="34"/>
      <c r="M139" s="34"/>
    </row>
    <row r="140" spans="2:13" ht="18.75" customHeight="1">
      <c r="B140" s="26"/>
      <c r="C140" s="1"/>
      <c r="D140" s="20"/>
      <c r="E140" s="1"/>
      <c r="F140" s="1"/>
      <c r="G140" s="32"/>
      <c r="H140" s="2"/>
      <c r="I140" s="2"/>
      <c r="J140" s="60"/>
      <c r="K140" s="2"/>
      <c r="L140" s="34"/>
      <c r="M140" s="34"/>
    </row>
    <row r="141" spans="2:13" ht="18.75" customHeight="1">
      <c r="B141" s="26"/>
      <c r="C141" s="1"/>
      <c r="D141" s="20"/>
      <c r="E141" s="1"/>
      <c r="F141" s="1"/>
      <c r="G141" s="32"/>
      <c r="H141" s="2"/>
      <c r="I141" s="2"/>
      <c r="J141" s="60"/>
      <c r="K141" s="2"/>
      <c r="L141" s="34"/>
      <c r="M141" s="34"/>
    </row>
    <row r="142" spans="2:13" ht="18.75" customHeight="1">
      <c r="B142" s="26"/>
      <c r="C142" s="1"/>
      <c r="D142" s="20"/>
      <c r="E142" s="1"/>
      <c r="F142" s="1"/>
      <c r="G142" s="32"/>
      <c r="H142" s="2"/>
      <c r="I142" s="2"/>
      <c r="J142" s="60"/>
      <c r="K142" s="2"/>
      <c r="L142" s="34"/>
      <c r="M142" s="34"/>
    </row>
    <row r="143" spans="2:13" ht="18.75" customHeight="1">
      <c r="B143" s="26"/>
      <c r="C143" s="1"/>
      <c r="D143" s="20"/>
      <c r="E143" s="1"/>
      <c r="F143" s="1"/>
      <c r="G143" s="32"/>
      <c r="H143" s="2"/>
      <c r="I143" s="2"/>
      <c r="J143" s="60"/>
      <c r="K143" s="2"/>
      <c r="L143" s="34"/>
      <c r="M143" s="34"/>
    </row>
    <row r="144" spans="2:13" ht="18.75" customHeight="1">
      <c r="B144" s="26"/>
      <c r="C144" s="1"/>
      <c r="D144" s="20"/>
      <c r="E144" s="1"/>
      <c r="F144" s="1"/>
      <c r="G144" s="32"/>
      <c r="H144" s="2"/>
      <c r="I144" s="2"/>
      <c r="J144" s="60"/>
      <c r="K144" s="2"/>
      <c r="L144" s="34"/>
      <c r="M144" s="34"/>
    </row>
    <row r="145" spans="2:13" ht="18.75" customHeight="1">
      <c r="B145" s="26"/>
      <c r="C145" s="1"/>
      <c r="D145" s="20"/>
      <c r="E145" s="1"/>
      <c r="F145" s="1"/>
      <c r="G145" s="32"/>
      <c r="H145" s="2"/>
      <c r="I145" s="2"/>
      <c r="J145" s="60"/>
      <c r="K145" s="2"/>
      <c r="L145" s="34"/>
      <c r="M145" s="34"/>
    </row>
    <row r="146" spans="2:13" ht="18.75" customHeight="1">
      <c r="B146" s="26"/>
      <c r="C146" s="1"/>
      <c r="D146" s="20"/>
      <c r="E146" s="1"/>
      <c r="F146" s="1"/>
      <c r="G146" s="32"/>
      <c r="H146" s="2"/>
      <c r="I146" s="2"/>
      <c r="J146" s="60"/>
      <c r="K146" s="2"/>
      <c r="L146" s="34"/>
      <c r="M146" s="34"/>
    </row>
    <row r="147" spans="2:13" ht="18.75" customHeight="1">
      <c r="B147" s="26"/>
      <c r="C147" s="1"/>
      <c r="D147" s="20"/>
      <c r="E147" s="1"/>
      <c r="F147" s="1"/>
      <c r="G147" s="32"/>
      <c r="H147" s="2"/>
      <c r="I147" s="2"/>
      <c r="J147" s="60"/>
      <c r="K147" s="2"/>
      <c r="L147" s="34"/>
      <c r="M147" s="34"/>
    </row>
    <row r="148" spans="2:13" ht="18.75" customHeight="1">
      <c r="B148" s="26"/>
      <c r="C148" s="1"/>
      <c r="D148" s="20"/>
      <c r="E148" s="1"/>
      <c r="F148" s="1"/>
      <c r="G148" s="32"/>
      <c r="H148" s="2"/>
      <c r="I148" s="2"/>
      <c r="J148" s="60"/>
      <c r="K148" s="2"/>
      <c r="L148" s="34"/>
      <c r="M148" s="34"/>
    </row>
    <row r="149" spans="2:13" ht="18.75" customHeight="1">
      <c r="B149" s="26"/>
      <c r="C149" s="1"/>
      <c r="D149" s="20"/>
      <c r="E149" s="1"/>
      <c r="F149" s="1"/>
      <c r="G149" s="32"/>
      <c r="H149" s="2"/>
      <c r="I149" s="2"/>
      <c r="J149" s="60"/>
      <c r="K149" s="2"/>
      <c r="L149" s="34"/>
      <c r="M149" s="34"/>
    </row>
    <row r="150" spans="2:13" ht="18.75" customHeight="1">
      <c r="B150" s="26"/>
      <c r="C150" s="1"/>
      <c r="D150" s="20"/>
      <c r="E150" s="1"/>
      <c r="F150" s="1"/>
      <c r="G150" s="32"/>
      <c r="H150" s="2"/>
      <c r="I150" s="2"/>
      <c r="J150" s="60"/>
      <c r="K150" s="2"/>
      <c r="L150" s="34"/>
      <c r="M150" s="34"/>
    </row>
    <row r="151" spans="2:13" ht="18.75" customHeight="1">
      <c r="B151" s="26"/>
      <c r="C151" s="1"/>
      <c r="D151" s="20"/>
      <c r="E151" s="1"/>
      <c r="F151" s="1"/>
      <c r="G151" s="32"/>
      <c r="H151" s="2"/>
      <c r="I151" s="2"/>
      <c r="J151" s="60"/>
      <c r="K151" s="2"/>
      <c r="L151" s="34"/>
      <c r="M151" s="34"/>
    </row>
    <row r="152" spans="2:13" ht="18.75" customHeight="1">
      <c r="B152" s="26"/>
      <c r="C152" s="1"/>
      <c r="D152" s="20"/>
      <c r="E152" s="1"/>
      <c r="F152" s="1"/>
      <c r="G152" s="32"/>
      <c r="H152" s="2"/>
      <c r="I152" s="2"/>
      <c r="J152" s="60"/>
      <c r="K152" s="2"/>
      <c r="L152" s="34"/>
      <c r="M152" s="34"/>
    </row>
    <row r="153" spans="2:13" ht="18.75" customHeight="1">
      <c r="B153" s="26"/>
      <c r="C153" s="1"/>
      <c r="D153" s="20"/>
      <c r="E153" s="1"/>
      <c r="F153" s="1"/>
      <c r="G153" s="32"/>
      <c r="H153" s="2"/>
      <c r="I153" s="2"/>
      <c r="J153" s="60"/>
      <c r="K153" s="2"/>
      <c r="L153" s="34"/>
      <c r="M153" s="34"/>
    </row>
    <row r="154" spans="2:13" ht="18.75" customHeight="1">
      <c r="B154" s="26"/>
      <c r="C154" s="1"/>
      <c r="D154" s="20"/>
      <c r="E154" s="1"/>
      <c r="F154" s="1"/>
      <c r="G154" s="32"/>
      <c r="H154" s="2"/>
      <c r="I154" s="2"/>
      <c r="J154" s="60"/>
      <c r="K154" s="2"/>
      <c r="L154" s="34"/>
      <c r="M154" s="34"/>
    </row>
    <row r="155" spans="2:13" ht="18.75" customHeight="1">
      <c r="B155" s="26"/>
      <c r="C155" s="1"/>
      <c r="D155" s="20"/>
      <c r="E155" s="1"/>
      <c r="F155" s="1"/>
      <c r="G155" s="32"/>
      <c r="H155" s="2"/>
      <c r="I155" s="2"/>
      <c r="J155" s="60"/>
      <c r="K155" s="2"/>
      <c r="L155" s="34"/>
      <c r="M155" s="34"/>
    </row>
    <row r="156" spans="2:13" ht="18.75" customHeight="1">
      <c r="B156" s="26"/>
      <c r="C156" s="1"/>
      <c r="D156" s="20"/>
      <c r="E156" s="1"/>
      <c r="F156" s="1"/>
      <c r="G156" s="32"/>
      <c r="H156" s="2"/>
      <c r="I156" s="2"/>
      <c r="J156" s="60"/>
      <c r="K156" s="2"/>
      <c r="L156" s="34"/>
      <c r="M156" s="34"/>
    </row>
    <row r="157" spans="2:13" ht="18.75" customHeight="1">
      <c r="B157" s="26"/>
      <c r="C157" s="1"/>
      <c r="D157" s="20"/>
      <c r="E157" s="1"/>
      <c r="F157" s="1"/>
      <c r="G157" s="32"/>
      <c r="H157" s="2"/>
      <c r="I157" s="2"/>
      <c r="J157" s="60"/>
      <c r="K157" s="2"/>
      <c r="L157" s="34"/>
      <c r="M157" s="34"/>
    </row>
    <row r="158" spans="2:13" ht="18.75" customHeight="1">
      <c r="B158" s="26"/>
      <c r="C158" s="1"/>
      <c r="D158" s="20"/>
      <c r="E158" s="1"/>
      <c r="F158" s="1"/>
      <c r="G158" s="32"/>
      <c r="H158" s="2"/>
      <c r="I158" s="2"/>
      <c r="J158" s="60"/>
      <c r="K158" s="2"/>
      <c r="L158" s="34"/>
      <c r="M158" s="34"/>
    </row>
    <row r="159" spans="2:13" ht="18.75" customHeight="1">
      <c r="B159" s="26"/>
      <c r="C159" s="1"/>
      <c r="D159" s="20"/>
      <c r="E159" s="1"/>
      <c r="F159" s="1"/>
      <c r="G159" s="32"/>
      <c r="H159" s="2"/>
      <c r="I159" s="2"/>
      <c r="J159" s="60"/>
      <c r="K159" s="2"/>
      <c r="L159" s="34"/>
      <c r="M159" s="34"/>
    </row>
    <row r="160" spans="2:13" ht="18.75" customHeight="1">
      <c r="B160" s="26"/>
      <c r="C160" s="1"/>
      <c r="D160" s="20"/>
      <c r="E160" s="1"/>
      <c r="F160" s="1"/>
      <c r="G160" s="32"/>
      <c r="H160" s="2"/>
      <c r="I160" s="2"/>
      <c r="J160" s="60"/>
      <c r="K160" s="2"/>
      <c r="L160" s="34"/>
      <c r="M160" s="34"/>
    </row>
    <row r="161" spans="2:13" ht="18.75" customHeight="1">
      <c r="B161" s="26"/>
      <c r="C161" s="1"/>
      <c r="D161" s="20"/>
      <c r="E161" s="1"/>
      <c r="F161" s="1"/>
      <c r="G161" s="32"/>
      <c r="H161" s="2"/>
      <c r="I161" s="2"/>
      <c r="J161" s="60"/>
      <c r="K161" s="2"/>
      <c r="L161" s="34"/>
      <c r="M161" s="34"/>
    </row>
    <row r="162" spans="2:13" ht="18.75" customHeight="1">
      <c r="B162" s="26"/>
      <c r="C162" s="1"/>
      <c r="D162" s="20"/>
      <c r="E162" s="1"/>
      <c r="F162" s="1"/>
      <c r="G162" s="32"/>
      <c r="H162" s="2"/>
      <c r="I162" s="2"/>
      <c r="J162" s="60"/>
      <c r="K162" s="2"/>
      <c r="L162" s="34"/>
      <c r="M162" s="34"/>
    </row>
    <row r="163" spans="2:13" ht="18.75" customHeight="1">
      <c r="B163" s="26"/>
      <c r="C163" s="1"/>
      <c r="D163" s="20"/>
      <c r="E163" s="1"/>
      <c r="F163" s="1"/>
      <c r="G163" s="32"/>
      <c r="H163" s="2"/>
      <c r="I163" s="2"/>
      <c r="J163" s="60"/>
      <c r="K163" s="2"/>
      <c r="L163" s="34"/>
      <c r="M163" s="34"/>
    </row>
    <row r="164" spans="2:13" ht="18.75" customHeight="1">
      <c r="B164" s="26"/>
      <c r="C164" s="1"/>
      <c r="D164" s="20"/>
      <c r="E164" s="1"/>
      <c r="F164" s="1"/>
      <c r="G164" s="32"/>
      <c r="H164" s="2"/>
      <c r="I164" s="2"/>
      <c r="J164" s="60"/>
      <c r="K164" s="2"/>
      <c r="L164" s="34"/>
      <c r="M164" s="34"/>
    </row>
    <row r="165" spans="2:13" ht="18.75" customHeight="1">
      <c r="B165" s="26"/>
      <c r="C165" s="1"/>
      <c r="D165" s="20"/>
      <c r="E165" s="1"/>
      <c r="F165" s="1"/>
      <c r="G165" s="32"/>
      <c r="H165" s="2"/>
      <c r="I165" s="2"/>
      <c r="J165" s="60"/>
      <c r="K165" s="2"/>
      <c r="L165" s="34"/>
      <c r="M165" s="34"/>
    </row>
    <row r="166" spans="2:13" ht="18.75" customHeight="1">
      <c r="B166" s="26"/>
      <c r="C166" s="1"/>
      <c r="D166" s="20"/>
      <c r="E166" s="1"/>
      <c r="F166" s="1"/>
      <c r="G166" s="32"/>
      <c r="H166" s="2"/>
      <c r="I166" s="2"/>
      <c r="J166" s="60"/>
      <c r="K166" s="2"/>
      <c r="L166" s="34"/>
      <c r="M166" s="34"/>
    </row>
    <row r="167" spans="2:13" ht="18.75" customHeight="1">
      <c r="B167" s="26"/>
      <c r="C167" s="1"/>
      <c r="D167" s="20"/>
      <c r="E167" s="1"/>
      <c r="F167" s="1"/>
      <c r="G167" s="32"/>
      <c r="H167" s="2"/>
      <c r="I167" s="2"/>
      <c r="J167" s="60"/>
      <c r="K167" s="2"/>
      <c r="L167" s="34"/>
      <c r="M167" s="34"/>
    </row>
    <row r="168" spans="2:13" ht="18.75" customHeight="1">
      <c r="B168" s="26"/>
      <c r="C168" s="1"/>
      <c r="D168" s="20"/>
      <c r="E168" s="1"/>
      <c r="F168" s="1"/>
      <c r="G168" s="32"/>
      <c r="H168" s="2"/>
      <c r="I168" s="2"/>
      <c r="J168" s="60"/>
      <c r="K168" s="2"/>
      <c r="L168" s="34"/>
      <c r="M168" s="34"/>
    </row>
    <row r="169" spans="2:13" ht="18.75" customHeight="1">
      <c r="B169" s="26"/>
      <c r="C169" s="1"/>
      <c r="D169" s="20"/>
      <c r="E169" s="1"/>
      <c r="F169" s="1"/>
      <c r="G169" s="32"/>
      <c r="H169" s="2"/>
      <c r="I169" s="2"/>
      <c r="J169" s="60"/>
      <c r="K169" s="2"/>
      <c r="L169" s="34"/>
      <c r="M169" s="34"/>
    </row>
    <row r="170" spans="2:13" ht="18.75" customHeight="1">
      <c r="B170" s="26"/>
      <c r="C170" s="1"/>
      <c r="D170" s="20"/>
      <c r="E170" s="1"/>
      <c r="F170" s="1"/>
      <c r="G170" s="32"/>
      <c r="H170" s="2"/>
      <c r="I170" s="2"/>
      <c r="J170" s="60"/>
      <c r="K170" s="2"/>
      <c r="L170" s="34"/>
      <c r="M170" s="34"/>
    </row>
    <row r="171" spans="2:13" ht="18.75" customHeight="1">
      <c r="B171" s="26"/>
      <c r="C171" s="1"/>
      <c r="D171" s="20"/>
      <c r="E171" s="1"/>
      <c r="F171" s="1"/>
      <c r="G171" s="32"/>
      <c r="H171" s="2"/>
      <c r="I171" s="2"/>
      <c r="J171" s="60"/>
      <c r="K171" s="2"/>
      <c r="L171" s="34"/>
      <c r="M171" s="34"/>
    </row>
    <row r="172" spans="2:13" ht="18.75" customHeight="1">
      <c r="B172" s="26"/>
      <c r="C172" s="1"/>
      <c r="D172" s="20"/>
      <c r="E172" s="1"/>
      <c r="F172" s="1"/>
      <c r="G172" s="32"/>
      <c r="H172" s="2"/>
      <c r="I172" s="2"/>
      <c r="J172" s="60"/>
      <c r="K172" s="2"/>
      <c r="L172" s="34"/>
      <c r="M172" s="34"/>
    </row>
    <row r="173" spans="2:13" ht="18.75" customHeight="1">
      <c r="B173" s="26"/>
      <c r="C173" s="1"/>
      <c r="D173" s="20"/>
      <c r="E173" s="1"/>
      <c r="F173" s="1"/>
      <c r="G173" s="32"/>
      <c r="H173" s="2"/>
      <c r="I173" s="2"/>
      <c r="J173" s="60"/>
      <c r="K173" s="2"/>
      <c r="L173" s="34"/>
      <c r="M173" s="34"/>
    </row>
    <row r="174" spans="2:13" ht="18.75" customHeight="1">
      <c r="B174" s="26"/>
      <c r="C174" s="1"/>
      <c r="D174" s="20"/>
      <c r="E174" s="1"/>
      <c r="F174" s="1"/>
      <c r="G174" s="32"/>
      <c r="H174" s="2"/>
      <c r="I174" s="2"/>
      <c r="J174" s="60"/>
      <c r="K174" s="2"/>
      <c r="L174" s="34"/>
      <c r="M174" s="34"/>
    </row>
    <row r="175" spans="2:13" ht="18.75" customHeight="1">
      <c r="B175" s="26"/>
      <c r="C175" s="1"/>
      <c r="D175" s="20"/>
      <c r="E175" s="1"/>
      <c r="F175" s="1"/>
      <c r="G175" s="32"/>
      <c r="H175" s="2"/>
      <c r="I175" s="2"/>
      <c r="J175" s="60"/>
      <c r="K175" s="2"/>
      <c r="L175" s="34"/>
      <c r="M175" s="34"/>
    </row>
    <row r="176" spans="2:13" ht="18.75" customHeight="1">
      <c r="B176" s="26"/>
      <c r="C176" s="1"/>
      <c r="D176" s="20"/>
      <c r="E176" s="1"/>
      <c r="F176" s="1"/>
      <c r="G176" s="32"/>
      <c r="H176" s="2"/>
      <c r="I176" s="2"/>
      <c r="J176" s="60"/>
      <c r="K176" s="2"/>
      <c r="L176" s="34"/>
      <c r="M176" s="34"/>
    </row>
    <row r="177" spans="2:13" ht="18.75" customHeight="1">
      <c r="B177" s="26"/>
      <c r="C177" s="1"/>
      <c r="D177" s="20"/>
      <c r="E177" s="1"/>
      <c r="F177" s="1"/>
      <c r="G177" s="32"/>
      <c r="H177" s="2"/>
      <c r="I177" s="2"/>
      <c r="J177" s="60"/>
      <c r="K177" s="2"/>
      <c r="L177" s="34"/>
      <c r="M177" s="34"/>
    </row>
    <row r="178" spans="2:13" ht="18.75" customHeight="1">
      <c r="B178" s="26"/>
      <c r="C178" s="1"/>
      <c r="D178" s="20"/>
      <c r="E178" s="1"/>
      <c r="F178" s="1"/>
      <c r="G178" s="32"/>
      <c r="H178" s="2"/>
      <c r="I178" s="2"/>
      <c r="J178" s="60"/>
      <c r="K178" s="2"/>
      <c r="L178" s="34"/>
      <c r="M178" s="34"/>
    </row>
    <row r="179" spans="2:13" ht="18.75" customHeight="1">
      <c r="B179" s="26"/>
      <c r="C179" s="1"/>
      <c r="D179" s="20"/>
      <c r="E179" s="1"/>
      <c r="F179" s="1"/>
      <c r="G179" s="32"/>
      <c r="H179" s="2"/>
      <c r="I179" s="2"/>
      <c r="J179" s="60"/>
      <c r="K179" s="2"/>
      <c r="L179" s="34"/>
      <c r="M179" s="34"/>
    </row>
    <row r="180" spans="2:13" ht="18.75" customHeight="1">
      <c r="B180" s="26"/>
      <c r="C180" s="1"/>
      <c r="D180" s="20"/>
      <c r="E180" s="1"/>
      <c r="F180" s="1"/>
      <c r="G180" s="32"/>
      <c r="H180" s="2"/>
      <c r="I180" s="2"/>
      <c r="J180" s="60"/>
      <c r="K180" s="2"/>
      <c r="L180" s="34"/>
      <c r="M180" s="34"/>
    </row>
    <row r="181" spans="2:13" ht="18.75" customHeight="1">
      <c r="B181" s="26"/>
      <c r="C181" s="1"/>
      <c r="D181" s="20"/>
      <c r="E181" s="1"/>
      <c r="F181" s="1"/>
      <c r="G181" s="32"/>
      <c r="H181" s="2"/>
      <c r="I181" s="2"/>
      <c r="J181" s="60"/>
      <c r="K181" s="2"/>
      <c r="L181" s="34"/>
      <c r="M181" s="34"/>
    </row>
    <row r="182" spans="2:13" ht="18.75" customHeight="1">
      <c r="B182" s="26"/>
      <c r="C182" s="1"/>
      <c r="D182" s="20"/>
      <c r="E182" s="1"/>
      <c r="F182" s="1"/>
      <c r="G182" s="32"/>
      <c r="H182" s="2"/>
      <c r="I182" s="2"/>
      <c r="J182" s="60"/>
      <c r="K182" s="2"/>
      <c r="L182" s="34"/>
      <c r="M182" s="34"/>
    </row>
    <row r="183" spans="2:13" ht="18.75" customHeight="1">
      <c r="B183" s="26"/>
      <c r="C183" s="1"/>
      <c r="D183" s="20"/>
      <c r="E183" s="1"/>
      <c r="F183" s="1"/>
      <c r="G183" s="32"/>
      <c r="H183" s="2"/>
      <c r="I183" s="2"/>
      <c r="J183" s="60"/>
      <c r="K183" s="2"/>
      <c r="L183" s="34"/>
      <c r="M183" s="34"/>
    </row>
    <row r="184" spans="2:13" ht="18.75" customHeight="1">
      <c r="B184" s="26"/>
      <c r="C184" s="1"/>
      <c r="D184" s="20"/>
      <c r="E184" s="1"/>
      <c r="F184" s="1"/>
      <c r="G184" s="32"/>
      <c r="H184" s="2"/>
      <c r="I184" s="2"/>
      <c r="J184" s="60"/>
      <c r="K184" s="2"/>
      <c r="L184" s="34"/>
      <c r="M184" s="34"/>
    </row>
    <row r="185" spans="2:13" ht="18.75" customHeight="1">
      <c r="B185" s="26"/>
      <c r="C185" s="1"/>
      <c r="D185" s="20"/>
      <c r="E185" s="1"/>
      <c r="F185" s="1"/>
      <c r="G185" s="32"/>
      <c r="H185" s="2"/>
      <c r="I185" s="2"/>
      <c r="J185" s="60"/>
      <c r="K185" s="2"/>
      <c r="L185" s="34"/>
      <c r="M185" s="34"/>
    </row>
    <row r="186" spans="2:13" ht="18.75" customHeight="1">
      <c r="B186" s="26"/>
      <c r="C186" s="1"/>
      <c r="D186" s="20"/>
      <c r="E186" s="1"/>
      <c r="F186" s="1"/>
      <c r="G186" s="32"/>
      <c r="H186" s="2"/>
      <c r="I186" s="2"/>
      <c r="J186" s="60"/>
      <c r="K186" s="2"/>
      <c r="L186" s="34"/>
      <c r="M186" s="34"/>
    </row>
    <row r="187" spans="2:13" ht="18.75" customHeight="1">
      <c r="B187" s="26"/>
      <c r="C187" s="1"/>
      <c r="D187" s="20"/>
      <c r="E187" s="1"/>
      <c r="F187" s="1"/>
      <c r="G187" s="32"/>
      <c r="H187" s="2"/>
      <c r="I187" s="2"/>
      <c r="J187" s="60"/>
      <c r="K187" s="2"/>
      <c r="L187" s="34"/>
      <c r="M187" s="34"/>
    </row>
    <row r="188" spans="2:13" ht="18.75" customHeight="1">
      <c r="B188" s="26"/>
      <c r="C188" s="1"/>
      <c r="D188" s="20"/>
      <c r="E188" s="1"/>
      <c r="F188" s="1"/>
      <c r="G188" s="32"/>
      <c r="H188" s="2"/>
      <c r="I188" s="2"/>
      <c r="J188" s="60"/>
      <c r="K188" s="2"/>
      <c r="L188" s="34"/>
      <c r="M188" s="34"/>
    </row>
    <row r="189" spans="2:13" ht="18.75" customHeight="1">
      <c r="B189" s="26"/>
      <c r="C189" s="1"/>
      <c r="D189" s="20"/>
      <c r="E189" s="1"/>
      <c r="F189" s="1"/>
      <c r="G189" s="32"/>
      <c r="H189" s="2"/>
      <c r="I189" s="2"/>
      <c r="J189" s="60"/>
      <c r="K189" s="2"/>
      <c r="L189" s="34"/>
      <c r="M189" s="34"/>
    </row>
    <row r="190" spans="2:13" ht="18.75" customHeight="1">
      <c r="B190" s="26"/>
      <c r="C190" s="1"/>
      <c r="D190" s="20"/>
      <c r="E190" s="1"/>
      <c r="F190" s="1"/>
      <c r="G190" s="32"/>
      <c r="H190" s="2"/>
      <c r="I190" s="2"/>
      <c r="J190" s="60"/>
      <c r="K190" s="2"/>
      <c r="L190" s="34"/>
      <c r="M190" s="34"/>
    </row>
    <row r="191" spans="2:13" ht="18.75" customHeight="1">
      <c r="B191" s="26"/>
      <c r="C191" s="1"/>
      <c r="D191" s="20"/>
      <c r="E191" s="1"/>
      <c r="F191" s="1"/>
      <c r="G191" s="32"/>
      <c r="H191" s="2"/>
      <c r="I191" s="2"/>
      <c r="J191" s="60"/>
      <c r="K191" s="2"/>
      <c r="L191" s="34"/>
      <c r="M191" s="34"/>
    </row>
    <row r="192" spans="2:13" ht="18.75" customHeight="1">
      <c r="B192" s="26"/>
      <c r="C192" s="1"/>
      <c r="D192" s="20"/>
      <c r="E192" s="1"/>
      <c r="F192" s="1"/>
      <c r="G192" s="32"/>
      <c r="H192" s="2"/>
      <c r="I192" s="2"/>
      <c r="J192" s="60"/>
      <c r="K192" s="2"/>
      <c r="L192" s="34"/>
      <c r="M192" s="34"/>
    </row>
    <row r="193" spans="2:13" ht="18.75" customHeight="1">
      <c r="B193" s="26"/>
      <c r="C193" s="1"/>
      <c r="D193" s="20"/>
      <c r="E193" s="1"/>
      <c r="F193" s="1"/>
      <c r="G193" s="32"/>
      <c r="H193" s="2"/>
      <c r="I193" s="2"/>
      <c r="J193" s="60"/>
      <c r="K193" s="2"/>
      <c r="L193" s="34"/>
      <c r="M193" s="34"/>
    </row>
    <row r="194" spans="2:13" ht="18.75" customHeight="1">
      <c r="B194" s="26"/>
      <c r="C194" s="1"/>
      <c r="D194" s="20"/>
      <c r="E194" s="1"/>
      <c r="F194" s="1"/>
      <c r="G194" s="32"/>
      <c r="H194" s="2"/>
      <c r="I194" s="2"/>
      <c r="J194" s="60"/>
      <c r="K194" s="2"/>
      <c r="L194" s="34"/>
      <c r="M194" s="34"/>
    </row>
    <row r="195" spans="2:13" ht="18.75" customHeight="1">
      <c r="B195" s="26"/>
      <c r="C195" s="1"/>
      <c r="D195" s="20"/>
      <c r="E195" s="1"/>
      <c r="F195" s="1"/>
      <c r="G195" s="32"/>
      <c r="H195" s="2"/>
      <c r="I195" s="2"/>
      <c r="J195" s="60"/>
      <c r="K195" s="2"/>
      <c r="L195" s="34"/>
      <c r="M195" s="34"/>
    </row>
    <row r="196" spans="2:13" ht="18.75" customHeight="1">
      <c r="B196" s="26"/>
      <c r="C196" s="1"/>
      <c r="D196" s="20"/>
      <c r="E196" s="1"/>
      <c r="F196" s="1"/>
      <c r="G196" s="32"/>
      <c r="H196" s="2"/>
      <c r="I196" s="2"/>
      <c r="J196" s="60"/>
      <c r="K196" s="2"/>
      <c r="L196" s="34"/>
      <c r="M196" s="34"/>
    </row>
    <row r="197" spans="2:13" ht="18.75" customHeight="1">
      <c r="B197" s="26"/>
      <c r="C197" s="1"/>
      <c r="D197" s="20"/>
      <c r="E197" s="1"/>
      <c r="F197" s="1"/>
      <c r="G197" s="32"/>
      <c r="H197" s="2"/>
      <c r="I197" s="2"/>
      <c r="J197" s="60"/>
      <c r="K197" s="2"/>
      <c r="L197" s="34"/>
      <c r="M197" s="34"/>
    </row>
    <row r="198" spans="2:13" ht="18.75" customHeight="1">
      <c r="B198" s="26"/>
      <c r="C198" s="1"/>
      <c r="D198" s="20"/>
      <c r="E198" s="1"/>
      <c r="F198" s="1"/>
      <c r="G198" s="32"/>
      <c r="H198" s="2"/>
      <c r="I198" s="2"/>
      <c r="J198" s="60"/>
      <c r="K198" s="2"/>
      <c r="L198" s="34"/>
      <c r="M198" s="34"/>
    </row>
    <row r="199" spans="2:13" ht="18.75" customHeight="1">
      <c r="B199" s="26"/>
      <c r="C199" s="1"/>
      <c r="D199" s="20"/>
      <c r="E199" s="1"/>
      <c r="F199" s="1"/>
      <c r="G199" s="32"/>
      <c r="H199" s="2"/>
      <c r="I199" s="2"/>
      <c r="J199" s="60"/>
      <c r="K199" s="2"/>
      <c r="L199" s="34"/>
      <c r="M199" s="34"/>
    </row>
    <row r="200" spans="2:13" ht="18.75" customHeight="1">
      <c r="B200" s="26"/>
      <c r="C200" s="1"/>
      <c r="D200" s="20"/>
      <c r="E200" s="1"/>
      <c r="F200" s="1"/>
      <c r="G200" s="32"/>
      <c r="H200" s="2"/>
      <c r="I200" s="2"/>
      <c r="J200" s="60"/>
      <c r="K200" s="2"/>
      <c r="L200" s="34"/>
      <c r="M200" s="34"/>
    </row>
    <row r="201" spans="2:13" ht="18.75" customHeight="1">
      <c r="B201" s="26"/>
      <c r="C201" s="1"/>
      <c r="D201" s="20"/>
      <c r="E201" s="1"/>
      <c r="F201" s="1"/>
      <c r="G201" s="32"/>
      <c r="H201" s="2"/>
      <c r="I201" s="2"/>
      <c r="J201" s="60"/>
      <c r="K201" s="2"/>
      <c r="L201" s="34"/>
      <c r="M201" s="34"/>
    </row>
    <row r="202" spans="2:13" ht="18.75" customHeight="1">
      <c r="B202" s="26"/>
      <c r="C202" s="1"/>
      <c r="D202" s="20"/>
      <c r="E202" s="1"/>
      <c r="F202" s="1"/>
      <c r="G202" s="32"/>
      <c r="H202" s="2"/>
      <c r="I202" s="2"/>
      <c r="J202" s="60"/>
      <c r="K202" s="2"/>
      <c r="L202" s="34"/>
      <c r="M202" s="34"/>
    </row>
    <row r="203" spans="2:13" ht="18.75" customHeight="1">
      <c r="B203" s="26"/>
      <c r="C203" s="1"/>
      <c r="D203" s="20"/>
      <c r="E203" s="1"/>
      <c r="F203" s="1"/>
      <c r="G203" s="32"/>
      <c r="H203" s="2"/>
      <c r="I203" s="2"/>
      <c r="J203" s="60"/>
      <c r="K203" s="2"/>
      <c r="L203" s="34"/>
      <c r="M203" s="34"/>
    </row>
    <row r="204" spans="2:13" ht="18.75" customHeight="1">
      <c r="B204" s="26"/>
      <c r="C204" s="1"/>
      <c r="D204" s="20"/>
      <c r="E204" s="1"/>
      <c r="F204" s="1"/>
      <c r="G204" s="32"/>
      <c r="H204" s="2"/>
      <c r="I204" s="2"/>
      <c r="J204" s="60"/>
      <c r="K204" s="2"/>
      <c r="L204" s="34"/>
      <c r="M204" s="34"/>
    </row>
    <row r="205" spans="2:13" ht="18.75" customHeight="1">
      <c r="B205" s="26"/>
      <c r="C205" s="1"/>
      <c r="D205" s="20"/>
      <c r="E205" s="1"/>
      <c r="F205" s="1"/>
      <c r="G205" s="32"/>
      <c r="H205" s="2"/>
      <c r="I205" s="2"/>
      <c r="J205" s="60"/>
      <c r="K205" s="2"/>
      <c r="L205" s="34"/>
      <c r="M205" s="34"/>
    </row>
    <row r="206" spans="2:13" ht="18.75" customHeight="1">
      <c r="B206" s="26"/>
      <c r="C206" s="1"/>
      <c r="D206" s="20"/>
      <c r="E206" s="1"/>
      <c r="F206" s="1"/>
      <c r="G206" s="32"/>
      <c r="H206" s="2"/>
      <c r="I206" s="2"/>
      <c r="J206" s="60"/>
      <c r="K206" s="2"/>
      <c r="L206" s="34"/>
      <c r="M206" s="34"/>
    </row>
    <row r="207" spans="2:13" ht="18.75" customHeight="1">
      <c r="B207" s="26"/>
      <c r="C207" s="1"/>
      <c r="D207" s="20"/>
      <c r="E207" s="1"/>
      <c r="F207" s="1"/>
      <c r="G207" s="32"/>
      <c r="H207" s="2"/>
      <c r="I207" s="2"/>
      <c r="J207" s="60"/>
      <c r="K207" s="2"/>
      <c r="L207" s="34"/>
      <c r="M207" s="34"/>
    </row>
    <row r="208" spans="2:13" ht="18.75" customHeight="1">
      <c r="B208" s="26"/>
      <c r="C208" s="1"/>
      <c r="D208" s="20"/>
      <c r="E208" s="1"/>
      <c r="F208" s="1"/>
      <c r="G208" s="32"/>
      <c r="H208" s="2"/>
      <c r="I208" s="2"/>
      <c r="J208" s="60"/>
      <c r="K208" s="2"/>
      <c r="L208" s="34"/>
      <c r="M208" s="34"/>
    </row>
    <row r="209" spans="2:13" ht="18.75" customHeight="1">
      <c r="B209" s="26"/>
      <c r="C209" s="1"/>
      <c r="D209" s="20"/>
      <c r="E209" s="1"/>
      <c r="F209" s="1"/>
      <c r="G209" s="32"/>
      <c r="H209" s="2"/>
      <c r="I209" s="2"/>
      <c r="J209" s="60"/>
      <c r="K209" s="2"/>
      <c r="L209" s="34"/>
      <c r="M209" s="34"/>
    </row>
    <row r="210" spans="2:13" ht="18.75" customHeight="1">
      <c r="B210" s="26"/>
      <c r="C210" s="1"/>
      <c r="D210" s="20"/>
      <c r="E210" s="1"/>
      <c r="F210" s="1"/>
      <c r="G210" s="32"/>
      <c r="H210" s="2"/>
      <c r="I210" s="2"/>
      <c r="J210" s="60"/>
      <c r="K210" s="2"/>
      <c r="L210" s="34"/>
      <c r="M210" s="34"/>
    </row>
    <row r="211" spans="2:13" ht="18.75" customHeight="1">
      <c r="B211" s="26"/>
      <c r="C211" s="1"/>
      <c r="D211" s="20"/>
      <c r="E211" s="1"/>
      <c r="F211" s="1"/>
      <c r="G211" s="32"/>
      <c r="H211" s="2"/>
      <c r="I211" s="2"/>
      <c r="J211" s="60"/>
      <c r="K211" s="2"/>
      <c r="L211" s="34"/>
      <c r="M211" s="34"/>
    </row>
    <row r="212" spans="2:13" ht="18.75" customHeight="1">
      <c r="B212" s="26"/>
      <c r="C212" s="1"/>
      <c r="D212" s="20"/>
      <c r="E212" s="1"/>
      <c r="F212" s="1"/>
      <c r="G212" s="32"/>
      <c r="H212" s="2"/>
      <c r="I212" s="2"/>
      <c r="J212" s="60"/>
      <c r="K212" s="2"/>
      <c r="L212" s="34"/>
      <c r="M212" s="34"/>
    </row>
    <row r="213" spans="2:13" ht="18.75" customHeight="1">
      <c r="B213" s="26"/>
      <c r="C213" s="1"/>
      <c r="D213" s="20"/>
      <c r="E213" s="1"/>
      <c r="F213" s="1"/>
      <c r="G213" s="32"/>
      <c r="H213" s="2"/>
      <c r="I213" s="2"/>
      <c r="J213" s="60"/>
      <c r="K213" s="2"/>
      <c r="L213" s="34"/>
      <c r="M213" s="34"/>
    </row>
    <row r="214" spans="2:13" ht="18.75" customHeight="1">
      <c r="B214" s="26"/>
      <c r="C214" s="1"/>
      <c r="D214" s="20"/>
      <c r="E214" s="1"/>
      <c r="F214" s="1"/>
      <c r="G214" s="32"/>
      <c r="H214" s="2"/>
      <c r="I214" s="2"/>
      <c r="J214" s="60"/>
      <c r="K214" s="2"/>
      <c r="L214" s="34"/>
      <c r="M214" s="34"/>
    </row>
    <row r="215" spans="2:13" ht="18.75" customHeight="1">
      <c r="B215" s="26"/>
      <c r="C215" s="1"/>
      <c r="D215" s="20"/>
      <c r="E215" s="1"/>
      <c r="F215" s="1"/>
      <c r="G215" s="32"/>
      <c r="H215" s="2"/>
      <c r="I215" s="2"/>
      <c r="J215" s="60"/>
      <c r="K215" s="2"/>
      <c r="L215" s="34"/>
      <c r="M215" s="34"/>
    </row>
    <row r="216" spans="2:13" ht="18.75" customHeight="1">
      <c r="B216" s="26"/>
      <c r="C216" s="1"/>
      <c r="D216" s="20"/>
      <c r="E216" s="1"/>
      <c r="F216" s="1"/>
      <c r="G216" s="32"/>
      <c r="H216" s="2"/>
      <c r="I216" s="2"/>
      <c r="J216" s="60"/>
      <c r="K216" s="2"/>
      <c r="L216" s="34"/>
      <c r="M216" s="34"/>
    </row>
    <row r="217" spans="2:13" ht="18.75" customHeight="1">
      <c r="B217" s="26"/>
      <c r="C217" s="1"/>
      <c r="D217" s="20"/>
      <c r="E217" s="1"/>
      <c r="F217" s="1"/>
      <c r="G217" s="32"/>
      <c r="H217" s="2"/>
      <c r="I217" s="2"/>
      <c r="J217" s="60"/>
      <c r="K217" s="2"/>
      <c r="L217" s="34"/>
      <c r="M217" s="34"/>
    </row>
    <row r="218" spans="2:13" ht="18.75" customHeight="1">
      <c r="B218" s="26"/>
      <c r="C218" s="1"/>
      <c r="D218" s="20"/>
      <c r="E218" s="1"/>
      <c r="F218" s="1"/>
      <c r="G218" s="32"/>
      <c r="H218" s="2"/>
      <c r="I218" s="2"/>
      <c r="J218" s="60"/>
      <c r="K218" s="2"/>
      <c r="L218" s="34"/>
      <c r="M218" s="34"/>
    </row>
    <row r="219" spans="2:13" ht="18.75" customHeight="1">
      <c r="B219" s="26"/>
      <c r="C219" s="1"/>
      <c r="D219" s="20"/>
      <c r="E219" s="1"/>
      <c r="F219" s="1"/>
      <c r="G219" s="32"/>
      <c r="H219" s="2"/>
      <c r="I219" s="2"/>
      <c r="J219" s="60"/>
      <c r="K219" s="2"/>
      <c r="L219" s="34"/>
      <c r="M219" s="34"/>
    </row>
    <row r="220" spans="2:13" ht="18.75" customHeight="1">
      <c r="B220" s="26"/>
      <c r="C220" s="1"/>
      <c r="D220" s="20"/>
      <c r="E220" s="1"/>
      <c r="F220" s="1"/>
      <c r="G220" s="32"/>
      <c r="H220" s="2"/>
      <c r="I220" s="2"/>
      <c r="J220" s="60"/>
      <c r="K220" s="2"/>
      <c r="L220" s="34"/>
      <c r="M220" s="34"/>
    </row>
    <row r="221" spans="2:13" ht="18.75" customHeight="1">
      <c r="B221" s="26"/>
      <c r="C221" s="1"/>
      <c r="D221" s="20"/>
      <c r="E221" s="1"/>
      <c r="F221" s="1"/>
      <c r="G221" s="32"/>
      <c r="H221" s="2"/>
      <c r="I221" s="2"/>
      <c r="J221" s="60"/>
      <c r="K221" s="2"/>
      <c r="L221" s="34"/>
      <c r="M221" s="34"/>
    </row>
    <row r="222" spans="2:13" ht="18.75" customHeight="1">
      <c r="B222" s="26"/>
      <c r="C222" s="1"/>
      <c r="D222" s="20"/>
      <c r="E222" s="1"/>
      <c r="F222" s="1"/>
      <c r="G222" s="32"/>
      <c r="H222" s="2"/>
      <c r="I222" s="2"/>
      <c r="J222" s="60"/>
      <c r="K222" s="2"/>
      <c r="L222" s="34"/>
      <c r="M222" s="34"/>
    </row>
    <row r="223" spans="2:13" ht="18.75" customHeight="1">
      <c r="B223" s="26"/>
      <c r="C223" s="1"/>
      <c r="D223" s="20"/>
      <c r="E223" s="1"/>
      <c r="F223" s="1"/>
      <c r="G223" s="32"/>
      <c r="H223" s="2"/>
      <c r="I223" s="2"/>
      <c r="J223" s="60"/>
      <c r="K223" s="2"/>
      <c r="L223" s="34"/>
      <c r="M223" s="34"/>
    </row>
    <row r="224" spans="2:13" ht="18.75" customHeight="1">
      <c r="B224" s="26"/>
      <c r="C224" s="1"/>
      <c r="D224" s="20"/>
      <c r="E224" s="1"/>
      <c r="F224" s="1"/>
      <c r="G224" s="32"/>
      <c r="H224" s="2"/>
      <c r="I224" s="2"/>
      <c r="J224" s="60"/>
      <c r="K224" s="2"/>
      <c r="L224" s="34"/>
      <c r="M224" s="34"/>
    </row>
    <row r="225" spans="2:13" ht="18.75" customHeight="1">
      <c r="B225" s="26"/>
      <c r="C225" s="1"/>
      <c r="D225" s="20"/>
      <c r="E225" s="1"/>
      <c r="F225" s="1"/>
      <c r="G225" s="32"/>
      <c r="H225" s="2"/>
      <c r="I225" s="2"/>
      <c r="J225" s="60"/>
      <c r="K225" s="2"/>
      <c r="L225" s="34"/>
      <c r="M225" s="34"/>
    </row>
    <row r="226" spans="2:13" ht="18.75" customHeight="1">
      <c r="B226" s="26"/>
      <c r="C226" s="1"/>
      <c r="D226" s="20"/>
      <c r="E226" s="1"/>
      <c r="F226" s="1"/>
      <c r="G226" s="32"/>
      <c r="H226" s="2"/>
      <c r="I226" s="2"/>
      <c r="J226" s="60"/>
      <c r="K226" s="2"/>
      <c r="L226" s="34"/>
      <c r="M226" s="34"/>
    </row>
    <row r="227" spans="2:13" ht="18.75" customHeight="1">
      <c r="B227" s="26"/>
      <c r="C227" s="1"/>
      <c r="D227" s="20"/>
      <c r="E227" s="1"/>
      <c r="F227" s="1"/>
      <c r="G227" s="32"/>
      <c r="H227" s="2"/>
      <c r="I227" s="2"/>
      <c r="J227" s="60"/>
      <c r="K227" s="2"/>
      <c r="L227" s="34"/>
      <c r="M227" s="34"/>
    </row>
    <row r="228" spans="2:13" ht="18.75" customHeight="1">
      <c r="B228" s="26"/>
      <c r="C228" s="1"/>
      <c r="D228" s="20"/>
      <c r="E228" s="1"/>
      <c r="F228" s="1"/>
      <c r="G228" s="32"/>
      <c r="H228" s="2"/>
      <c r="I228" s="2"/>
      <c r="J228" s="60"/>
      <c r="K228" s="2"/>
      <c r="L228" s="34"/>
      <c r="M228" s="34"/>
    </row>
    <row r="229" spans="2:13" ht="18.75" customHeight="1">
      <c r="B229" s="26"/>
      <c r="C229" s="1"/>
      <c r="D229" s="20"/>
      <c r="E229" s="1"/>
      <c r="F229" s="1"/>
      <c r="G229" s="32"/>
      <c r="H229" s="2"/>
      <c r="I229" s="2"/>
      <c r="J229" s="60"/>
      <c r="K229" s="2"/>
      <c r="L229" s="34"/>
      <c r="M229" s="34"/>
    </row>
    <row r="230" spans="2:13" ht="18.75" customHeight="1">
      <c r="B230" s="26"/>
      <c r="C230" s="1"/>
      <c r="D230" s="20"/>
      <c r="E230" s="1"/>
      <c r="F230" s="1"/>
      <c r="G230" s="32"/>
      <c r="H230" s="2"/>
      <c r="I230" s="2"/>
      <c r="J230" s="60"/>
      <c r="K230" s="2"/>
      <c r="L230" s="34"/>
      <c r="M230" s="34"/>
    </row>
    <row r="231" spans="2:13" ht="18.75" customHeight="1">
      <c r="B231" s="26"/>
      <c r="C231" s="1"/>
      <c r="D231" s="20"/>
      <c r="E231" s="1"/>
      <c r="F231" s="1"/>
      <c r="G231" s="32"/>
      <c r="H231" s="2"/>
      <c r="I231" s="2"/>
      <c r="J231" s="60"/>
      <c r="K231" s="2"/>
      <c r="L231" s="34"/>
      <c r="M231" s="34"/>
    </row>
    <row r="232" spans="2:13" ht="18.75" customHeight="1">
      <c r="B232" s="26"/>
      <c r="C232" s="1"/>
      <c r="D232" s="20"/>
      <c r="E232" s="1"/>
      <c r="F232" s="1"/>
      <c r="G232" s="32"/>
      <c r="H232" s="2"/>
      <c r="I232" s="2"/>
      <c r="J232" s="60"/>
      <c r="K232" s="2"/>
      <c r="L232" s="34"/>
      <c r="M232" s="34"/>
    </row>
    <row r="233" spans="2:13" ht="18.75" customHeight="1">
      <c r="B233" s="26"/>
      <c r="C233" s="1"/>
      <c r="D233" s="20"/>
      <c r="E233" s="1"/>
      <c r="F233" s="1"/>
      <c r="G233" s="32"/>
      <c r="H233" s="2"/>
      <c r="I233" s="2"/>
      <c r="J233" s="60"/>
      <c r="K233" s="2"/>
      <c r="L233" s="34"/>
      <c r="M233" s="34"/>
    </row>
    <row r="234" spans="2:13" ht="18.75" customHeight="1">
      <c r="B234" s="26"/>
      <c r="C234" s="1"/>
      <c r="D234" s="20"/>
      <c r="E234" s="1"/>
      <c r="F234" s="1"/>
      <c r="G234" s="32"/>
      <c r="H234" s="2"/>
      <c r="I234" s="2"/>
      <c r="J234" s="60"/>
      <c r="K234" s="2"/>
      <c r="L234" s="34"/>
      <c r="M234" s="34"/>
    </row>
    <row r="235" spans="2:13" ht="18.75" customHeight="1">
      <c r="B235" s="26"/>
      <c r="C235" s="1"/>
      <c r="D235" s="20"/>
      <c r="E235" s="1"/>
      <c r="F235" s="1"/>
      <c r="G235" s="32"/>
      <c r="H235" s="2"/>
      <c r="I235" s="2"/>
      <c r="J235" s="60"/>
      <c r="K235" s="2"/>
      <c r="L235" s="34"/>
      <c r="M235" s="34"/>
    </row>
    <row r="236" spans="2:13" ht="18.75" customHeight="1">
      <c r="B236" s="26"/>
      <c r="C236" s="1"/>
      <c r="D236" s="20"/>
      <c r="E236" s="1"/>
      <c r="F236" s="1"/>
      <c r="G236" s="32"/>
      <c r="H236" s="2"/>
      <c r="I236" s="2"/>
      <c r="J236" s="60"/>
      <c r="K236" s="2"/>
      <c r="L236" s="34"/>
      <c r="M236" s="34"/>
    </row>
    <row r="237" spans="2:13" ht="18.75" customHeight="1">
      <c r="B237" s="26"/>
      <c r="C237" s="1"/>
      <c r="D237" s="20"/>
      <c r="E237" s="1"/>
      <c r="F237" s="1"/>
      <c r="G237" s="32"/>
      <c r="H237" s="2"/>
      <c r="I237" s="2"/>
      <c r="J237" s="60"/>
      <c r="K237" s="2"/>
      <c r="L237" s="34"/>
      <c r="M237" s="34"/>
    </row>
    <row r="238" spans="2:13" ht="18.75" customHeight="1">
      <c r="B238" s="26"/>
      <c r="C238" s="1"/>
      <c r="D238" s="20"/>
      <c r="E238" s="1"/>
      <c r="F238" s="1"/>
      <c r="G238" s="32"/>
      <c r="H238" s="2"/>
      <c r="I238" s="2"/>
      <c r="J238" s="60"/>
      <c r="K238" s="2"/>
      <c r="L238" s="34"/>
      <c r="M238" s="34"/>
    </row>
    <row r="239" spans="2:13" ht="18.75" customHeight="1">
      <c r="B239" s="26"/>
      <c r="C239" s="1"/>
      <c r="D239" s="20"/>
      <c r="E239" s="1"/>
      <c r="F239" s="1"/>
      <c r="G239" s="32"/>
      <c r="H239" s="2"/>
      <c r="I239" s="2"/>
      <c r="J239" s="60"/>
      <c r="K239" s="2"/>
      <c r="L239" s="34"/>
      <c r="M239" s="34"/>
    </row>
    <row r="240" spans="2:13" ht="18.75" customHeight="1">
      <c r="B240" s="26"/>
      <c r="C240" s="1"/>
      <c r="D240" s="20"/>
      <c r="E240" s="1"/>
      <c r="F240" s="1"/>
      <c r="G240" s="32"/>
      <c r="H240" s="2"/>
      <c r="I240" s="2"/>
      <c r="J240" s="60"/>
      <c r="K240" s="2"/>
      <c r="L240" s="34"/>
      <c r="M240" s="34"/>
    </row>
    <row r="241" spans="2:13" ht="18.75" customHeight="1">
      <c r="B241" s="26"/>
      <c r="C241" s="1"/>
      <c r="D241" s="20"/>
      <c r="E241" s="1"/>
      <c r="F241" s="1"/>
      <c r="G241" s="32"/>
      <c r="H241" s="2"/>
      <c r="I241" s="2"/>
      <c r="J241" s="60"/>
      <c r="K241" s="2"/>
      <c r="L241" s="34"/>
      <c r="M241" s="34"/>
    </row>
    <row r="242" spans="2:13" ht="18.75" customHeight="1">
      <c r="B242" s="26"/>
      <c r="C242" s="1"/>
      <c r="D242" s="20"/>
      <c r="E242" s="1"/>
      <c r="F242" s="1"/>
      <c r="G242" s="32"/>
      <c r="H242" s="2"/>
      <c r="I242" s="2"/>
      <c r="J242" s="60"/>
      <c r="K242" s="2"/>
      <c r="L242" s="34"/>
      <c r="M242" s="34"/>
    </row>
    <row r="243" spans="2:13" ht="18.75" customHeight="1">
      <c r="B243" s="26"/>
      <c r="C243" s="1"/>
      <c r="D243" s="20"/>
      <c r="E243" s="1"/>
      <c r="F243" s="1"/>
      <c r="G243" s="32"/>
      <c r="H243" s="2"/>
      <c r="I243" s="2"/>
      <c r="J243" s="60"/>
      <c r="K243" s="2"/>
      <c r="L243" s="34"/>
      <c r="M243" s="34"/>
    </row>
    <row r="244" spans="2:13" ht="18.75" customHeight="1">
      <c r="B244" s="26"/>
      <c r="C244" s="1"/>
      <c r="D244" s="20"/>
      <c r="E244" s="1"/>
      <c r="F244" s="1"/>
      <c r="G244" s="32"/>
      <c r="H244" s="2"/>
      <c r="I244" s="2"/>
      <c r="J244" s="60"/>
      <c r="K244" s="2"/>
      <c r="L244" s="34"/>
      <c r="M244" s="34"/>
    </row>
    <row r="245" spans="2:13" ht="18.75" customHeight="1">
      <c r="B245" s="26"/>
      <c r="C245" s="1"/>
      <c r="D245" s="20"/>
      <c r="E245" s="1"/>
      <c r="F245" s="1"/>
      <c r="G245" s="32"/>
      <c r="H245" s="2"/>
      <c r="I245" s="2"/>
      <c r="J245" s="60"/>
      <c r="K245" s="2"/>
      <c r="L245" s="34"/>
      <c r="M245" s="34"/>
    </row>
    <row r="246" spans="2:13" ht="18.75" customHeight="1">
      <c r="B246" s="26"/>
      <c r="C246" s="1"/>
      <c r="D246" s="20"/>
      <c r="E246" s="1"/>
      <c r="F246" s="1"/>
      <c r="G246" s="32"/>
      <c r="H246" s="2"/>
      <c r="I246" s="2"/>
      <c r="J246" s="60"/>
      <c r="K246" s="2"/>
      <c r="L246" s="34"/>
      <c r="M246" s="34"/>
    </row>
    <row r="247" spans="2:13" ht="18.75" customHeight="1">
      <c r="B247" s="26"/>
      <c r="C247" s="1"/>
      <c r="D247" s="20"/>
      <c r="E247" s="1"/>
      <c r="F247" s="1"/>
      <c r="G247" s="32"/>
      <c r="H247" s="2"/>
      <c r="I247" s="2"/>
      <c r="J247" s="60"/>
      <c r="K247" s="2"/>
      <c r="L247" s="34"/>
      <c r="M247" s="34"/>
    </row>
    <row r="248" spans="2:13" ht="18.75" customHeight="1">
      <c r="B248" s="26"/>
      <c r="C248" s="1"/>
      <c r="D248" s="20"/>
      <c r="E248" s="1"/>
      <c r="F248" s="1"/>
      <c r="G248" s="32"/>
      <c r="H248" s="2"/>
      <c r="I248" s="2"/>
      <c r="J248" s="60"/>
      <c r="K248" s="2"/>
      <c r="L248" s="34"/>
      <c r="M248" s="34"/>
    </row>
    <row r="249" spans="2:13" ht="18.75" customHeight="1">
      <c r="B249" s="26"/>
      <c r="C249" s="1"/>
      <c r="D249" s="20"/>
      <c r="E249" s="1"/>
      <c r="F249" s="1"/>
      <c r="G249" s="32"/>
      <c r="H249" s="2"/>
      <c r="I249" s="2"/>
      <c r="J249" s="60"/>
      <c r="K249" s="2"/>
      <c r="L249" s="34"/>
      <c r="M249" s="34"/>
    </row>
    <row r="250" spans="2:13" ht="18.75" customHeight="1">
      <c r="B250" s="26"/>
      <c r="C250" s="1"/>
      <c r="D250" s="20"/>
      <c r="E250" s="1"/>
      <c r="F250" s="1"/>
      <c r="G250" s="32"/>
      <c r="H250" s="2"/>
      <c r="I250" s="2"/>
      <c r="J250" s="60"/>
      <c r="K250" s="2"/>
      <c r="L250" s="34"/>
      <c r="M250" s="34"/>
    </row>
    <row r="251" spans="2:13" ht="18.75" customHeight="1">
      <c r="B251" s="26"/>
      <c r="C251" s="1"/>
      <c r="D251" s="20"/>
      <c r="E251" s="1"/>
      <c r="F251" s="1"/>
      <c r="G251" s="32"/>
      <c r="H251" s="2"/>
      <c r="I251" s="2"/>
      <c r="J251" s="60"/>
      <c r="K251" s="2"/>
      <c r="L251" s="34"/>
      <c r="M251" s="34"/>
    </row>
    <row r="252" spans="2:13" ht="18.75" customHeight="1">
      <c r="B252" s="26"/>
      <c r="C252" s="1"/>
      <c r="D252" s="20"/>
      <c r="E252" s="1"/>
      <c r="F252" s="1"/>
      <c r="G252" s="32"/>
      <c r="H252" s="2"/>
      <c r="I252" s="2"/>
      <c r="J252" s="60"/>
      <c r="K252" s="2"/>
      <c r="L252" s="34"/>
      <c r="M252" s="34"/>
    </row>
    <row r="253" spans="2:13" ht="18.75" customHeight="1">
      <c r="B253" s="26"/>
      <c r="C253" s="1"/>
      <c r="D253" s="20"/>
      <c r="E253" s="1"/>
      <c r="F253" s="1"/>
      <c r="G253" s="32"/>
      <c r="H253" s="2"/>
      <c r="I253" s="2"/>
      <c r="J253" s="60"/>
      <c r="K253" s="2"/>
      <c r="L253" s="34"/>
      <c r="M253" s="34"/>
    </row>
    <row r="254" spans="2:13" ht="18.75" customHeight="1">
      <c r="B254" s="26"/>
      <c r="C254" s="1"/>
      <c r="D254" s="20"/>
      <c r="E254" s="1"/>
      <c r="F254" s="1"/>
      <c r="G254" s="32"/>
      <c r="H254" s="2"/>
      <c r="I254" s="2"/>
      <c r="J254" s="60"/>
      <c r="K254" s="2"/>
      <c r="L254" s="34"/>
      <c r="M254" s="34"/>
    </row>
    <row r="255" spans="2:13" ht="18.75" customHeight="1">
      <c r="B255" s="26"/>
      <c r="C255" s="1"/>
      <c r="D255" s="20"/>
      <c r="E255" s="1"/>
      <c r="F255" s="1"/>
      <c r="G255" s="32"/>
      <c r="H255" s="2"/>
      <c r="I255" s="2"/>
      <c r="J255" s="60"/>
      <c r="K255" s="2"/>
      <c r="L255" s="34"/>
      <c r="M255" s="34"/>
    </row>
    <row r="256" spans="2:13" ht="18.75" customHeight="1">
      <c r="B256" s="26"/>
      <c r="C256" s="1"/>
      <c r="D256" s="20"/>
      <c r="E256" s="1"/>
      <c r="F256" s="1"/>
      <c r="G256" s="32"/>
      <c r="H256" s="2"/>
      <c r="I256" s="2"/>
      <c r="J256" s="60"/>
      <c r="K256" s="2"/>
      <c r="L256" s="34"/>
      <c r="M256" s="34"/>
    </row>
    <row r="257" spans="2:13" ht="18.75" customHeight="1">
      <c r="B257" s="26"/>
      <c r="C257" s="1"/>
      <c r="D257" s="20"/>
      <c r="E257" s="1"/>
      <c r="F257" s="1"/>
      <c r="G257" s="32"/>
      <c r="H257" s="2"/>
      <c r="I257" s="2"/>
      <c r="J257" s="60"/>
      <c r="K257" s="2"/>
      <c r="L257" s="34"/>
      <c r="M257" s="34"/>
    </row>
    <row r="258" spans="2:13" ht="18.75" customHeight="1">
      <c r="B258" s="26"/>
      <c r="C258" s="1"/>
      <c r="D258" s="20"/>
      <c r="E258" s="1"/>
      <c r="F258" s="1"/>
      <c r="G258" s="32"/>
      <c r="H258" s="2"/>
      <c r="I258" s="2"/>
      <c r="J258" s="60"/>
      <c r="K258" s="2"/>
      <c r="L258" s="34"/>
      <c r="M258" s="34"/>
    </row>
    <row r="259" spans="2:13" ht="18.75" customHeight="1">
      <c r="B259" s="26"/>
      <c r="C259" s="1"/>
      <c r="D259" s="20"/>
      <c r="E259" s="1"/>
      <c r="F259" s="1"/>
      <c r="G259" s="32"/>
      <c r="H259" s="2"/>
      <c r="I259" s="2"/>
      <c r="J259" s="60"/>
      <c r="K259" s="2"/>
      <c r="L259" s="34"/>
      <c r="M259" s="34"/>
    </row>
    <row r="260" spans="2:13" ht="18.75" customHeight="1">
      <c r="B260" s="26"/>
      <c r="C260" s="1"/>
      <c r="D260" s="20"/>
      <c r="E260" s="1"/>
      <c r="F260" s="1"/>
      <c r="G260" s="32"/>
      <c r="H260" s="2"/>
      <c r="I260" s="2"/>
      <c r="J260" s="60"/>
      <c r="K260" s="2"/>
      <c r="L260" s="34"/>
      <c r="M260" s="34"/>
    </row>
    <row r="261" spans="2:13" ht="15.75" customHeight="1">
      <c r="B261" s="26"/>
      <c r="C261" s="1"/>
      <c r="D261" s="20"/>
      <c r="E261" s="1"/>
      <c r="F261" s="1"/>
      <c r="G261" s="32"/>
      <c r="H261" s="2"/>
      <c r="I261" s="2"/>
      <c r="J261" s="60"/>
      <c r="K261" s="2"/>
      <c r="L261" s="34"/>
      <c r="M261" s="34"/>
    </row>
    <row r="262" spans="2:13" ht="15.75" customHeight="1">
      <c r="B262" s="26"/>
      <c r="C262" s="1"/>
      <c r="D262" s="20"/>
      <c r="E262" s="1"/>
      <c r="F262" s="1"/>
      <c r="G262" s="32"/>
      <c r="H262" s="2"/>
      <c r="I262" s="2"/>
      <c r="J262" s="60"/>
      <c r="K262" s="2"/>
      <c r="L262" s="34"/>
      <c r="M262" s="34"/>
    </row>
    <row r="263" spans="2:13" ht="15.75" customHeight="1">
      <c r="B263" s="26"/>
      <c r="C263" s="1"/>
      <c r="D263" s="20"/>
      <c r="E263" s="1"/>
      <c r="F263" s="1"/>
      <c r="G263" s="32"/>
      <c r="H263" s="2"/>
      <c r="I263" s="2"/>
      <c r="J263" s="60"/>
      <c r="K263" s="2"/>
      <c r="L263" s="34"/>
      <c r="M263" s="34"/>
    </row>
    <row r="264" spans="2:13" ht="15.75" customHeight="1">
      <c r="B264" s="26"/>
      <c r="C264" s="1"/>
      <c r="D264" s="20"/>
      <c r="E264" s="1"/>
      <c r="F264" s="1"/>
      <c r="G264" s="32"/>
      <c r="H264" s="2"/>
      <c r="I264" s="2"/>
      <c r="J264" s="60"/>
      <c r="K264" s="2"/>
      <c r="L264" s="34"/>
      <c r="M264" s="34"/>
    </row>
    <row r="265" spans="2:13" ht="15.75" customHeight="1">
      <c r="B265" s="26"/>
      <c r="C265" s="1"/>
      <c r="D265" s="20"/>
      <c r="E265" s="1"/>
      <c r="F265" s="1"/>
      <c r="G265" s="32"/>
      <c r="H265" s="2"/>
      <c r="I265" s="2"/>
      <c r="J265" s="60"/>
      <c r="K265" s="2"/>
      <c r="L265" s="34"/>
      <c r="M265" s="34"/>
    </row>
    <row r="266" spans="2:13" ht="15.75" customHeight="1">
      <c r="B266" s="26"/>
      <c r="C266" s="1"/>
      <c r="D266" s="20"/>
      <c r="E266" s="1"/>
      <c r="F266" s="1"/>
      <c r="G266" s="32"/>
      <c r="H266" s="2"/>
      <c r="I266" s="2"/>
      <c r="J266" s="60"/>
      <c r="K266" s="2"/>
      <c r="L266" s="34"/>
      <c r="M266" s="34"/>
    </row>
    <row r="267" spans="2:13" ht="15.75" customHeight="1">
      <c r="B267" s="26"/>
      <c r="C267" s="1"/>
      <c r="D267" s="20"/>
      <c r="E267" s="1"/>
      <c r="F267" s="1"/>
      <c r="G267" s="32"/>
      <c r="H267" s="2"/>
      <c r="I267" s="2"/>
      <c r="J267" s="60"/>
      <c r="K267" s="2"/>
      <c r="L267" s="34"/>
      <c r="M267" s="34"/>
    </row>
    <row r="268" spans="2:13" ht="15.75" customHeight="1">
      <c r="B268" s="26"/>
      <c r="C268" s="1"/>
      <c r="D268" s="20"/>
      <c r="E268" s="1"/>
      <c r="F268" s="1"/>
      <c r="G268" s="32"/>
      <c r="H268" s="2"/>
      <c r="I268" s="2"/>
      <c r="J268" s="60"/>
      <c r="K268" s="2"/>
      <c r="L268" s="34"/>
      <c r="M268" s="34"/>
    </row>
    <row r="269" spans="2:13" ht="15.75" customHeight="1">
      <c r="B269" s="26"/>
      <c r="C269" s="1"/>
      <c r="D269" s="20"/>
      <c r="E269" s="1"/>
      <c r="F269" s="1"/>
      <c r="G269" s="32"/>
      <c r="H269" s="2"/>
      <c r="I269" s="2"/>
      <c r="J269" s="60"/>
      <c r="K269" s="2"/>
      <c r="L269" s="34"/>
      <c r="M269" s="34"/>
    </row>
    <row r="270" spans="2:13" ht="15.75" customHeight="1">
      <c r="B270" s="26"/>
      <c r="C270" s="1"/>
      <c r="D270" s="20"/>
      <c r="E270" s="1"/>
      <c r="F270" s="1"/>
      <c r="G270" s="32"/>
      <c r="H270" s="2"/>
      <c r="I270" s="2"/>
      <c r="J270" s="60"/>
      <c r="K270" s="2"/>
      <c r="L270" s="34"/>
      <c r="M270" s="34"/>
    </row>
    <row r="271" spans="2:13" ht="15.75" customHeight="1">
      <c r="B271" s="26"/>
      <c r="C271" s="1"/>
      <c r="D271" s="20"/>
      <c r="E271" s="1"/>
      <c r="F271" s="1"/>
      <c r="G271" s="32"/>
      <c r="H271" s="2"/>
      <c r="I271" s="2"/>
      <c r="J271" s="60"/>
      <c r="K271" s="2"/>
      <c r="L271" s="34"/>
      <c r="M271" s="34"/>
    </row>
    <row r="272" spans="2:13" ht="15.75" customHeight="1">
      <c r="B272" s="26"/>
      <c r="C272" s="1"/>
      <c r="D272" s="20"/>
      <c r="E272" s="1"/>
      <c r="F272" s="1"/>
      <c r="G272" s="32"/>
      <c r="H272" s="2"/>
      <c r="I272" s="2"/>
      <c r="J272" s="60"/>
      <c r="K272" s="2"/>
      <c r="L272" s="34"/>
      <c r="M272" s="34"/>
    </row>
    <row r="273" spans="2:13" ht="15.75" customHeight="1">
      <c r="B273" s="26"/>
      <c r="C273" s="1"/>
      <c r="D273" s="20"/>
      <c r="E273" s="1"/>
      <c r="F273" s="1"/>
      <c r="G273" s="32"/>
      <c r="H273" s="2"/>
      <c r="I273" s="2"/>
      <c r="J273" s="60"/>
      <c r="K273" s="2"/>
      <c r="L273" s="34"/>
      <c r="M273" s="34"/>
    </row>
    <row r="274" spans="2:13" ht="15.75" customHeight="1">
      <c r="B274" s="26"/>
      <c r="C274" s="1"/>
      <c r="D274" s="20"/>
      <c r="E274" s="1"/>
      <c r="F274" s="1"/>
      <c r="G274" s="32"/>
      <c r="H274" s="2"/>
      <c r="I274" s="2"/>
      <c r="J274" s="60"/>
      <c r="K274" s="2"/>
      <c r="L274" s="34"/>
      <c r="M274" s="34"/>
    </row>
    <row r="275" spans="2:13" ht="15.75" customHeight="1">
      <c r="B275" s="26"/>
      <c r="C275" s="1"/>
      <c r="D275" s="20"/>
      <c r="E275" s="1"/>
      <c r="F275" s="1"/>
      <c r="G275" s="32"/>
      <c r="H275" s="2"/>
      <c r="I275" s="2"/>
      <c r="J275" s="60"/>
      <c r="K275" s="2"/>
      <c r="L275" s="34"/>
      <c r="M275" s="34"/>
    </row>
    <row r="276" spans="2:13" ht="15.75" customHeight="1">
      <c r="B276" s="26"/>
      <c r="C276" s="1"/>
      <c r="D276" s="20"/>
      <c r="E276" s="1"/>
      <c r="F276" s="1"/>
      <c r="G276" s="32"/>
      <c r="H276" s="2"/>
      <c r="I276" s="2"/>
      <c r="J276" s="60"/>
      <c r="K276" s="2"/>
      <c r="L276" s="34"/>
      <c r="M276" s="34"/>
    </row>
    <row r="277" spans="2:13" ht="15.75" customHeight="1">
      <c r="B277" s="26"/>
      <c r="C277" s="1"/>
      <c r="D277" s="20"/>
      <c r="E277" s="1"/>
      <c r="F277" s="1"/>
      <c r="G277" s="32"/>
      <c r="H277" s="2"/>
      <c r="I277" s="2"/>
      <c r="J277" s="60"/>
      <c r="K277" s="2"/>
      <c r="L277" s="34"/>
      <c r="M277" s="34"/>
    </row>
    <row r="278" spans="2:13" ht="15.75" customHeight="1">
      <c r="B278" s="26"/>
      <c r="C278" s="1"/>
      <c r="D278" s="20"/>
      <c r="E278" s="1"/>
      <c r="F278" s="1"/>
      <c r="G278" s="32"/>
      <c r="H278" s="2"/>
      <c r="I278" s="2"/>
      <c r="J278" s="60"/>
      <c r="K278" s="2"/>
      <c r="L278" s="34"/>
      <c r="M278" s="34"/>
    </row>
    <row r="279" spans="2:13" ht="15.75" customHeight="1">
      <c r="B279" s="26"/>
      <c r="C279" s="1"/>
      <c r="D279" s="20"/>
      <c r="E279" s="1"/>
      <c r="F279" s="1"/>
      <c r="G279" s="32"/>
      <c r="H279" s="2"/>
      <c r="I279" s="2"/>
      <c r="J279" s="60"/>
      <c r="K279" s="2"/>
      <c r="L279" s="34"/>
      <c r="M279" s="34"/>
    </row>
    <row r="280" spans="2:13" ht="15.75" customHeight="1">
      <c r="B280" s="26"/>
      <c r="C280" s="1"/>
      <c r="D280" s="20"/>
      <c r="E280" s="1"/>
      <c r="F280" s="1"/>
      <c r="G280" s="32"/>
      <c r="H280" s="2"/>
      <c r="I280" s="2"/>
      <c r="J280" s="60"/>
      <c r="K280" s="2"/>
      <c r="L280" s="34"/>
      <c r="M280" s="34"/>
    </row>
    <row r="281" spans="2:13" ht="15.75" customHeight="1">
      <c r="B281" s="26"/>
      <c r="C281" s="1"/>
      <c r="D281" s="20"/>
      <c r="E281" s="1"/>
      <c r="F281" s="1"/>
      <c r="G281" s="32"/>
      <c r="H281" s="2"/>
      <c r="I281" s="2"/>
      <c r="J281" s="60"/>
      <c r="K281" s="2"/>
      <c r="L281" s="34"/>
      <c r="M281" s="34"/>
    </row>
    <row r="282" spans="2:13" ht="15.75" customHeight="1">
      <c r="B282" s="26"/>
      <c r="C282" s="1"/>
      <c r="D282" s="20"/>
      <c r="E282" s="1"/>
      <c r="F282" s="1"/>
      <c r="G282" s="32"/>
      <c r="H282" s="2"/>
      <c r="I282" s="2"/>
      <c r="J282" s="60"/>
      <c r="K282" s="2"/>
      <c r="L282" s="34"/>
      <c r="M282" s="34"/>
    </row>
    <row r="283" spans="2:13" ht="15.75" customHeight="1">
      <c r="B283" s="26"/>
      <c r="C283" s="1"/>
      <c r="D283" s="20"/>
      <c r="E283" s="1"/>
      <c r="F283" s="1"/>
      <c r="G283" s="32"/>
      <c r="H283" s="2"/>
      <c r="I283" s="2"/>
      <c r="J283" s="60"/>
      <c r="K283" s="2"/>
      <c r="L283" s="34"/>
      <c r="M283" s="34"/>
    </row>
    <row r="284" spans="2:13" ht="15.75" customHeight="1">
      <c r="B284" s="26"/>
      <c r="C284" s="1"/>
      <c r="D284" s="20"/>
      <c r="E284" s="1"/>
      <c r="F284" s="1"/>
      <c r="G284" s="32"/>
      <c r="H284" s="2"/>
      <c r="I284" s="2"/>
      <c r="J284" s="60"/>
      <c r="K284" s="2"/>
      <c r="L284" s="34"/>
      <c r="M284" s="34"/>
    </row>
    <row r="285" spans="2:13" ht="15.75" customHeight="1">
      <c r="B285" s="26"/>
      <c r="C285" s="1"/>
      <c r="D285" s="20"/>
      <c r="E285" s="1"/>
      <c r="F285" s="1"/>
      <c r="G285" s="32"/>
      <c r="H285" s="2"/>
      <c r="I285" s="2"/>
      <c r="J285" s="60"/>
      <c r="K285" s="2"/>
      <c r="L285" s="34"/>
      <c r="M285" s="34"/>
    </row>
    <row r="286" spans="2:13" ht="15.75" customHeight="1">
      <c r="B286" s="26"/>
      <c r="C286" s="1"/>
      <c r="D286" s="20"/>
      <c r="E286" s="1"/>
      <c r="F286" s="1"/>
      <c r="G286" s="32"/>
      <c r="H286" s="2"/>
      <c r="I286" s="2"/>
      <c r="J286" s="60"/>
      <c r="K286" s="2"/>
      <c r="L286" s="34"/>
      <c r="M286" s="34"/>
    </row>
    <row r="287" spans="2:13" ht="15.75" customHeight="1">
      <c r="B287" s="26"/>
      <c r="C287" s="1"/>
      <c r="D287" s="20"/>
      <c r="E287" s="1"/>
      <c r="F287" s="1"/>
      <c r="G287" s="32"/>
      <c r="H287" s="2"/>
      <c r="I287" s="2"/>
      <c r="J287" s="60"/>
      <c r="K287" s="2"/>
      <c r="L287" s="34"/>
      <c r="M287" s="34"/>
    </row>
    <row r="288" spans="2:13" ht="15.75" customHeight="1">
      <c r="B288" s="26"/>
      <c r="C288" s="1"/>
      <c r="D288" s="20"/>
      <c r="E288" s="1"/>
      <c r="F288" s="1"/>
      <c r="G288" s="32"/>
      <c r="H288" s="2"/>
      <c r="I288" s="2"/>
      <c r="J288" s="60"/>
      <c r="K288" s="2"/>
      <c r="L288" s="34"/>
      <c r="M288" s="34"/>
    </row>
    <row r="289" spans="2:13" ht="15.75" customHeight="1">
      <c r="B289" s="26"/>
      <c r="C289" s="1"/>
      <c r="D289" s="20"/>
      <c r="E289" s="1"/>
      <c r="F289" s="1"/>
      <c r="G289" s="32"/>
      <c r="H289" s="2"/>
      <c r="I289" s="2"/>
      <c r="J289" s="60"/>
      <c r="K289" s="2"/>
      <c r="L289" s="34"/>
      <c r="M289" s="34"/>
    </row>
    <row r="290" spans="2:13" ht="15.75" customHeight="1">
      <c r="B290" s="26"/>
      <c r="C290" s="1"/>
      <c r="D290" s="20"/>
      <c r="E290" s="1"/>
      <c r="F290" s="1"/>
      <c r="G290" s="32"/>
      <c r="H290" s="2"/>
      <c r="I290" s="2"/>
      <c r="J290" s="60"/>
      <c r="K290" s="2"/>
      <c r="L290" s="34"/>
      <c r="M290" s="34"/>
    </row>
    <row r="291" spans="2:13" ht="15.75" customHeight="1">
      <c r="B291" s="26"/>
      <c r="C291" s="1"/>
      <c r="D291" s="20"/>
      <c r="E291" s="1"/>
      <c r="F291" s="1"/>
      <c r="G291" s="32"/>
      <c r="H291" s="2"/>
      <c r="I291" s="2"/>
      <c r="J291" s="60"/>
      <c r="K291" s="2"/>
      <c r="L291" s="34"/>
      <c r="M291" s="34"/>
    </row>
    <row r="292" spans="2:13" ht="15.75" customHeight="1">
      <c r="B292" s="26"/>
      <c r="C292" s="1"/>
      <c r="D292" s="20"/>
      <c r="E292" s="1"/>
      <c r="F292" s="1"/>
      <c r="G292" s="32"/>
      <c r="H292" s="2"/>
      <c r="I292" s="2"/>
      <c r="J292" s="60"/>
      <c r="K292" s="2"/>
      <c r="L292" s="34"/>
      <c r="M292" s="34"/>
    </row>
    <row r="293" spans="2:13" ht="15.75" customHeight="1">
      <c r="B293" s="26"/>
      <c r="C293" s="1"/>
      <c r="D293" s="20"/>
      <c r="E293" s="1"/>
      <c r="F293" s="1"/>
      <c r="G293" s="32"/>
      <c r="H293" s="2"/>
      <c r="I293" s="2"/>
      <c r="J293" s="60"/>
      <c r="K293" s="2"/>
      <c r="L293" s="34"/>
      <c r="M293" s="34"/>
    </row>
    <row r="294" spans="2:13" ht="15.75" customHeight="1">
      <c r="B294" s="26"/>
      <c r="C294" s="1"/>
      <c r="D294" s="20"/>
      <c r="E294" s="1"/>
      <c r="F294" s="1"/>
      <c r="G294" s="32"/>
      <c r="H294" s="2"/>
      <c r="I294" s="2"/>
      <c r="J294" s="60"/>
      <c r="K294" s="2"/>
      <c r="L294" s="34"/>
      <c r="M294" s="34"/>
    </row>
    <row r="295" spans="2:13" ht="15.75" customHeight="1">
      <c r="B295" s="26"/>
      <c r="C295" s="1"/>
      <c r="D295" s="20"/>
      <c r="E295" s="1"/>
      <c r="F295" s="1"/>
      <c r="G295" s="32"/>
      <c r="H295" s="2"/>
      <c r="I295" s="2"/>
      <c r="J295" s="60"/>
      <c r="K295" s="2"/>
      <c r="L295" s="34"/>
      <c r="M295" s="34"/>
    </row>
    <row r="296" spans="2:13" ht="15.75" customHeight="1">
      <c r="B296" s="26"/>
      <c r="C296" s="1"/>
      <c r="D296" s="20"/>
      <c r="E296" s="1"/>
      <c r="F296" s="1"/>
      <c r="G296" s="32"/>
      <c r="H296" s="2"/>
      <c r="I296" s="2"/>
      <c r="J296" s="60"/>
      <c r="K296" s="2"/>
      <c r="L296" s="34"/>
      <c r="M296" s="34"/>
    </row>
    <row r="297" spans="2:13" ht="15.75" customHeight="1">
      <c r="B297" s="26"/>
      <c r="C297" s="1"/>
      <c r="D297" s="20"/>
      <c r="E297" s="1"/>
      <c r="F297" s="1"/>
      <c r="G297" s="32"/>
      <c r="H297" s="2"/>
      <c r="I297" s="2"/>
      <c r="J297" s="60"/>
      <c r="K297" s="2"/>
      <c r="L297" s="34"/>
      <c r="M297" s="34"/>
    </row>
    <row r="298" spans="2:13" ht="15.75" customHeight="1">
      <c r="B298" s="26"/>
      <c r="C298" s="1"/>
      <c r="D298" s="20"/>
      <c r="E298" s="1"/>
      <c r="F298" s="1"/>
      <c r="G298" s="32"/>
      <c r="H298" s="2"/>
      <c r="I298" s="2"/>
      <c r="J298" s="60"/>
      <c r="K298" s="2"/>
      <c r="L298" s="34"/>
      <c r="M298" s="34"/>
    </row>
    <row r="299" spans="2:13" ht="15.75" customHeight="1">
      <c r="B299" s="26"/>
      <c r="C299" s="1"/>
      <c r="D299" s="20"/>
      <c r="E299" s="1"/>
      <c r="F299" s="1"/>
      <c r="G299" s="32"/>
      <c r="H299" s="2"/>
      <c r="I299" s="2"/>
      <c r="J299" s="60"/>
      <c r="K299" s="2"/>
      <c r="L299" s="34"/>
      <c r="M299" s="34"/>
    </row>
    <row r="300" spans="2:13" ht="15.75" customHeight="1"/>
    <row r="301" spans="2:13" ht="15.75" customHeight="1"/>
    <row r="302" spans="2:13" ht="15.75" customHeight="1"/>
    <row r="303" spans="2:13" ht="15.75" customHeight="1"/>
    <row r="304" spans="2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honeticPr fontId="5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2"/>
  <sheetViews>
    <sheetView topLeftCell="C1" zoomScale="70" zoomScaleNormal="70" workbookViewId="0">
      <pane ySplit="2" topLeftCell="A44" activePane="bottomLeft" state="frozen"/>
      <selection pane="bottomLeft" activeCell="C1" sqref="C1"/>
      <selection activeCell="C1" sqref="C1"/>
    </sheetView>
  </sheetViews>
  <sheetFormatPr defaultColWidth="14.42578125" defaultRowHeight="15" customHeight="1"/>
  <cols>
    <col min="1" max="1" width="18.28515625" style="11" bestFit="1" customWidth="1"/>
    <col min="2" max="2" width="13.42578125" style="127" bestFit="1" customWidth="1"/>
    <col min="3" max="3" width="11.28515625" style="11" bestFit="1" customWidth="1"/>
    <col min="4" max="4" width="16.28515625" style="128" bestFit="1" customWidth="1"/>
    <col min="5" max="5" width="54.140625" style="11" bestFit="1" customWidth="1"/>
    <col min="6" max="6" width="13.42578125" style="11" bestFit="1" customWidth="1"/>
    <col min="7" max="7" width="116.7109375" style="70" customWidth="1"/>
    <col min="8" max="8" width="12.7109375" style="11" bestFit="1" customWidth="1"/>
    <col min="9" max="9" width="10.28515625" style="11" bestFit="1" customWidth="1"/>
    <col min="10" max="10" width="9.140625" style="129" bestFit="1" customWidth="1"/>
    <col min="11" max="11" width="11.85546875" style="11" bestFit="1" customWidth="1"/>
    <col min="12" max="13" width="17.7109375" style="74" bestFit="1" customWidth="1"/>
    <col min="14" max="14" width="12.7109375" style="74" bestFit="1" customWidth="1"/>
    <col min="15" max="15" width="29.28515625" style="11" bestFit="1" customWidth="1"/>
    <col min="16" max="16" width="20.42578125" style="75" bestFit="1" customWidth="1"/>
    <col min="17" max="17" width="14.85546875" style="74" bestFit="1" customWidth="1"/>
    <col min="18" max="16384" width="14.42578125" style="11"/>
  </cols>
  <sheetData>
    <row r="1" spans="1:17" ht="18.75" customHeight="1">
      <c r="A1" s="11" t="s">
        <v>852</v>
      </c>
      <c r="B1" s="68"/>
      <c r="C1" s="12"/>
      <c r="D1" s="69"/>
      <c r="E1" s="12"/>
      <c r="F1" s="12"/>
      <c r="H1" s="71"/>
      <c r="I1" s="71"/>
      <c r="J1" s="72"/>
      <c r="K1" s="71"/>
      <c r="L1" s="73"/>
      <c r="M1" s="73"/>
    </row>
    <row r="2" spans="1:17" ht="18.75" customHeight="1">
      <c r="A2" s="76" t="s">
        <v>853</v>
      </c>
      <c r="B2" s="77" t="s">
        <v>854</v>
      </c>
      <c r="C2" s="76" t="s">
        <v>855</v>
      </c>
      <c r="D2" s="78" t="s">
        <v>856</v>
      </c>
      <c r="E2" s="76" t="s">
        <v>857</v>
      </c>
      <c r="F2" s="76" t="s">
        <v>858</v>
      </c>
      <c r="G2" s="76" t="s">
        <v>859</v>
      </c>
      <c r="H2" s="79" t="s">
        <v>860</v>
      </c>
      <c r="I2" s="79" t="s">
        <v>861</v>
      </c>
      <c r="J2" s="80" t="s">
        <v>862</v>
      </c>
      <c r="K2" s="79" t="s">
        <v>863</v>
      </c>
      <c r="L2" s="81" t="s">
        <v>864</v>
      </c>
      <c r="M2" s="82" t="s">
        <v>865</v>
      </c>
      <c r="N2" s="83" t="s">
        <v>866</v>
      </c>
      <c r="O2" s="84" t="s">
        <v>867</v>
      </c>
      <c r="P2" s="85" t="s">
        <v>868</v>
      </c>
      <c r="Q2" s="86" t="s">
        <v>869</v>
      </c>
    </row>
    <row r="3" spans="1:17" ht="18.75" customHeight="1">
      <c r="A3" s="87">
        <v>957727</v>
      </c>
      <c r="B3" s="88">
        <v>115946</v>
      </c>
      <c r="C3" s="87" t="s">
        <v>870</v>
      </c>
      <c r="D3" s="89">
        <v>45716.303472222222</v>
      </c>
      <c r="E3" s="90" t="s">
        <v>871</v>
      </c>
      <c r="F3" s="87" t="s">
        <v>872</v>
      </c>
      <c r="G3" s="90" t="s">
        <v>873</v>
      </c>
      <c r="H3" s="91">
        <v>1000</v>
      </c>
      <c r="I3" s="91">
        <v>60</v>
      </c>
      <c r="J3" s="92">
        <v>0.5</v>
      </c>
      <c r="K3" s="91" t="s">
        <v>874</v>
      </c>
      <c r="L3" s="93">
        <v>30000</v>
      </c>
      <c r="M3" s="94">
        <v>33000</v>
      </c>
      <c r="N3" s="95">
        <v>0</v>
      </c>
      <c r="O3" s="96" t="s">
        <v>875</v>
      </c>
      <c r="P3" s="59" t="s">
        <v>876</v>
      </c>
      <c r="Q3" s="97">
        <f>(M3+N3*1.1)/(I3*J3)</f>
        <v>1100</v>
      </c>
    </row>
    <row r="4" spans="1:17" ht="18.75" customHeight="1">
      <c r="A4" s="87">
        <v>940639</v>
      </c>
      <c r="B4" s="88">
        <v>113134</v>
      </c>
      <c r="C4" s="87" t="s">
        <v>870</v>
      </c>
      <c r="D4" s="89">
        <v>45697.793055555558</v>
      </c>
      <c r="E4" s="90" t="s">
        <v>877</v>
      </c>
      <c r="F4" s="87" t="s">
        <v>878</v>
      </c>
      <c r="G4" s="90" t="s">
        <v>879</v>
      </c>
      <c r="H4" s="91">
        <v>55000</v>
      </c>
      <c r="I4" s="91">
        <v>264</v>
      </c>
      <c r="J4" s="92">
        <v>0.25</v>
      </c>
      <c r="K4" s="91" t="s">
        <v>874</v>
      </c>
      <c r="L4" s="93">
        <v>13750</v>
      </c>
      <c r="M4" s="94">
        <v>15125</v>
      </c>
      <c r="N4" s="56">
        <v>1000</v>
      </c>
      <c r="O4" s="49" t="s">
        <v>880</v>
      </c>
      <c r="P4" s="59" t="s">
        <v>881</v>
      </c>
      <c r="Q4" s="97">
        <f t="shared" ref="Q4:Q66" si="0">(M4+N4*1.1)/(I4*J4)</f>
        <v>245.83333333333334</v>
      </c>
    </row>
    <row r="5" spans="1:17" ht="18.75" customHeight="1">
      <c r="A5" s="87">
        <v>952121</v>
      </c>
      <c r="B5" s="88">
        <v>115071</v>
      </c>
      <c r="C5" s="87" t="s">
        <v>870</v>
      </c>
      <c r="D5" s="89">
        <v>45709.84652777778</v>
      </c>
      <c r="E5" s="90" t="s">
        <v>871</v>
      </c>
      <c r="F5" s="87" t="s">
        <v>587</v>
      </c>
      <c r="G5" s="90" t="s">
        <v>882</v>
      </c>
      <c r="H5" s="91">
        <v>45000</v>
      </c>
      <c r="I5" s="91">
        <v>240</v>
      </c>
      <c r="J5" s="92">
        <v>1</v>
      </c>
      <c r="K5" s="91" t="s">
        <v>874</v>
      </c>
      <c r="L5" s="93">
        <v>45000</v>
      </c>
      <c r="M5" s="94">
        <v>49500</v>
      </c>
      <c r="N5" s="56">
        <v>0</v>
      </c>
      <c r="O5" s="49" t="s">
        <v>883</v>
      </c>
      <c r="P5" s="59" t="s">
        <v>764</v>
      </c>
      <c r="Q5" s="97">
        <f t="shared" si="0"/>
        <v>206.25</v>
      </c>
    </row>
    <row r="6" spans="1:17" ht="18.75" customHeight="1">
      <c r="A6" s="87">
        <v>952115</v>
      </c>
      <c r="B6" s="88">
        <v>115071</v>
      </c>
      <c r="C6" s="87" t="s">
        <v>870</v>
      </c>
      <c r="D6" s="89">
        <v>45709.84652777778</v>
      </c>
      <c r="E6" s="90" t="s">
        <v>871</v>
      </c>
      <c r="F6" s="87" t="s">
        <v>884</v>
      </c>
      <c r="G6" s="90" t="s">
        <v>885</v>
      </c>
      <c r="H6" s="91">
        <v>52500</v>
      </c>
      <c r="I6" s="91">
        <v>240</v>
      </c>
      <c r="J6" s="92">
        <v>1</v>
      </c>
      <c r="K6" s="91" t="s">
        <v>874</v>
      </c>
      <c r="L6" s="93">
        <v>52500</v>
      </c>
      <c r="M6" s="94">
        <v>57750</v>
      </c>
      <c r="N6" s="56">
        <v>0</v>
      </c>
      <c r="O6" s="49" t="s">
        <v>883</v>
      </c>
      <c r="P6" s="59" t="s">
        <v>764</v>
      </c>
      <c r="Q6" s="97">
        <f t="shared" si="0"/>
        <v>240.625</v>
      </c>
    </row>
    <row r="7" spans="1:17" ht="18.75" customHeight="1">
      <c r="A7" s="87">
        <v>948104</v>
      </c>
      <c r="B7" s="88">
        <v>114598</v>
      </c>
      <c r="C7" s="87" t="s">
        <v>870</v>
      </c>
      <c r="D7" s="89">
        <v>45706.296527777777</v>
      </c>
      <c r="E7" s="90" t="s">
        <v>886</v>
      </c>
      <c r="F7" s="87" t="s">
        <v>887</v>
      </c>
      <c r="G7" s="90" t="s">
        <v>888</v>
      </c>
      <c r="H7" s="91">
        <v>43000</v>
      </c>
      <c r="I7" s="91">
        <v>400</v>
      </c>
      <c r="J7" s="92">
        <v>0.25</v>
      </c>
      <c r="K7" s="91" t="s">
        <v>874</v>
      </c>
      <c r="L7" s="93">
        <v>10750</v>
      </c>
      <c r="M7" s="94">
        <v>11825</v>
      </c>
      <c r="N7" s="56">
        <v>1000</v>
      </c>
      <c r="O7" s="49" t="s">
        <v>889</v>
      </c>
      <c r="P7" s="59" t="s">
        <v>764</v>
      </c>
      <c r="Q7" s="97">
        <f t="shared" si="0"/>
        <v>129.25</v>
      </c>
    </row>
    <row r="8" spans="1:17" ht="18.75" customHeight="1">
      <c r="A8" s="87">
        <v>948106</v>
      </c>
      <c r="B8" s="88">
        <v>114598</v>
      </c>
      <c r="C8" s="87" t="s">
        <v>870</v>
      </c>
      <c r="D8" s="89">
        <v>45706.296527777777</v>
      </c>
      <c r="E8" s="90" t="s">
        <v>886</v>
      </c>
      <c r="F8" s="87" t="s">
        <v>890</v>
      </c>
      <c r="G8" s="90" t="s">
        <v>891</v>
      </c>
      <c r="H8" s="91">
        <v>54000</v>
      </c>
      <c r="I8" s="91">
        <v>288</v>
      </c>
      <c r="J8" s="92">
        <v>0.25</v>
      </c>
      <c r="K8" s="91" t="s">
        <v>874</v>
      </c>
      <c r="L8" s="93">
        <v>13500</v>
      </c>
      <c r="M8" s="94">
        <v>14850</v>
      </c>
      <c r="N8" s="56">
        <v>1000</v>
      </c>
      <c r="O8" s="49" t="s">
        <v>889</v>
      </c>
      <c r="P8" s="59" t="s">
        <v>764</v>
      </c>
      <c r="Q8" s="97">
        <f t="shared" si="0"/>
        <v>221.52777777777777</v>
      </c>
    </row>
    <row r="9" spans="1:17" ht="18.75" customHeight="1">
      <c r="A9" s="87">
        <v>948103</v>
      </c>
      <c r="B9" s="88">
        <v>114597</v>
      </c>
      <c r="C9" s="87" t="s">
        <v>870</v>
      </c>
      <c r="D9" s="89">
        <v>45705.966666666667</v>
      </c>
      <c r="E9" s="90" t="s">
        <v>871</v>
      </c>
      <c r="F9" s="87" t="s">
        <v>892</v>
      </c>
      <c r="G9" s="90" t="s">
        <v>893</v>
      </c>
      <c r="H9" s="91">
        <v>57000</v>
      </c>
      <c r="I9" s="91">
        <v>192</v>
      </c>
      <c r="J9" s="92">
        <v>0.25</v>
      </c>
      <c r="K9" s="91" t="s">
        <v>874</v>
      </c>
      <c r="L9" s="93">
        <v>14250</v>
      </c>
      <c r="M9" s="94">
        <v>15675</v>
      </c>
      <c r="N9" s="56">
        <v>1000</v>
      </c>
      <c r="O9" s="49" t="s">
        <v>889</v>
      </c>
      <c r="P9" s="59" t="s">
        <v>764</v>
      </c>
      <c r="Q9" s="97">
        <f t="shared" si="0"/>
        <v>349.47916666666669</v>
      </c>
    </row>
    <row r="10" spans="1:17" ht="18.75" customHeight="1">
      <c r="A10" s="87">
        <v>948102</v>
      </c>
      <c r="B10" s="88">
        <v>114597</v>
      </c>
      <c r="C10" s="87" t="s">
        <v>870</v>
      </c>
      <c r="D10" s="89">
        <v>45705.966666666667</v>
      </c>
      <c r="E10" s="90" t="s">
        <v>871</v>
      </c>
      <c r="F10" s="87" t="s">
        <v>894</v>
      </c>
      <c r="G10" s="90" t="s">
        <v>895</v>
      </c>
      <c r="H10" s="91">
        <v>57000</v>
      </c>
      <c r="I10" s="91">
        <v>192</v>
      </c>
      <c r="J10" s="92">
        <v>0.25</v>
      </c>
      <c r="K10" s="91" t="s">
        <v>874</v>
      </c>
      <c r="L10" s="93">
        <v>14250</v>
      </c>
      <c r="M10" s="94">
        <v>15675</v>
      </c>
      <c r="N10" s="56">
        <v>1000</v>
      </c>
      <c r="O10" s="49" t="s">
        <v>889</v>
      </c>
      <c r="P10" s="59" t="s">
        <v>764</v>
      </c>
      <c r="Q10" s="97">
        <f t="shared" si="0"/>
        <v>349.47916666666669</v>
      </c>
    </row>
    <row r="11" spans="1:17" ht="18.75" customHeight="1">
      <c r="A11" s="87">
        <v>948101</v>
      </c>
      <c r="B11" s="88">
        <v>114597</v>
      </c>
      <c r="C11" s="87" t="s">
        <v>870</v>
      </c>
      <c r="D11" s="89">
        <v>45705.966666666667</v>
      </c>
      <c r="E11" s="90" t="s">
        <v>871</v>
      </c>
      <c r="F11" s="87" t="s">
        <v>896</v>
      </c>
      <c r="G11" s="90" t="s">
        <v>897</v>
      </c>
      <c r="H11" s="91">
        <v>51800</v>
      </c>
      <c r="I11" s="91">
        <v>96</v>
      </c>
      <c r="J11" s="92">
        <v>1</v>
      </c>
      <c r="K11" s="91" t="s">
        <v>874</v>
      </c>
      <c r="L11" s="93">
        <v>51800</v>
      </c>
      <c r="M11" s="94">
        <v>56980</v>
      </c>
      <c r="N11" s="56">
        <v>0</v>
      </c>
      <c r="O11" s="49" t="s">
        <v>898</v>
      </c>
      <c r="P11" s="59" t="s">
        <v>764</v>
      </c>
      <c r="Q11" s="97">
        <f t="shared" si="0"/>
        <v>593.54166666666663</v>
      </c>
    </row>
    <row r="12" spans="1:17" ht="18.75" customHeight="1">
      <c r="A12" s="87">
        <v>947653</v>
      </c>
      <c r="B12" s="88">
        <v>114447</v>
      </c>
      <c r="C12" s="87" t="s">
        <v>870</v>
      </c>
      <c r="D12" s="89">
        <v>45705.946527777778</v>
      </c>
      <c r="E12" s="90" t="s">
        <v>877</v>
      </c>
      <c r="F12" s="87" t="s">
        <v>899</v>
      </c>
      <c r="G12" s="90" t="s">
        <v>900</v>
      </c>
      <c r="H12" s="91">
        <v>47000</v>
      </c>
      <c r="I12" s="91">
        <v>96</v>
      </c>
      <c r="J12" s="92">
        <v>1</v>
      </c>
      <c r="K12" s="91" t="s">
        <v>874</v>
      </c>
      <c r="L12" s="93">
        <v>47000</v>
      </c>
      <c r="M12" s="94">
        <v>51700</v>
      </c>
      <c r="N12" s="56">
        <v>0</v>
      </c>
      <c r="O12" s="49" t="s">
        <v>898</v>
      </c>
      <c r="P12" s="59" t="s">
        <v>764</v>
      </c>
      <c r="Q12" s="97">
        <f t="shared" si="0"/>
        <v>538.54166666666663</v>
      </c>
    </row>
    <row r="13" spans="1:17" ht="18.75" customHeight="1">
      <c r="A13" s="87">
        <v>947659</v>
      </c>
      <c r="B13" s="88">
        <v>114447</v>
      </c>
      <c r="C13" s="87" t="s">
        <v>870</v>
      </c>
      <c r="D13" s="89">
        <v>45705.946527777778</v>
      </c>
      <c r="E13" s="90" t="s">
        <v>877</v>
      </c>
      <c r="F13" s="87" t="s">
        <v>896</v>
      </c>
      <c r="G13" s="90" t="s">
        <v>897</v>
      </c>
      <c r="H13" s="91">
        <v>51800</v>
      </c>
      <c r="I13" s="91">
        <v>96</v>
      </c>
      <c r="J13" s="92">
        <v>1</v>
      </c>
      <c r="K13" s="91" t="s">
        <v>874</v>
      </c>
      <c r="L13" s="93">
        <v>51800</v>
      </c>
      <c r="M13" s="94">
        <v>56980</v>
      </c>
      <c r="N13" s="56">
        <v>0</v>
      </c>
      <c r="O13" s="49" t="s">
        <v>898</v>
      </c>
      <c r="P13" s="59" t="s">
        <v>764</v>
      </c>
      <c r="Q13" s="97">
        <f t="shared" si="0"/>
        <v>593.54166666666663</v>
      </c>
    </row>
    <row r="14" spans="1:17" ht="18.75" customHeight="1">
      <c r="A14" s="87">
        <v>944718</v>
      </c>
      <c r="B14" s="88">
        <v>113737</v>
      </c>
      <c r="C14" s="87" t="s">
        <v>870</v>
      </c>
      <c r="D14" s="89">
        <v>45702.486111111109</v>
      </c>
      <c r="E14" s="90" t="s">
        <v>886</v>
      </c>
      <c r="F14" s="87" t="s">
        <v>901</v>
      </c>
      <c r="G14" s="90" t="s">
        <v>902</v>
      </c>
      <c r="H14" s="91">
        <v>60000</v>
      </c>
      <c r="I14" s="91">
        <v>320</v>
      </c>
      <c r="J14" s="92">
        <v>0.25</v>
      </c>
      <c r="K14" s="91" t="s">
        <v>874</v>
      </c>
      <c r="L14" s="93">
        <v>15000</v>
      </c>
      <c r="M14" s="94">
        <v>16500</v>
      </c>
      <c r="N14" s="56">
        <v>1000</v>
      </c>
      <c r="O14" s="49" t="s">
        <v>903</v>
      </c>
      <c r="P14" s="59" t="s">
        <v>764</v>
      </c>
      <c r="Q14" s="97">
        <f t="shared" si="0"/>
        <v>220</v>
      </c>
    </row>
    <row r="15" spans="1:17" ht="18.75" customHeight="1">
      <c r="A15" s="87">
        <v>940638</v>
      </c>
      <c r="B15" s="88">
        <v>113134</v>
      </c>
      <c r="C15" s="87" t="s">
        <v>870</v>
      </c>
      <c r="D15" s="89">
        <v>45697.793055555558</v>
      </c>
      <c r="E15" s="90" t="s">
        <v>877</v>
      </c>
      <c r="F15" s="87" t="s">
        <v>904</v>
      </c>
      <c r="G15" s="90" t="s">
        <v>905</v>
      </c>
      <c r="H15" s="91">
        <v>55000</v>
      </c>
      <c r="I15" s="91">
        <v>264</v>
      </c>
      <c r="J15" s="92">
        <v>0.25</v>
      </c>
      <c r="K15" s="91" t="s">
        <v>874</v>
      </c>
      <c r="L15" s="93">
        <v>13750</v>
      </c>
      <c r="M15" s="94">
        <v>15125</v>
      </c>
      <c r="N15" s="56">
        <v>1000</v>
      </c>
      <c r="O15" s="49" t="s">
        <v>880</v>
      </c>
      <c r="P15" s="59" t="s">
        <v>764</v>
      </c>
      <c r="Q15" s="97">
        <f t="shared" si="0"/>
        <v>245.83333333333334</v>
      </c>
    </row>
    <row r="16" spans="1:17" ht="18.75" customHeight="1">
      <c r="A16" s="87">
        <v>940640</v>
      </c>
      <c r="B16" s="88">
        <v>113134</v>
      </c>
      <c r="C16" s="87" t="s">
        <v>870</v>
      </c>
      <c r="D16" s="89">
        <v>45697.793055555558</v>
      </c>
      <c r="E16" s="90" t="s">
        <v>877</v>
      </c>
      <c r="F16" s="87" t="s">
        <v>906</v>
      </c>
      <c r="G16" s="90" t="s">
        <v>907</v>
      </c>
      <c r="H16" s="91">
        <v>62000</v>
      </c>
      <c r="I16" s="91">
        <v>256</v>
      </c>
      <c r="J16" s="92">
        <v>0.25</v>
      </c>
      <c r="K16" s="91" t="s">
        <v>874</v>
      </c>
      <c r="L16" s="93">
        <v>15500</v>
      </c>
      <c r="M16" s="94">
        <v>17050</v>
      </c>
      <c r="N16" s="56">
        <v>1000</v>
      </c>
      <c r="O16" s="49" t="s">
        <v>880</v>
      </c>
      <c r="P16" s="59" t="s">
        <v>764</v>
      </c>
      <c r="Q16" s="97">
        <f t="shared" si="0"/>
        <v>283.59375</v>
      </c>
    </row>
    <row r="17" spans="1:17" ht="18.75" customHeight="1">
      <c r="A17" s="87">
        <v>942029</v>
      </c>
      <c r="B17" s="88">
        <v>113134</v>
      </c>
      <c r="C17" s="87" t="s">
        <v>870</v>
      </c>
      <c r="D17" s="89">
        <v>45697.793055555558</v>
      </c>
      <c r="E17" s="90" t="s">
        <v>877</v>
      </c>
      <c r="F17" s="87" t="s">
        <v>908</v>
      </c>
      <c r="G17" s="90" t="s">
        <v>909</v>
      </c>
      <c r="H17" s="91">
        <v>63000</v>
      </c>
      <c r="I17" s="91">
        <v>64</v>
      </c>
      <c r="J17" s="92">
        <v>0.25</v>
      </c>
      <c r="K17" s="91" t="s">
        <v>874</v>
      </c>
      <c r="L17" s="93">
        <v>15750</v>
      </c>
      <c r="M17" s="94">
        <v>17325</v>
      </c>
      <c r="N17" s="56">
        <v>1000</v>
      </c>
      <c r="O17" s="49" t="s">
        <v>880</v>
      </c>
      <c r="P17" s="59" t="s">
        <v>764</v>
      </c>
      <c r="Q17" s="97">
        <f t="shared" si="0"/>
        <v>1151.5625</v>
      </c>
    </row>
    <row r="18" spans="1:17" ht="18.75" customHeight="1">
      <c r="A18" s="87">
        <v>930897</v>
      </c>
      <c r="B18" s="88">
        <v>112713</v>
      </c>
      <c r="C18" s="87" t="s">
        <v>870</v>
      </c>
      <c r="D18" s="89">
        <v>45691.941666666666</v>
      </c>
      <c r="E18" s="90" t="s">
        <v>877</v>
      </c>
      <c r="F18" s="87" t="s">
        <v>884</v>
      </c>
      <c r="G18" s="90" t="s">
        <v>885</v>
      </c>
      <c r="H18" s="91">
        <v>52500</v>
      </c>
      <c r="I18" s="91">
        <v>240</v>
      </c>
      <c r="J18" s="92">
        <v>1</v>
      </c>
      <c r="K18" s="91" t="s">
        <v>874</v>
      </c>
      <c r="L18" s="93">
        <v>52500</v>
      </c>
      <c r="M18" s="94">
        <v>57750</v>
      </c>
      <c r="N18" s="56">
        <v>0</v>
      </c>
      <c r="O18" s="49" t="s">
        <v>910</v>
      </c>
      <c r="P18" s="59" t="s">
        <v>764</v>
      </c>
      <c r="Q18" s="97">
        <f t="shared" si="0"/>
        <v>240.625</v>
      </c>
    </row>
    <row r="19" spans="1:17" ht="18.75" customHeight="1">
      <c r="A19" s="87">
        <v>930900</v>
      </c>
      <c r="B19" s="88">
        <v>112713</v>
      </c>
      <c r="C19" s="87" t="s">
        <v>870</v>
      </c>
      <c r="D19" s="89">
        <v>45691.941666666666</v>
      </c>
      <c r="E19" s="90" t="s">
        <v>877</v>
      </c>
      <c r="F19" s="87" t="s">
        <v>911</v>
      </c>
      <c r="G19" s="90" t="s">
        <v>912</v>
      </c>
      <c r="H19" s="91">
        <v>45000</v>
      </c>
      <c r="I19" s="91">
        <v>360</v>
      </c>
      <c r="J19" s="92">
        <v>0.5</v>
      </c>
      <c r="K19" s="91" t="s">
        <v>874</v>
      </c>
      <c r="L19" s="93">
        <v>22500</v>
      </c>
      <c r="M19" s="94">
        <v>24750</v>
      </c>
      <c r="N19" s="56">
        <v>1000</v>
      </c>
      <c r="O19" s="49" t="s">
        <v>910</v>
      </c>
      <c r="P19" s="59" t="s">
        <v>764</v>
      </c>
      <c r="Q19" s="97">
        <f t="shared" si="0"/>
        <v>143.61111111111111</v>
      </c>
    </row>
    <row r="20" spans="1:17" ht="18.75" customHeight="1">
      <c r="A20" s="87">
        <v>930898</v>
      </c>
      <c r="B20" s="88">
        <v>112713</v>
      </c>
      <c r="C20" s="87" t="s">
        <v>870</v>
      </c>
      <c r="D20" s="89">
        <v>45691.941666666666</v>
      </c>
      <c r="E20" s="90" t="s">
        <v>877</v>
      </c>
      <c r="F20" s="87" t="s">
        <v>208</v>
      </c>
      <c r="G20" s="90" t="s">
        <v>913</v>
      </c>
      <c r="H20" s="91">
        <v>61000</v>
      </c>
      <c r="I20" s="91">
        <v>432</v>
      </c>
      <c r="J20" s="92">
        <v>0.5</v>
      </c>
      <c r="K20" s="91" t="s">
        <v>874</v>
      </c>
      <c r="L20" s="93">
        <v>30500</v>
      </c>
      <c r="M20" s="94">
        <v>33550</v>
      </c>
      <c r="N20" s="56">
        <v>1000</v>
      </c>
      <c r="O20" s="49" t="s">
        <v>910</v>
      </c>
      <c r="P20" s="59" t="s">
        <v>764</v>
      </c>
      <c r="Q20" s="97">
        <f t="shared" si="0"/>
        <v>160.41666666666666</v>
      </c>
    </row>
    <row r="21" spans="1:17" ht="18.75" customHeight="1">
      <c r="A21" s="87">
        <v>927669</v>
      </c>
      <c r="B21" s="88">
        <v>112539</v>
      </c>
      <c r="C21" s="87" t="s">
        <v>870</v>
      </c>
      <c r="D21" s="89">
        <v>45687.904166666667</v>
      </c>
      <c r="E21" s="90" t="s">
        <v>877</v>
      </c>
      <c r="F21" s="87" t="s">
        <v>914</v>
      </c>
      <c r="G21" s="90" t="s">
        <v>915</v>
      </c>
      <c r="H21" s="91">
        <v>58100</v>
      </c>
      <c r="I21" s="91">
        <v>320</v>
      </c>
      <c r="J21" s="92">
        <v>1</v>
      </c>
      <c r="K21" s="91" t="s">
        <v>874</v>
      </c>
      <c r="L21" s="93">
        <v>58100</v>
      </c>
      <c r="M21" s="94">
        <v>63910</v>
      </c>
      <c r="N21" s="56">
        <v>0</v>
      </c>
      <c r="O21" s="49" t="s">
        <v>916</v>
      </c>
      <c r="P21" s="59" t="s">
        <v>764</v>
      </c>
      <c r="Q21" s="97">
        <f t="shared" si="0"/>
        <v>199.71875</v>
      </c>
    </row>
    <row r="22" spans="1:17" ht="18.75" customHeight="1">
      <c r="A22" s="87">
        <v>915363</v>
      </c>
      <c r="B22" s="88">
        <v>110898</v>
      </c>
      <c r="C22" s="87" t="s">
        <v>870</v>
      </c>
      <c r="D22" s="89">
        <v>45672.56527777778</v>
      </c>
      <c r="E22" s="90" t="s">
        <v>877</v>
      </c>
      <c r="F22" s="87" t="s">
        <v>917</v>
      </c>
      <c r="G22" s="90" t="s">
        <v>918</v>
      </c>
      <c r="H22" s="91">
        <v>38000</v>
      </c>
      <c r="I22" s="91">
        <v>408</v>
      </c>
      <c r="J22" s="92">
        <v>0.25</v>
      </c>
      <c r="K22" s="91" t="s">
        <v>874</v>
      </c>
      <c r="L22" s="93">
        <v>9500</v>
      </c>
      <c r="M22" s="94">
        <v>10450</v>
      </c>
      <c r="N22" s="56">
        <v>1000</v>
      </c>
      <c r="O22" s="49" t="s">
        <v>919</v>
      </c>
      <c r="P22" s="59" t="s">
        <v>764</v>
      </c>
      <c r="Q22" s="97">
        <f t="shared" si="0"/>
        <v>113.23529411764706</v>
      </c>
    </row>
    <row r="23" spans="1:17" ht="18.75" customHeight="1">
      <c r="A23" s="87">
        <v>913522</v>
      </c>
      <c r="B23" s="88">
        <v>110573</v>
      </c>
      <c r="C23" s="87" t="s">
        <v>870</v>
      </c>
      <c r="D23" s="89">
        <v>45668.915972222225</v>
      </c>
      <c r="E23" s="90" t="s">
        <v>920</v>
      </c>
      <c r="F23" s="87" t="s">
        <v>921</v>
      </c>
      <c r="G23" s="90" t="s">
        <v>922</v>
      </c>
      <c r="H23" s="91">
        <v>192</v>
      </c>
      <c r="I23" s="91">
        <v>300</v>
      </c>
      <c r="J23" s="92">
        <v>1</v>
      </c>
      <c r="K23" s="91" t="s">
        <v>874</v>
      </c>
      <c r="L23" s="93">
        <v>57600</v>
      </c>
      <c r="M23" s="94">
        <v>63360</v>
      </c>
      <c r="N23" s="56">
        <v>0</v>
      </c>
      <c r="O23" s="49" t="s">
        <v>923</v>
      </c>
      <c r="P23" s="59" t="s">
        <v>924</v>
      </c>
      <c r="Q23" s="97">
        <f t="shared" si="0"/>
        <v>211.2</v>
      </c>
    </row>
    <row r="24" spans="1:17" ht="18.75" customHeight="1">
      <c r="A24" s="87">
        <v>913457</v>
      </c>
      <c r="B24" s="88">
        <v>110497</v>
      </c>
      <c r="C24" s="87" t="s">
        <v>870</v>
      </c>
      <c r="D24" s="89">
        <v>45668.909722222219</v>
      </c>
      <c r="E24" s="90" t="s">
        <v>871</v>
      </c>
      <c r="F24" s="87" t="s">
        <v>921</v>
      </c>
      <c r="G24" s="90" t="s">
        <v>922</v>
      </c>
      <c r="H24" s="91">
        <v>192</v>
      </c>
      <c r="I24" s="91">
        <v>300</v>
      </c>
      <c r="J24" s="92">
        <v>1</v>
      </c>
      <c r="K24" s="91" t="s">
        <v>874</v>
      </c>
      <c r="L24" s="93">
        <v>57600</v>
      </c>
      <c r="M24" s="94">
        <v>63360</v>
      </c>
      <c r="N24" s="56">
        <v>0</v>
      </c>
      <c r="O24" s="49" t="s">
        <v>923</v>
      </c>
      <c r="P24" s="59" t="s">
        <v>924</v>
      </c>
      <c r="Q24" s="97">
        <f t="shared" si="0"/>
        <v>211.2</v>
      </c>
    </row>
    <row r="25" spans="1:17" ht="18.75" customHeight="1">
      <c r="A25" s="87">
        <v>913455</v>
      </c>
      <c r="B25" s="88">
        <v>110497</v>
      </c>
      <c r="C25" s="87" t="s">
        <v>870</v>
      </c>
      <c r="D25" s="89">
        <v>45668.909722222219</v>
      </c>
      <c r="E25" s="90" t="s">
        <v>871</v>
      </c>
      <c r="F25" s="87" t="s">
        <v>925</v>
      </c>
      <c r="G25" s="90" t="s">
        <v>926</v>
      </c>
      <c r="H25" s="91">
        <v>1000</v>
      </c>
      <c r="I25" s="91">
        <v>80</v>
      </c>
      <c r="J25" s="92">
        <v>1</v>
      </c>
      <c r="K25" s="91" t="s">
        <v>874</v>
      </c>
      <c r="L25" s="93">
        <v>80000</v>
      </c>
      <c r="M25" s="94">
        <v>88000</v>
      </c>
      <c r="N25" s="56">
        <v>4400</v>
      </c>
      <c r="O25" s="49" t="s">
        <v>927</v>
      </c>
      <c r="P25" s="59" t="s">
        <v>924</v>
      </c>
      <c r="Q25" s="97">
        <f t="shared" si="0"/>
        <v>1160.5</v>
      </c>
    </row>
    <row r="26" spans="1:17" ht="18.75" customHeight="1">
      <c r="A26" s="87">
        <v>838296</v>
      </c>
      <c r="B26" s="88">
        <v>102811</v>
      </c>
      <c r="C26" s="87" t="s">
        <v>870</v>
      </c>
      <c r="D26" s="89">
        <v>45590.88958333333</v>
      </c>
      <c r="E26" s="90" t="s">
        <v>877</v>
      </c>
      <c r="F26" s="87" t="s">
        <v>921</v>
      </c>
      <c r="G26" s="90" t="s">
        <v>922</v>
      </c>
      <c r="H26" s="91">
        <v>192</v>
      </c>
      <c r="I26" s="91">
        <v>300</v>
      </c>
      <c r="J26" s="92">
        <v>1</v>
      </c>
      <c r="K26" s="91" t="s">
        <v>874</v>
      </c>
      <c r="L26" s="93">
        <v>57600</v>
      </c>
      <c r="M26" s="94">
        <v>63360</v>
      </c>
      <c r="N26" s="56">
        <v>0</v>
      </c>
      <c r="O26" s="49" t="s">
        <v>923</v>
      </c>
      <c r="P26" s="59" t="s">
        <v>924</v>
      </c>
      <c r="Q26" s="97">
        <f t="shared" si="0"/>
        <v>211.2</v>
      </c>
    </row>
    <row r="27" spans="1:17" ht="18.75" customHeight="1">
      <c r="A27" s="87">
        <v>955141</v>
      </c>
      <c r="B27" s="88">
        <v>115556</v>
      </c>
      <c r="C27" s="87" t="s">
        <v>870</v>
      </c>
      <c r="D27" s="89">
        <v>45713.599999999999</v>
      </c>
      <c r="E27" s="90" t="s">
        <v>877</v>
      </c>
      <c r="F27" s="87" t="s">
        <v>788</v>
      </c>
      <c r="G27" s="90" t="s">
        <v>928</v>
      </c>
      <c r="H27" s="91">
        <v>330</v>
      </c>
      <c r="I27" s="91">
        <v>120</v>
      </c>
      <c r="J27" s="92">
        <v>1</v>
      </c>
      <c r="K27" s="91" t="s">
        <v>874</v>
      </c>
      <c r="L27" s="98">
        <v>39600</v>
      </c>
      <c r="M27" s="99">
        <v>43560</v>
      </c>
      <c r="N27" s="100">
        <v>0</v>
      </c>
      <c r="O27" s="49" t="s">
        <v>929</v>
      </c>
      <c r="P27" s="59" t="s">
        <v>478</v>
      </c>
      <c r="Q27" s="97">
        <f t="shared" si="0"/>
        <v>363</v>
      </c>
    </row>
    <row r="28" spans="1:17" ht="18.75" customHeight="1">
      <c r="A28" s="87">
        <v>955098</v>
      </c>
      <c r="B28" s="88">
        <v>115540</v>
      </c>
      <c r="C28" s="87" t="s">
        <v>870</v>
      </c>
      <c r="D28" s="89">
        <v>45713.59375</v>
      </c>
      <c r="E28" s="90" t="s">
        <v>886</v>
      </c>
      <c r="F28" s="87" t="s">
        <v>788</v>
      </c>
      <c r="G28" s="90" t="s">
        <v>928</v>
      </c>
      <c r="H28" s="91">
        <v>330</v>
      </c>
      <c r="I28" s="91">
        <v>120</v>
      </c>
      <c r="J28" s="92">
        <v>1</v>
      </c>
      <c r="K28" s="91" t="s">
        <v>874</v>
      </c>
      <c r="L28" s="93">
        <v>39600</v>
      </c>
      <c r="M28" s="94">
        <v>43560</v>
      </c>
      <c r="N28" s="56">
        <v>0</v>
      </c>
      <c r="O28" s="49" t="s">
        <v>929</v>
      </c>
      <c r="P28" s="59" t="s">
        <v>478</v>
      </c>
      <c r="Q28" s="97">
        <f t="shared" si="0"/>
        <v>363</v>
      </c>
    </row>
    <row r="29" spans="1:17" ht="18.75" customHeight="1">
      <c r="A29" s="87">
        <v>945160</v>
      </c>
      <c r="B29" s="88">
        <v>113737</v>
      </c>
      <c r="C29" s="87" t="s">
        <v>870</v>
      </c>
      <c r="D29" s="89">
        <v>45702.486111111109</v>
      </c>
      <c r="E29" s="90" t="s">
        <v>886</v>
      </c>
      <c r="F29" s="87" t="s">
        <v>788</v>
      </c>
      <c r="G29" s="90" t="s">
        <v>928</v>
      </c>
      <c r="H29" s="91">
        <v>330</v>
      </c>
      <c r="I29" s="91">
        <v>120</v>
      </c>
      <c r="J29" s="92">
        <v>0.5</v>
      </c>
      <c r="K29" s="91" t="s">
        <v>874</v>
      </c>
      <c r="L29" s="93">
        <v>19800</v>
      </c>
      <c r="M29" s="94">
        <v>21780</v>
      </c>
      <c r="N29" s="56">
        <v>1000</v>
      </c>
      <c r="O29" s="49" t="s">
        <v>930</v>
      </c>
      <c r="P29" s="59" t="s">
        <v>478</v>
      </c>
      <c r="Q29" s="97">
        <f t="shared" si="0"/>
        <v>381.33333333333331</v>
      </c>
    </row>
    <row r="30" spans="1:17" ht="18.75" customHeight="1">
      <c r="A30" s="87">
        <v>949862</v>
      </c>
      <c r="B30" s="88">
        <v>114778</v>
      </c>
      <c r="C30" s="87" t="s">
        <v>870</v>
      </c>
      <c r="D30" s="89">
        <v>45707.45208333333</v>
      </c>
      <c r="E30" s="90" t="s">
        <v>877</v>
      </c>
      <c r="F30" s="87" t="s">
        <v>931</v>
      </c>
      <c r="G30" s="90" t="s">
        <v>932</v>
      </c>
      <c r="H30" s="91">
        <v>8000</v>
      </c>
      <c r="I30" s="91">
        <v>240</v>
      </c>
      <c r="J30" s="92">
        <v>1</v>
      </c>
      <c r="K30" s="91" t="s">
        <v>874</v>
      </c>
      <c r="L30" s="93">
        <v>8000</v>
      </c>
      <c r="M30" s="94">
        <v>8800</v>
      </c>
      <c r="N30" s="56">
        <v>1000</v>
      </c>
      <c r="O30" s="49" t="s">
        <v>889</v>
      </c>
      <c r="P30" s="59" t="s">
        <v>933</v>
      </c>
      <c r="Q30" s="97">
        <f t="shared" si="0"/>
        <v>41.25</v>
      </c>
    </row>
    <row r="31" spans="1:17" ht="18.75" customHeight="1">
      <c r="A31" s="87">
        <v>952116</v>
      </c>
      <c r="B31" s="88">
        <v>115071</v>
      </c>
      <c r="C31" s="87" t="s">
        <v>870</v>
      </c>
      <c r="D31" s="89">
        <v>45709.84652777778</v>
      </c>
      <c r="E31" s="90" t="s">
        <v>871</v>
      </c>
      <c r="F31" s="87" t="s">
        <v>934</v>
      </c>
      <c r="G31" s="90" t="s">
        <v>935</v>
      </c>
      <c r="H31" s="91">
        <v>56500</v>
      </c>
      <c r="I31" s="91">
        <v>240</v>
      </c>
      <c r="J31" s="92">
        <v>1</v>
      </c>
      <c r="K31" s="91" t="s">
        <v>874</v>
      </c>
      <c r="L31" s="93">
        <v>56500</v>
      </c>
      <c r="M31" s="94">
        <v>62150</v>
      </c>
      <c r="N31" s="56">
        <v>0</v>
      </c>
      <c r="O31" s="49" t="s">
        <v>883</v>
      </c>
      <c r="P31" s="59" t="s">
        <v>936</v>
      </c>
      <c r="Q31" s="97">
        <f t="shared" si="0"/>
        <v>258.95833333333331</v>
      </c>
    </row>
    <row r="32" spans="1:17" ht="18.75" customHeight="1">
      <c r="A32" s="87">
        <v>941748</v>
      </c>
      <c r="B32" s="88">
        <v>113134</v>
      </c>
      <c r="C32" s="87" t="s">
        <v>870</v>
      </c>
      <c r="D32" s="89">
        <v>45697.793055555558</v>
      </c>
      <c r="E32" s="90" t="s">
        <v>877</v>
      </c>
      <c r="F32" s="87" t="s">
        <v>934</v>
      </c>
      <c r="G32" s="90" t="s">
        <v>935</v>
      </c>
      <c r="H32" s="91">
        <v>56500</v>
      </c>
      <c r="I32" s="91">
        <v>240</v>
      </c>
      <c r="J32" s="92">
        <v>1</v>
      </c>
      <c r="K32" s="91" t="s">
        <v>874</v>
      </c>
      <c r="L32" s="93">
        <v>56500</v>
      </c>
      <c r="M32" s="94">
        <v>62150</v>
      </c>
      <c r="N32" s="56">
        <v>0</v>
      </c>
      <c r="O32" s="49" t="s">
        <v>937</v>
      </c>
      <c r="P32" s="59" t="s">
        <v>936</v>
      </c>
      <c r="Q32" s="97">
        <f t="shared" si="0"/>
        <v>258.95833333333331</v>
      </c>
    </row>
    <row r="33" spans="1:17" ht="18.75" customHeight="1">
      <c r="A33" s="87">
        <v>933277</v>
      </c>
      <c r="B33" s="88">
        <v>113125</v>
      </c>
      <c r="C33" s="87" t="s">
        <v>870</v>
      </c>
      <c r="D33" s="89">
        <v>45692.780555555553</v>
      </c>
      <c r="E33" s="90" t="s">
        <v>877</v>
      </c>
      <c r="F33" s="87" t="s">
        <v>938</v>
      </c>
      <c r="G33" s="90" t="s">
        <v>939</v>
      </c>
      <c r="H33" s="91">
        <v>47000</v>
      </c>
      <c r="I33" s="91">
        <v>960</v>
      </c>
      <c r="J33" s="92">
        <v>0.5</v>
      </c>
      <c r="K33" s="91" t="s">
        <v>874</v>
      </c>
      <c r="L33" s="93">
        <v>23500</v>
      </c>
      <c r="M33" s="94">
        <v>25850</v>
      </c>
      <c r="N33" s="56">
        <v>1000</v>
      </c>
      <c r="O33" s="49" t="s">
        <v>919</v>
      </c>
      <c r="P33" s="59" t="s">
        <v>936</v>
      </c>
      <c r="Q33" s="97">
        <f t="shared" si="0"/>
        <v>56.145833333333336</v>
      </c>
    </row>
    <row r="34" spans="1:17" ht="18.75" customHeight="1">
      <c r="A34" s="87">
        <v>931803</v>
      </c>
      <c r="B34" s="88">
        <v>113045</v>
      </c>
      <c r="C34" s="87" t="s">
        <v>870</v>
      </c>
      <c r="D34" s="89">
        <v>45692.513194444444</v>
      </c>
      <c r="E34" s="90" t="s">
        <v>886</v>
      </c>
      <c r="F34" s="87" t="s">
        <v>940</v>
      </c>
      <c r="G34" s="90" t="s">
        <v>941</v>
      </c>
      <c r="H34" s="91">
        <v>728</v>
      </c>
      <c r="I34" s="91">
        <v>72</v>
      </c>
      <c r="J34" s="92">
        <v>2</v>
      </c>
      <c r="K34" s="91" t="s">
        <v>874</v>
      </c>
      <c r="L34" s="93">
        <v>104832</v>
      </c>
      <c r="M34" s="94">
        <v>115315</v>
      </c>
      <c r="N34" s="56">
        <v>0</v>
      </c>
      <c r="O34" s="49" t="s">
        <v>71</v>
      </c>
      <c r="P34" s="59" t="s">
        <v>936</v>
      </c>
      <c r="Q34" s="97">
        <f t="shared" si="0"/>
        <v>800.79861111111109</v>
      </c>
    </row>
    <row r="35" spans="1:17" ht="18.75" customHeight="1">
      <c r="A35" s="87">
        <v>956881</v>
      </c>
      <c r="B35" s="88">
        <v>115829</v>
      </c>
      <c r="C35" s="87" t="s">
        <v>870</v>
      </c>
      <c r="D35" s="89">
        <v>45715.343055555553</v>
      </c>
      <c r="E35" s="90" t="s">
        <v>871</v>
      </c>
      <c r="F35" s="87" t="s">
        <v>942</v>
      </c>
      <c r="G35" s="90" t="s">
        <v>943</v>
      </c>
      <c r="H35" s="91">
        <v>290</v>
      </c>
      <c r="I35" s="91">
        <v>200</v>
      </c>
      <c r="J35" s="92">
        <v>0.5</v>
      </c>
      <c r="K35" s="91" t="s">
        <v>874</v>
      </c>
      <c r="L35" s="98">
        <v>29000</v>
      </c>
      <c r="M35" s="99">
        <v>31320</v>
      </c>
      <c r="N35" s="100">
        <v>0</v>
      </c>
      <c r="O35" s="49" t="s">
        <v>944</v>
      </c>
      <c r="P35" s="59" t="s">
        <v>603</v>
      </c>
      <c r="Q35" s="97">
        <f t="shared" si="0"/>
        <v>313.2</v>
      </c>
    </row>
    <row r="36" spans="1:17" ht="18.75" customHeight="1">
      <c r="A36" s="101">
        <v>956879</v>
      </c>
      <c r="B36" s="102">
        <v>115828</v>
      </c>
      <c r="C36" s="101" t="s">
        <v>945</v>
      </c>
      <c r="D36" s="103">
        <v>45715.342361111114</v>
      </c>
      <c r="E36" s="104" t="s">
        <v>946</v>
      </c>
      <c r="F36" s="101" t="s">
        <v>942</v>
      </c>
      <c r="G36" s="104" t="s">
        <v>947</v>
      </c>
      <c r="H36" s="105">
        <v>290</v>
      </c>
      <c r="I36" s="105">
        <v>200</v>
      </c>
      <c r="J36" s="106">
        <v>0.5</v>
      </c>
      <c r="K36" s="105" t="s">
        <v>948</v>
      </c>
      <c r="L36" s="107">
        <v>29000</v>
      </c>
      <c r="M36" s="108">
        <v>31320</v>
      </c>
      <c r="N36" s="109">
        <v>0</v>
      </c>
      <c r="O36" s="49" t="s">
        <v>944</v>
      </c>
      <c r="P36" s="59" t="s">
        <v>603</v>
      </c>
      <c r="Q36" s="97">
        <f t="shared" si="0"/>
        <v>313.2</v>
      </c>
    </row>
    <row r="37" spans="1:17" ht="18.75" customHeight="1">
      <c r="A37" s="87">
        <v>946413</v>
      </c>
      <c r="B37" s="88">
        <v>114342</v>
      </c>
      <c r="C37" s="87" t="s">
        <v>870</v>
      </c>
      <c r="D37" s="89">
        <v>45703.800694444442</v>
      </c>
      <c r="E37" s="90" t="s">
        <v>949</v>
      </c>
      <c r="F37" s="87" t="s">
        <v>600</v>
      </c>
      <c r="G37" s="90" t="s">
        <v>601</v>
      </c>
      <c r="H37" s="91">
        <v>690</v>
      </c>
      <c r="I37" s="91">
        <v>72</v>
      </c>
      <c r="J37" s="92">
        <v>0.5</v>
      </c>
      <c r="K37" s="91" t="s">
        <v>874</v>
      </c>
      <c r="L37" s="93">
        <v>24840</v>
      </c>
      <c r="M37" s="94">
        <v>27324</v>
      </c>
      <c r="N37" s="56">
        <v>1000</v>
      </c>
      <c r="O37" s="49" t="s">
        <v>950</v>
      </c>
      <c r="P37" s="59" t="s">
        <v>603</v>
      </c>
      <c r="Q37" s="97">
        <f t="shared" si="0"/>
        <v>789.55555555555554</v>
      </c>
    </row>
    <row r="38" spans="1:17" ht="18.75" customHeight="1">
      <c r="A38" s="87">
        <v>945798</v>
      </c>
      <c r="B38" s="88">
        <v>114232</v>
      </c>
      <c r="C38" s="87" t="s">
        <v>870</v>
      </c>
      <c r="D38" s="89">
        <v>45702.704861111109</v>
      </c>
      <c r="E38" s="90" t="s">
        <v>877</v>
      </c>
      <c r="F38" s="87" t="s">
        <v>600</v>
      </c>
      <c r="G38" s="90" t="s">
        <v>951</v>
      </c>
      <c r="H38" s="91">
        <v>690</v>
      </c>
      <c r="I38" s="91">
        <v>72</v>
      </c>
      <c r="J38" s="92">
        <v>1</v>
      </c>
      <c r="K38" s="91" t="s">
        <v>874</v>
      </c>
      <c r="L38" s="93">
        <v>49680</v>
      </c>
      <c r="M38" s="94">
        <v>54648</v>
      </c>
      <c r="N38" s="56">
        <v>0</v>
      </c>
      <c r="O38" s="49" t="s">
        <v>950</v>
      </c>
      <c r="P38" s="59" t="s">
        <v>603</v>
      </c>
      <c r="Q38" s="97">
        <f t="shared" si="0"/>
        <v>759</v>
      </c>
    </row>
    <row r="39" spans="1:17" ht="18.75" customHeight="1">
      <c r="A39" s="87">
        <v>945485</v>
      </c>
      <c r="B39" s="88">
        <v>114212</v>
      </c>
      <c r="C39" s="87" t="s">
        <v>870</v>
      </c>
      <c r="D39" s="89">
        <v>45702.616666666669</v>
      </c>
      <c r="E39" s="90" t="s">
        <v>877</v>
      </c>
      <c r="F39" s="87" t="s">
        <v>600</v>
      </c>
      <c r="G39" s="90" t="s">
        <v>951</v>
      </c>
      <c r="H39" s="91">
        <v>690</v>
      </c>
      <c r="I39" s="91">
        <v>72</v>
      </c>
      <c r="J39" s="92">
        <v>1</v>
      </c>
      <c r="K39" s="91" t="s">
        <v>874</v>
      </c>
      <c r="L39" s="93">
        <v>49680</v>
      </c>
      <c r="M39" s="94">
        <v>54648</v>
      </c>
      <c r="N39" s="56">
        <v>0</v>
      </c>
      <c r="O39" s="49" t="s">
        <v>950</v>
      </c>
      <c r="P39" s="59" t="s">
        <v>603</v>
      </c>
      <c r="Q39" s="97">
        <f t="shared" si="0"/>
        <v>759</v>
      </c>
    </row>
    <row r="40" spans="1:17" ht="18.75" customHeight="1">
      <c r="A40" s="87">
        <v>945479</v>
      </c>
      <c r="B40" s="88">
        <v>114183</v>
      </c>
      <c r="C40" s="87" t="s">
        <v>870</v>
      </c>
      <c r="D40" s="89">
        <v>45702.615972222222</v>
      </c>
      <c r="E40" s="90" t="s">
        <v>871</v>
      </c>
      <c r="F40" s="87" t="s">
        <v>600</v>
      </c>
      <c r="G40" s="90" t="s">
        <v>951</v>
      </c>
      <c r="H40" s="91">
        <v>690</v>
      </c>
      <c r="I40" s="91">
        <v>72</v>
      </c>
      <c r="J40" s="92">
        <v>1</v>
      </c>
      <c r="K40" s="91" t="s">
        <v>874</v>
      </c>
      <c r="L40" s="93">
        <v>49680</v>
      </c>
      <c r="M40" s="94">
        <v>54648</v>
      </c>
      <c r="N40" s="56">
        <v>0</v>
      </c>
      <c r="O40" s="49" t="s">
        <v>950</v>
      </c>
      <c r="P40" s="59" t="s">
        <v>603</v>
      </c>
      <c r="Q40" s="97">
        <f t="shared" si="0"/>
        <v>759</v>
      </c>
    </row>
    <row r="41" spans="1:17" ht="18.75" customHeight="1">
      <c r="A41" s="87">
        <v>941754</v>
      </c>
      <c r="B41" s="88">
        <v>113134</v>
      </c>
      <c r="C41" s="87" t="s">
        <v>870</v>
      </c>
      <c r="D41" s="89">
        <v>45697.793055555558</v>
      </c>
      <c r="E41" s="90" t="s">
        <v>877</v>
      </c>
      <c r="F41" s="87" t="s">
        <v>952</v>
      </c>
      <c r="G41" s="90" t="s">
        <v>953</v>
      </c>
      <c r="H41" s="91">
        <v>590</v>
      </c>
      <c r="I41" s="91">
        <v>96</v>
      </c>
      <c r="J41" s="92">
        <v>1</v>
      </c>
      <c r="K41" s="91" t="s">
        <v>874</v>
      </c>
      <c r="L41" s="93">
        <v>56640</v>
      </c>
      <c r="M41" s="94">
        <v>62304</v>
      </c>
      <c r="N41" s="56">
        <v>0</v>
      </c>
      <c r="O41" s="49" t="s">
        <v>937</v>
      </c>
      <c r="P41" s="59" t="s">
        <v>603</v>
      </c>
      <c r="Q41" s="97">
        <f t="shared" si="0"/>
        <v>649</v>
      </c>
    </row>
    <row r="42" spans="1:17" ht="18.75" customHeight="1">
      <c r="A42" s="87">
        <v>931596</v>
      </c>
      <c r="B42" s="88">
        <v>113013</v>
      </c>
      <c r="C42" s="87" t="s">
        <v>870</v>
      </c>
      <c r="D42" s="89">
        <v>45691.95416666667</v>
      </c>
      <c r="E42" s="90" t="s">
        <v>886</v>
      </c>
      <c r="F42" s="87" t="s">
        <v>600</v>
      </c>
      <c r="G42" s="90" t="s">
        <v>951</v>
      </c>
      <c r="H42" s="91">
        <v>690</v>
      </c>
      <c r="I42" s="91">
        <v>72</v>
      </c>
      <c r="J42" s="92">
        <v>0.5</v>
      </c>
      <c r="K42" s="91" t="s">
        <v>874</v>
      </c>
      <c r="L42" s="93">
        <v>24840</v>
      </c>
      <c r="M42" s="94">
        <v>27324</v>
      </c>
      <c r="N42" s="56">
        <v>1000</v>
      </c>
      <c r="O42" s="49" t="s">
        <v>954</v>
      </c>
      <c r="P42" s="59" t="s">
        <v>603</v>
      </c>
      <c r="Q42" s="97">
        <f t="shared" si="0"/>
        <v>789.55555555555554</v>
      </c>
    </row>
    <row r="43" spans="1:17" ht="18.75" customHeight="1">
      <c r="A43" s="87">
        <v>948144</v>
      </c>
      <c r="B43" s="88">
        <v>114604</v>
      </c>
      <c r="C43" s="87" t="s">
        <v>870</v>
      </c>
      <c r="D43" s="89">
        <v>45706.29791666667</v>
      </c>
      <c r="E43" s="90" t="s">
        <v>949</v>
      </c>
      <c r="F43" s="87" t="s">
        <v>955</v>
      </c>
      <c r="G43" s="90" t="s">
        <v>956</v>
      </c>
      <c r="H43" s="91">
        <v>540</v>
      </c>
      <c r="I43" s="91">
        <v>100</v>
      </c>
      <c r="J43" s="92">
        <v>1</v>
      </c>
      <c r="K43" s="91" t="s">
        <v>874</v>
      </c>
      <c r="L43" s="93">
        <v>54000</v>
      </c>
      <c r="M43" s="94">
        <v>59400</v>
      </c>
      <c r="N43" s="56">
        <v>0</v>
      </c>
      <c r="O43" s="49" t="s">
        <v>898</v>
      </c>
      <c r="P43" s="59" t="s">
        <v>957</v>
      </c>
      <c r="Q43" s="97">
        <f t="shared" si="0"/>
        <v>594</v>
      </c>
    </row>
    <row r="44" spans="1:17" ht="18.75" customHeight="1">
      <c r="A44" s="87">
        <v>948143</v>
      </c>
      <c r="B44" s="88">
        <v>114603</v>
      </c>
      <c r="C44" s="87" t="s">
        <v>870</v>
      </c>
      <c r="D44" s="89">
        <v>45706.29791666667</v>
      </c>
      <c r="E44" s="90" t="s">
        <v>877</v>
      </c>
      <c r="F44" s="87" t="s">
        <v>955</v>
      </c>
      <c r="G44" s="90" t="s">
        <v>956</v>
      </c>
      <c r="H44" s="91">
        <v>540</v>
      </c>
      <c r="I44" s="91">
        <v>100</v>
      </c>
      <c r="J44" s="92">
        <v>2</v>
      </c>
      <c r="K44" s="91" t="s">
        <v>874</v>
      </c>
      <c r="L44" s="93">
        <v>108000</v>
      </c>
      <c r="M44" s="94">
        <v>118800</v>
      </c>
      <c r="N44" s="56">
        <v>0</v>
      </c>
      <c r="O44" s="49" t="s">
        <v>898</v>
      </c>
      <c r="P44" s="59" t="s">
        <v>957</v>
      </c>
      <c r="Q44" s="97">
        <f t="shared" si="0"/>
        <v>594</v>
      </c>
    </row>
    <row r="45" spans="1:17" ht="18.75" customHeight="1">
      <c r="A45" s="87">
        <v>948108</v>
      </c>
      <c r="B45" s="88">
        <v>114598</v>
      </c>
      <c r="C45" s="87" t="s">
        <v>870</v>
      </c>
      <c r="D45" s="89">
        <v>45706.296527777777</v>
      </c>
      <c r="E45" s="90" t="s">
        <v>886</v>
      </c>
      <c r="F45" s="87" t="s">
        <v>955</v>
      </c>
      <c r="G45" s="90" t="s">
        <v>956</v>
      </c>
      <c r="H45" s="91">
        <v>540</v>
      </c>
      <c r="I45" s="91">
        <v>100</v>
      </c>
      <c r="J45" s="92">
        <v>1</v>
      </c>
      <c r="K45" s="91" t="s">
        <v>874</v>
      </c>
      <c r="L45" s="93">
        <v>54000</v>
      </c>
      <c r="M45" s="94">
        <v>59400</v>
      </c>
      <c r="N45" s="56">
        <v>0</v>
      </c>
      <c r="O45" s="49" t="s">
        <v>898</v>
      </c>
      <c r="P45" s="59" t="s">
        <v>957</v>
      </c>
      <c r="Q45" s="97">
        <f t="shared" si="0"/>
        <v>594</v>
      </c>
    </row>
    <row r="46" spans="1:17" ht="18.75" customHeight="1">
      <c r="A46" s="87">
        <v>948100</v>
      </c>
      <c r="B46" s="88">
        <v>114597</v>
      </c>
      <c r="C46" s="87" t="s">
        <v>870</v>
      </c>
      <c r="D46" s="89">
        <v>45705.966666666667</v>
      </c>
      <c r="E46" s="90" t="s">
        <v>871</v>
      </c>
      <c r="F46" s="87" t="s">
        <v>955</v>
      </c>
      <c r="G46" s="90" t="s">
        <v>956</v>
      </c>
      <c r="H46" s="91">
        <v>540</v>
      </c>
      <c r="I46" s="91">
        <v>100</v>
      </c>
      <c r="J46" s="92">
        <v>1</v>
      </c>
      <c r="K46" s="91" t="s">
        <v>874</v>
      </c>
      <c r="L46" s="93">
        <v>54000</v>
      </c>
      <c r="M46" s="94">
        <v>59400</v>
      </c>
      <c r="N46" s="56">
        <v>0</v>
      </c>
      <c r="O46" s="49" t="s">
        <v>898</v>
      </c>
      <c r="P46" s="59" t="s">
        <v>957</v>
      </c>
      <c r="Q46" s="97">
        <f t="shared" si="0"/>
        <v>594</v>
      </c>
    </row>
    <row r="47" spans="1:17" ht="18.75" customHeight="1">
      <c r="A47" s="87">
        <v>955119</v>
      </c>
      <c r="B47" s="88">
        <v>115540</v>
      </c>
      <c r="C47" s="87" t="s">
        <v>870</v>
      </c>
      <c r="D47" s="89">
        <v>45713.59375</v>
      </c>
      <c r="E47" s="90" t="s">
        <v>886</v>
      </c>
      <c r="F47" s="87" t="s">
        <v>779</v>
      </c>
      <c r="G47" s="90" t="s">
        <v>958</v>
      </c>
      <c r="H47" s="91">
        <v>365</v>
      </c>
      <c r="I47" s="91">
        <v>168</v>
      </c>
      <c r="J47" s="92">
        <v>0.5</v>
      </c>
      <c r="K47" s="91" t="s">
        <v>874</v>
      </c>
      <c r="L47" s="93">
        <v>30660</v>
      </c>
      <c r="M47" s="94">
        <v>33726</v>
      </c>
      <c r="N47" s="56">
        <v>1000</v>
      </c>
      <c r="O47" s="49" t="s">
        <v>929</v>
      </c>
      <c r="P47" s="59" t="s">
        <v>782</v>
      </c>
      <c r="Q47" s="97">
        <f t="shared" si="0"/>
        <v>414.59523809523807</v>
      </c>
    </row>
    <row r="48" spans="1:17" ht="18.75" customHeight="1">
      <c r="A48" s="87">
        <v>893185</v>
      </c>
      <c r="B48" s="88">
        <v>108333</v>
      </c>
      <c r="C48" s="87" t="s">
        <v>870</v>
      </c>
      <c r="D48" s="89">
        <v>45644.47152777778</v>
      </c>
      <c r="E48" s="90" t="s">
        <v>920</v>
      </c>
      <c r="F48" s="87" t="s">
        <v>959</v>
      </c>
      <c r="G48" s="90" t="s">
        <v>960</v>
      </c>
      <c r="H48" s="91">
        <v>65</v>
      </c>
      <c r="I48" s="91">
        <v>600</v>
      </c>
      <c r="J48" s="92">
        <v>0.5</v>
      </c>
      <c r="K48" s="91" t="s">
        <v>874</v>
      </c>
      <c r="L48" s="93">
        <v>19500</v>
      </c>
      <c r="M48" s="94">
        <v>21060</v>
      </c>
      <c r="N48" s="56">
        <v>1000</v>
      </c>
      <c r="O48" s="49" t="s">
        <v>961</v>
      </c>
      <c r="P48" s="59" t="s">
        <v>962</v>
      </c>
      <c r="Q48" s="97">
        <f t="shared" si="0"/>
        <v>73.86666666666666</v>
      </c>
    </row>
    <row r="49" spans="1:17" ht="18.75" customHeight="1">
      <c r="A49" s="87">
        <v>848585</v>
      </c>
      <c r="B49" s="88">
        <v>103883</v>
      </c>
      <c r="C49" s="87" t="s">
        <v>870</v>
      </c>
      <c r="D49" s="89">
        <v>45600.906944444447</v>
      </c>
      <c r="E49" s="90" t="s">
        <v>920</v>
      </c>
      <c r="F49" s="87" t="s">
        <v>963</v>
      </c>
      <c r="G49" s="90" t="s">
        <v>964</v>
      </c>
      <c r="H49" s="91">
        <v>180</v>
      </c>
      <c r="I49" s="91">
        <v>40</v>
      </c>
      <c r="J49" s="92">
        <v>2</v>
      </c>
      <c r="K49" s="91" t="s">
        <v>965</v>
      </c>
      <c r="L49" s="93">
        <v>14400</v>
      </c>
      <c r="M49" s="94">
        <v>15840</v>
      </c>
      <c r="N49" s="56">
        <v>500</v>
      </c>
      <c r="O49" s="49" t="s">
        <v>966</v>
      </c>
      <c r="P49" s="59" t="s">
        <v>967</v>
      </c>
      <c r="Q49" s="97">
        <f t="shared" si="0"/>
        <v>204.875</v>
      </c>
    </row>
    <row r="50" spans="1:17" ht="18.75" customHeight="1">
      <c r="A50" s="87">
        <v>918487</v>
      </c>
      <c r="B50" s="88">
        <v>111311</v>
      </c>
      <c r="C50" s="87" t="s">
        <v>870</v>
      </c>
      <c r="D50" s="89">
        <v>45677.018055555556</v>
      </c>
      <c r="E50" s="90" t="s">
        <v>920</v>
      </c>
      <c r="F50" s="87" t="s">
        <v>968</v>
      </c>
      <c r="G50" s="90" t="s">
        <v>969</v>
      </c>
      <c r="H50" s="91">
        <v>330</v>
      </c>
      <c r="I50" s="91">
        <v>144</v>
      </c>
      <c r="J50" s="92">
        <v>0.5</v>
      </c>
      <c r="K50" s="91" t="s">
        <v>874</v>
      </c>
      <c r="L50" s="93">
        <v>23760</v>
      </c>
      <c r="M50" s="94">
        <v>26136</v>
      </c>
      <c r="N50" s="56">
        <v>0</v>
      </c>
      <c r="O50" s="50" t="s">
        <v>970</v>
      </c>
      <c r="P50" s="59" t="s">
        <v>971</v>
      </c>
      <c r="Q50" s="97">
        <f t="shared" si="0"/>
        <v>363</v>
      </c>
    </row>
    <row r="51" spans="1:17" ht="18.75" customHeight="1">
      <c r="A51" s="87">
        <v>918488</v>
      </c>
      <c r="B51" s="88">
        <v>111311</v>
      </c>
      <c r="C51" s="87" t="s">
        <v>870</v>
      </c>
      <c r="D51" s="89">
        <v>45677.018055555556</v>
      </c>
      <c r="E51" s="90" t="s">
        <v>920</v>
      </c>
      <c r="F51" s="87" t="s">
        <v>972</v>
      </c>
      <c r="G51" s="90" t="s">
        <v>973</v>
      </c>
      <c r="H51" s="91">
        <v>330</v>
      </c>
      <c r="I51" s="91">
        <v>144</v>
      </c>
      <c r="J51" s="92">
        <v>0.5</v>
      </c>
      <c r="K51" s="91" t="s">
        <v>874</v>
      </c>
      <c r="L51" s="93">
        <v>23760</v>
      </c>
      <c r="M51" s="94">
        <v>26136</v>
      </c>
      <c r="N51" s="56">
        <v>0</v>
      </c>
      <c r="O51" s="50" t="s">
        <v>974</v>
      </c>
      <c r="P51" s="59" t="s">
        <v>971</v>
      </c>
      <c r="Q51" s="97">
        <f t="shared" si="0"/>
        <v>363</v>
      </c>
    </row>
    <row r="52" spans="1:17" ht="18.75" customHeight="1">
      <c r="A52" s="87">
        <v>927674</v>
      </c>
      <c r="B52" s="88">
        <v>112543</v>
      </c>
      <c r="C52" s="87" t="s">
        <v>870</v>
      </c>
      <c r="D52" s="89">
        <v>45687.913888888892</v>
      </c>
      <c r="E52" s="90" t="s">
        <v>871</v>
      </c>
      <c r="F52" s="87" t="s">
        <v>975</v>
      </c>
      <c r="G52" s="90" t="s">
        <v>976</v>
      </c>
      <c r="H52" s="91">
        <v>570</v>
      </c>
      <c r="I52" s="91">
        <v>96</v>
      </c>
      <c r="J52" s="92">
        <v>1</v>
      </c>
      <c r="K52" s="91" t="s">
        <v>874</v>
      </c>
      <c r="L52" s="93">
        <v>54720</v>
      </c>
      <c r="M52" s="94">
        <v>60192</v>
      </c>
      <c r="N52" s="56">
        <v>0</v>
      </c>
      <c r="O52" s="50" t="s">
        <v>977</v>
      </c>
      <c r="P52" s="59" t="s">
        <v>978</v>
      </c>
      <c r="Q52" s="97">
        <f t="shared" si="0"/>
        <v>627</v>
      </c>
    </row>
    <row r="53" spans="1:17" ht="18.75" customHeight="1">
      <c r="A53" s="87">
        <v>927673</v>
      </c>
      <c r="B53" s="88">
        <v>112542</v>
      </c>
      <c r="C53" s="87" t="s">
        <v>870</v>
      </c>
      <c r="D53" s="89">
        <v>45687.912499999999</v>
      </c>
      <c r="E53" s="90" t="s">
        <v>877</v>
      </c>
      <c r="F53" s="87" t="s">
        <v>975</v>
      </c>
      <c r="G53" s="90" t="s">
        <v>976</v>
      </c>
      <c r="H53" s="91">
        <v>570</v>
      </c>
      <c r="I53" s="91">
        <v>96</v>
      </c>
      <c r="J53" s="92">
        <v>2</v>
      </c>
      <c r="K53" s="91" t="s">
        <v>874</v>
      </c>
      <c r="L53" s="93">
        <v>109440</v>
      </c>
      <c r="M53" s="94">
        <v>120384</v>
      </c>
      <c r="N53" s="56">
        <v>0</v>
      </c>
      <c r="O53" s="49" t="s">
        <v>961</v>
      </c>
      <c r="P53" s="59" t="s">
        <v>978</v>
      </c>
      <c r="Q53" s="97">
        <f t="shared" si="0"/>
        <v>627</v>
      </c>
    </row>
    <row r="54" spans="1:17" ht="18.75" customHeight="1">
      <c r="A54" s="87">
        <v>942605</v>
      </c>
      <c r="B54" s="88">
        <v>113737</v>
      </c>
      <c r="C54" s="87" t="s">
        <v>870</v>
      </c>
      <c r="D54" s="89">
        <v>45702.486111111109</v>
      </c>
      <c r="E54" s="90" t="s">
        <v>886</v>
      </c>
      <c r="F54" s="87" t="s">
        <v>979</v>
      </c>
      <c r="G54" s="90" t="s">
        <v>980</v>
      </c>
      <c r="H54" s="91">
        <v>850</v>
      </c>
      <c r="I54" s="91">
        <v>72</v>
      </c>
      <c r="J54" s="92">
        <v>0.5</v>
      </c>
      <c r="K54" s="91" t="s">
        <v>874</v>
      </c>
      <c r="L54" s="93">
        <v>30600</v>
      </c>
      <c r="M54" s="94">
        <v>33660</v>
      </c>
      <c r="N54" s="56">
        <v>1000</v>
      </c>
      <c r="O54" s="49" t="s">
        <v>903</v>
      </c>
      <c r="P54" s="59" t="s">
        <v>981</v>
      </c>
      <c r="Q54" s="97">
        <f t="shared" si="0"/>
        <v>965.55555555555554</v>
      </c>
    </row>
    <row r="55" spans="1:17" ht="18.75" customHeight="1">
      <c r="A55" s="87">
        <v>925105</v>
      </c>
      <c r="B55" s="88">
        <v>112279</v>
      </c>
      <c r="C55" s="87" t="s">
        <v>870</v>
      </c>
      <c r="D55" s="89">
        <v>45686.897916666669</v>
      </c>
      <c r="E55" s="90" t="s">
        <v>920</v>
      </c>
      <c r="F55" s="87" t="s">
        <v>982</v>
      </c>
      <c r="G55" s="90" t="s">
        <v>983</v>
      </c>
      <c r="H55" s="91">
        <v>1000</v>
      </c>
      <c r="I55" s="91">
        <v>48</v>
      </c>
      <c r="J55" s="92">
        <v>1</v>
      </c>
      <c r="K55" s="91" t="s">
        <v>874</v>
      </c>
      <c r="L55" s="93">
        <v>48000</v>
      </c>
      <c r="M55" s="94">
        <v>52800</v>
      </c>
      <c r="N55" s="56">
        <v>0</v>
      </c>
      <c r="O55" s="49" t="s">
        <v>919</v>
      </c>
      <c r="P55" s="59" t="s">
        <v>984</v>
      </c>
      <c r="Q55" s="97">
        <f t="shared" si="0"/>
        <v>1100</v>
      </c>
    </row>
    <row r="56" spans="1:17" ht="18.75" customHeight="1">
      <c r="A56" s="87">
        <v>931599</v>
      </c>
      <c r="B56" s="88">
        <v>113014</v>
      </c>
      <c r="C56" s="87" t="s">
        <v>870</v>
      </c>
      <c r="D56" s="89">
        <v>45691.954861111109</v>
      </c>
      <c r="E56" s="90" t="s">
        <v>871</v>
      </c>
      <c r="F56" s="87" t="s">
        <v>448</v>
      </c>
      <c r="G56" s="90" t="s">
        <v>985</v>
      </c>
      <c r="H56" s="91">
        <v>180</v>
      </c>
      <c r="I56" s="91">
        <v>240</v>
      </c>
      <c r="J56" s="92">
        <v>1</v>
      </c>
      <c r="K56" s="91" t="s">
        <v>874</v>
      </c>
      <c r="L56" s="93">
        <v>43200</v>
      </c>
      <c r="M56" s="94">
        <v>47520</v>
      </c>
      <c r="N56" s="56">
        <v>0</v>
      </c>
      <c r="O56" s="49" t="s">
        <v>986</v>
      </c>
      <c r="P56" s="59" t="s">
        <v>326</v>
      </c>
      <c r="Q56" s="97">
        <f t="shared" si="0"/>
        <v>198</v>
      </c>
    </row>
    <row r="57" spans="1:17" ht="18.75" customHeight="1">
      <c r="A57" s="101">
        <v>955144</v>
      </c>
      <c r="B57" s="102">
        <v>115558</v>
      </c>
      <c r="C57" s="101" t="s">
        <v>945</v>
      </c>
      <c r="D57" s="103">
        <v>45713.601388888892</v>
      </c>
      <c r="E57" s="104" t="s">
        <v>987</v>
      </c>
      <c r="F57" s="101" t="s">
        <v>792</v>
      </c>
      <c r="G57" s="104" t="s">
        <v>988</v>
      </c>
      <c r="H57" s="105">
        <v>690</v>
      </c>
      <c r="I57" s="105">
        <v>72</v>
      </c>
      <c r="J57" s="106">
        <v>1</v>
      </c>
      <c r="K57" s="105" t="s">
        <v>948</v>
      </c>
      <c r="L57" s="107">
        <v>49680</v>
      </c>
      <c r="M57" s="108">
        <v>54648</v>
      </c>
      <c r="N57" s="109">
        <v>0</v>
      </c>
      <c r="O57" s="49" t="s">
        <v>989</v>
      </c>
      <c r="P57" s="59" t="s">
        <v>737</v>
      </c>
      <c r="Q57" s="97">
        <f t="shared" si="0"/>
        <v>759</v>
      </c>
    </row>
    <row r="58" spans="1:17" ht="18.75" customHeight="1">
      <c r="A58" s="87">
        <v>945799</v>
      </c>
      <c r="B58" s="88">
        <v>114233</v>
      </c>
      <c r="C58" s="87" t="s">
        <v>870</v>
      </c>
      <c r="D58" s="89">
        <v>45702.704861111109</v>
      </c>
      <c r="E58" s="90" t="s">
        <v>886</v>
      </c>
      <c r="F58" s="87" t="s">
        <v>792</v>
      </c>
      <c r="G58" s="90" t="s">
        <v>990</v>
      </c>
      <c r="H58" s="91">
        <v>690</v>
      </c>
      <c r="I58" s="91">
        <v>72</v>
      </c>
      <c r="J58" s="92">
        <v>0.5</v>
      </c>
      <c r="K58" s="91" t="s">
        <v>874</v>
      </c>
      <c r="L58" s="93">
        <v>24840</v>
      </c>
      <c r="M58" s="94">
        <v>27324</v>
      </c>
      <c r="N58" s="56">
        <v>1000</v>
      </c>
      <c r="O58" s="49" t="s">
        <v>950</v>
      </c>
      <c r="P58" s="59" t="s">
        <v>737</v>
      </c>
      <c r="Q58" s="97">
        <f t="shared" si="0"/>
        <v>789.55555555555554</v>
      </c>
    </row>
    <row r="59" spans="1:17" ht="18.75" customHeight="1">
      <c r="A59" s="141">
        <v>883544</v>
      </c>
      <c r="B59" s="88">
        <v>107169</v>
      </c>
      <c r="C59" s="87" t="s">
        <v>870</v>
      </c>
      <c r="D59" s="89">
        <v>45632.977083333331</v>
      </c>
      <c r="E59" s="142" t="s">
        <v>920</v>
      </c>
      <c r="F59" s="141" t="s">
        <v>991</v>
      </c>
      <c r="G59" s="90" t="s">
        <v>992</v>
      </c>
      <c r="H59" s="110">
        <v>331</v>
      </c>
      <c r="I59" s="110">
        <v>120</v>
      </c>
      <c r="J59" s="143">
        <v>1</v>
      </c>
      <c r="K59" s="110" t="s">
        <v>874</v>
      </c>
      <c r="L59" s="93">
        <v>39720</v>
      </c>
      <c r="M59" s="111">
        <v>42898</v>
      </c>
      <c r="N59" s="56">
        <v>0</v>
      </c>
      <c r="O59" s="50" t="s">
        <v>993</v>
      </c>
      <c r="P59" s="59" t="s">
        <v>994</v>
      </c>
      <c r="Q59" s="97">
        <f>(M59+N59*1.1)/(I59*J59)</f>
        <v>357.48333333333335</v>
      </c>
    </row>
    <row r="60" spans="1:17" ht="18.75" customHeight="1">
      <c r="A60" s="87">
        <v>951475</v>
      </c>
      <c r="B60" s="88">
        <v>115000</v>
      </c>
      <c r="C60" s="87" t="s">
        <v>870</v>
      </c>
      <c r="D60" s="89">
        <v>45709.509722222225</v>
      </c>
      <c r="E60" s="90" t="s">
        <v>871</v>
      </c>
      <c r="F60" s="87" t="s">
        <v>441</v>
      </c>
      <c r="G60" s="90" t="s">
        <v>995</v>
      </c>
      <c r="H60" s="91">
        <v>65</v>
      </c>
      <c r="I60" s="91">
        <v>480</v>
      </c>
      <c r="J60" s="92">
        <v>1</v>
      </c>
      <c r="K60" s="91" t="s">
        <v>874</v>
      </c>
      <c r="L60" s="93">
        <v>31200</v>
      </c>
      <c r="M60" s="94">
        <v>34320</v>
      </c>
      <c r="N60" s="56">
        <v>0</v>
      </c>
      <c r="O60" s="49" t="s">
        <v>996</v>
      </c>
      <c r="P60" s="59" t="s">
        <v>444</v>
      </c>
      <c r="Q60" s="97">
        <f t="shared" si="0"/>
        <v>71.5</v>
      </c>
    </row>
    <row r="61" spans="1:17" ht="18.75" customHeight="1">
      <c r="A61" s="87">
        <v>942504</v>
      </c>
      <c r="B61" s="88">
        <v>113134</v>
      </c>
      <c r="C61" s="87" t="s">
        <v>870</v>
      </c>
      <c r="D61" s="89">
        <v>45697.793055555558</v>
      </c>
      <c r="E61" s="90" t="s">
        <v>877</v>
      </c>
      <c r="F61" s="87" t="s">
        <v>441</v>
      </c>
      <c r="G61" s="90" t="s">
        <v>995</v>
      </c>
      <c r="H61" s="91">
        <v>65</v>
      </c>
      <c r="I61" s="91">
        <v>480</v>
      </c>
      <c r="J61" s="92">
        <v>1</v>
      </c>
      <c r="K61" s="91" t="s">
        <v>874</v>
      </c>
      <c r="L61" s="93">
        <v>31200</v>
      </c>
      <c r="M61" s="94">
        <v>34320</v>
      </c>
      <c r="N61" s="56">
        <v>0</v>
      </c>
      <c r="O61" s="49" t="s">
        <v>997</v>
      </c>
      <c r="P61" s="59" t="s">
        <v>444</v>
      </c>
      <c r="Q61" s="97">
        <f t="shared" si="0"/>
        <v>71.5</v>
      </c>
    </row>
    <row r="62" spans="1:17" ht="18.75" customHeight="1">
      <c r="A62" s="87">
        <v>951476</v>
      </c>
      <c r="B62" s="112">
        <v>115000</v>
      </c>
      <c r="C62" s="87" t="s">
        <v>870</v>
      </c>
      <c r="D62" s="89">
        <v>45709.509722222225</v>
      </c>
      <c r="E62" s="90" t="s">
        <v>871</v>
      </c>
      <c r="F62" s="87" t="s">
        <v>461</v>
      </c>
      <c r="G62" s="90" t="s">
        <v>998</v>
      </c>
      <c r="H62" s="91">
        <v>90</v>
      </c>
      <c r="I62" s="91">
        <v>288</v>
      </c>
      <c r="J62" s="92">
        <v>1</v>
      </c>
      <c r="K62" s="91" t="s">
        <v>874</v>
      </c>
      <c r="L62" s="93">
        <v>25920</v>
      </c>
      <c r="M62" s="94">
        <v>28512</v>
      </c>
      <c r="N62" s="56">
        <v>0</v>
      </c>
      <c r="O62" s="49" t="s">
        <v>999</v>
      </c>
      <c r="P62" s="59" t="s">
        <v>463</v>
      </c>
      <c r="Q62" s="97">
        <f t="shared" si="0"/>
        <v>99</v>
      </c>
    </row>
    <row r="63" spans="1:17" ht="18.75" customHeight="1">
      <c r="A63" s="113">
        <v>948105</v>
      </c>
      <c r="B63" s="112">
        <v>114598</v>
      </c>
      <c r="C63" s="114" t="s">
        <v>870</v>
      </c>
      <c r="D63" s="115">
        <v>45706.296527777777</v>
      </c>
      <c r="E63" s="116" t="s">
        <v>886</v>
      </c>
      <c r="F63" s="114" t="s">
        <v>1000</v>
      </c>
      <c r="G63" s="116" t="s">
        <v>1001</v>
      </c>
      <c r="H63" s="117">
        <v>240</v>
      </c>
      <c r="I63" s="117">
        <v>30</v>
      </c>
      <c r="J63" s="118">
        <v>1</v>
      </c>
      <c r="K63" s="117" t="s">
        <v>965</v>
      </c>
      <c r="L63" s="119">
        <v>7200</v>
      </c>
      <c r="M63" s="120">
        <v>7920</v>
      </c>
      <c r="N63" s="56">
        <v>480</v>
      </c>
      <c r="O63" s="49" t="s">
        <v>1002</v>
      </c>
      <c r="P63" s="59">
        <v>45717</v>
      </c>
      <c r="Q63" s="97">
        <f t="shared" si="0"/>
        <v>281.60000000000002</v>
      </c>
    </row>
    <row r="64" spans="1:17" ht="18.75" customHeight="1">
      <c r="A64" s="144">
        <v>953182</v>
      </c>
      <c r="B64" s="88">
        <v>115183</v>
      </c>
      <c r="C64" s="87" t="s">
        <v>870</v>
      </c>
      <c r="D64" s="89">
        <v>45711.400694444441</v>
      </c>
      <c r="E64" s="90" t="s">
        <v>886</v>
      </c>
      <c r="F64" s="87" t="s">
        <v>1003</v>
      </c>
      <c r="G64" s="90" t="s">
        <v>1004</v>
      </c>
      <c r="H64" s="91">
        <v>240</v>
      </c>
      <c r="I64" s="91">
        <v>30</v>
      </c>
      <c r="J64" s="92">
        <v>3</v>
      </c>
      <c r="K64" s="91" t="s">
        <v>965</v>
      </c>
      <c r="L64" s="93">
        <v>21600</v>
      </c>
      <c r="M64" s="120">
        <v>23760</v>
      </c>
      <c r="N64" s="56">
        <v>500</v>
      </c>
      <c r="O64" s="49" t="s">
        <v>678</v>
      </c>
      <c r="P64" s="59">
        <v>45689</v>
      </c>
      <c r="Q64" s="97">
        <f t="shared" si="0"/>
        <v>270.11111111111109</v>
      </c>
    </row>
    <row r="65" spans="1:17" ht="18.75" customHeight="1">
      <c r="A65" s="144">
        <v>925104</v>
      </c>
      <c r="B65" s="88">
        <v>112279</v>
      </c>
      <c r="C65" s="87" t="s">
        <v>870</v>
      </c>
      <c r="D65" s="89">
        <v>45686.897916666669</v>
      </c>
      <c r="E65" s="90" t="s">
        <v>920</v>
      </c>
      <c r="F65" s="87" t="s">
        <v>1005</v>
      </c>
      <c r="G65" s="90" t="s">
        <v>1006</v>
      </c>
      <c r="H65" s="91">
        <v>1000</v>
      </c>
      <c r="I65" s="91">
        <v>48</v>
      </c>
      <c r="J65" s="92">
        <v>1</v>
      </c>
      <c r="K65" s="91" t="s">
        <v>874</v>
      </c>
      <c r="L65" s="93">
        <v>48000</v>
      </c>
      <c r="M65" s="120">
        <v>52800</v>
      </c>
      <c r="N65" s="56">
        <v>0</v>
      </c>
      <c r="O65" s="49" t="s">
        <v>919</v>
      </c>
      <c r="P65" s="59">
        <v>45658</v>
      </c>
      <c r="Q65" s="97">
        <f t="shared" si="0"/>
        <v>1100</v>
      </c>
    </row>
    <row r="66" spans="1:17" ht="18.75" customHeight="1">
      <c r="A66" s="144">
        <v>957726</v>
      </c>
      <c r="B66" s="88">
        <v>115945</v>
      </c>
      <c r="C66" s="87" t="s">
        <v>870</v>
      </c>
      <c r="D66" s="89">
        <v>45716.298611111109</v>
      </c>
      <c r="E66" s="90" t="s">
        <v>871</v>
      </c>
      <c r="F66" s="87" t="s">
        <v>1007</v>
      </c>
      <c r="G66" s="90" t="s">
        <v>1008</v>
      </c>
      <c r="H66" s="91">
        <v>1000</v>
      </c>
      <c r="I66" s="91">
        <v>60</v>
      </c>
      <c r="J66" s="92">
        <v>1</v>
      </c>
      <c r="K66" s="91" t="s">
        <v>874</v>
      </c>
      <c r="L66" s="93">
        <v>60000</v>
      </c>
      <c r="M66" s="120">
        <v>66000</v>
      </c>
      <c r="N66" s="56">
        <v>6000</v>
      </c>
      <c r="O66" s="49" t="s">
        <v>1009</v>
      </c>
      <c r="P66" s="59">
        <v>45505</v>
      </c>
      <c r="Q66" s="97">
        <f t="shared" si="0"/>
        <v>1210</v>
      </c>
    </row>
    <row r="67" spans="1:17" ht="18.75" customHeight="1">
      <c r="A67" s="121">
        <v>957725</v>
      </c>
      <c r="B67" s="145">
        <v>115944</v>
      </c>
      <c r="C67" s="141" t="s">
        <v>870</v>
      </c>
      <c r="D67" s="146">
        <v>45716.298611111109</v>
      </c>
      <c r="E67" s="142" t="s">
        <v>886</v>
      </c>
      <c r="F67" s="141" t="s">
        <v>1007</v>
      </c>
      <c r="G67" s="142" t="s">
        <v>1008</v>
      </c>
      <c r="H67" s="110">
        <v>1000</v>
      </c>
      <c r="I67" s="110">
        <v>60</v>
      </c>
      <c r="J67" s="143">
        <v>0.5</v>
      </c>
      <c r="K67" s="110" t="s">
        <v>874</v>
      </c>
      <c r="L67" s="147">
        <v>30000</v>
      </c>
      <c r="M67" s="111">
        <v>33000</v>
      </c>
      <c r="N67" s="56">
        <v>3000</v>
      </c>
      <c r="O67" s="49" t="s">
        <v>1010</v>
      </c>
      <c r="P67" s="59">
        <v>45505</v>
      </c>
      <c r="Q67" s="97">
        <f>(M67+N67*1.1)/(I67*J67)</f>
        <v>1210</v>
      </c>
    </row>
    <row r="68" spans="1:17" ht="18.75" customHeight="1">
      <c r="A68" s="87">
        <v>957724</v>
      </c>
      <c r="B68" s="88">
        <v>115943</v>
      </c>
      <c r="C68" s="87" t="s">
        <v>870</v>
      </c>
      <c r="D68" s="89">
        <v>45716.29791666667</v>
      </c>
      <c r="E68" s="90" t="s">
        <v>877</v>
      </c>
      <c r="F68" s="87" t="s">
        <v>1007</v>
      </c>
      <c r="G68" s="90" t="s">
        <v>1008</v>
      </c>
      <c r="H68" s="91">
        <v>1000</v>
      </c>
      <c r="I68" s="91">
        <v>60</v>
      </c>
      <c r="J68" s="92">
        <v>1</v>
      </c>
      <c r="K68" s="91" t="s">
        <v>874</v>
      </c>
      <c r="L68" s="93">
        <v>60000</v>
      </c>
      <c r="M68" s="94">
        <v>66000</v>
      </c>
      <c r="N68" s="56">
        <v>6000</v>
      </c>
      <c r="O68" s="49" t="s">
        <v>1011</v>
      </c>
      <c r="P68" s="59">
        <v>45505</v>
      </c>
      <c r="Q68" s="97">
        <f t="shared" ref="Q68" si="1">(M68+N68*1.1)/(I68*J68)</f>
        <v>1210</v>
      </c>
    </row>
    <row r="69" spans="1:17" ht="18.75" customHeight="1">
      <c r="A69" s="12"/>
      <c r="B69" s="68"/>
      <c r="C69" s="12"/>
      <c r="D69" s="69"/>
      <c r="E69" s="12"/>
      <c r="F69" s="12"/>
      <c r="H69" s="71"/>
      <c r="I69" s="71"/>
      <c r="J69" s="72"/>
      <c r="K69" s="71"/>
      <c r="L69" s="73"/>
      <c r="M69" s="130">
        <f>SUM(M3:M68)</f>
        <v>2846207</v>
      </c>
      <c r="N69" s="130">
        <f>SUM(N3:N68)*1.1</f>
        <v>46068.000000000007</v>
      </c>
      <c r="O69" s="131">
        <f>M69+N69</f>
        <v>2892275</v>
      </c>
    </row>
    <row r="70" spans="1:17" ht="18.75" customHeight="1">
      <c r="A70" s="12"/>
      <c r="B70" s="68"/>
      <c r="C70" s="12"/>
      <c r="D70" s="69"/>
      <c r="E70" s="12"/>
      <c r="F70" s="12"/>
      <c r="H70" s="71"/>
      <c r="I70" s="71"/>
      <c r="J70" s="72"/>
      <c r="K70" s="71"/>
      <c r="L70" s="73"/>
      <c r="M70" s="73"/>
    </row>
    <row r="71" spans="1:17" ht="18.75" customHeight="1">
      <c r="A71" s="122" t="s">
        <v>18</v>
      </c>
      <c r="B71" s="123"/>
      <c r="C71" s="122"/>
      <c r="D71" s="124"/>
      <c r="E71" s="96"/>
      <c r="F71" s="122"/>
      <c r="G71" s="96"/>
      <c r="H71" s="125"/>
      <c r="I71" s="125"/>
      <c r="J71" s="126"/>
      <c r="K71" s="125"/>
      <c r="L71" s="95"/>
      <c r="M71" s="95"/>
      <c r="N71" s="56"/>
      <c r="O71" s="49"/>
      <c r="P71" s="59"/>
      <c r="Q71" s="97"/>
    </row>
    <row r="72" spans="1:17" ht="18.75" customHeight="1">
      <c r="A72" s="122"/>
      <c r="B72" s="123"/>
      <c r="C72" s="122"/>
      <c r="D72" s="124"/>
      <c r="E72" s="96"/>
      <c r="F72" s="122"/>
      <c r="G72" s="96"/>
      <c r="H72" s="125"/>
      <c r="I72" s="125"/>
      <c r="J72" s="126"/>
      <c r="K72" s="125"/>
      <c r="L72" s="95"/>
      <c r="M72" s="95"/>
      <c r="N72" s="56"/>
      <c r="O72" s="49"/>
      <c r="P72" s="59"/>
      <c r="Q72" s="97"/>
    </row>
    <row r="73" spans="1:17" ht="18.75" customHeight="1">
      <c r="A73" s="122"/>
      <c r="B73" s="123"/>
      <c r="C73" s="122"/>
      <c r="D73" s="124"/>
      <c r="E73" s="96"/>
      <c r="F73" s="122"/>
      <c r="G73" s="96"/>
      <c r="H73" s="125"/>
      <c r="I73" s="125"/>
      <c r="J73" s="126"/>
      <c r="K73" s="125"/>
      <c r="L73" s="95"/>
      <c r="M73" s="95"/>
      <c r="N73" s="56"/>
      <c r="O73" s="49"/>
      <c r="P73" s="59"/>
      <c r="Q73" s="97"/>
    </row>
    <row r="74" spans="1:17" ht="18.75" customHeight="1">
      <c r="A74" s="122"/>
      <c r="B74" s="123"/>
      <c r="C74" s="122"/>
      <c r="D74" s="124"/>
      <c r="E74" s="96"/>
      <c r="F74" s="122"/>
      <c r="G74" s="96"/>
      <c r="H74" s="125"/>
      <c r="I74" s="125"/>
      <c r="J74" s="126"/>
      <c r="K74" s="125"/>
      <c r="L74" s="95"/>
      <c r="M74" s="95"/>
      <c r="N74" s="56"/>
      <c r="O74" s="49"/>
      <c r="P74" s="59"/>
      <c r="Q74" s="97"/>
    </row>
    <row r="75" spans="1:17" ht="18.75" customHeight="1">
      <c r="A75" s="122"/>
      <c r="B75" s="123"/>
      <c r="C75" s="122"/>
      <c r="D75" s="124"/>
      <c r="E75" s="96"/>
      <c r="F75" s="122"/>
      <c r="G75" s="96"/>
      <c r="H75" s="125"/>
      <c r="I75" s="125"/>
      <c r="J75" s="126"/>
      <c r="K75" s="125"/>
      <c r="L75" s="95"/>
      <c r="M75" s="95"/>
      <c r="N75" s="56"/>
      <c r="O75" s="49"/>
      <c r="P75" s="59"/>
      <c r="Q75" s="97"/>
    </row>
    <row r="76" spans="1:17" ht="18.75" customHeight="1">
      <c r="A76" s="12"/>
      <c r="B76" s="68"/>
      <c r="C76" s="12"/>
      <c r="D76" s="69"/>
      <c r="E76" s="12"/>
      <c r="F76" s="12"/>
      <c r="H76" s="71"/>
      <c r="I76" s="71"/>
      <c r="J76" s="72"/>
      <c r="K76" s="71"/>
      <c r="L76" s="73"/>
      <c r="M76" s="73"/>
    </row>
    <row r="77" spans="1:17" ht="18.75" customHeight="1">
      <c r="A77" s="12"/>
      <c r="B77" s="68"/>
      <c r="C77" s="12"/>
      <c r="D77" s="69"/>
      <c r="E77" s="12"/>
      <c r="F77" s="12"/>
      <c r="H77" s="71"/>
      <c r="I77" s="71"/>
      <c r="J77" s="72"/>
      <c r="K77" s="71"/>
      <c r="L77" s="73"/>
      <c r="M77" s="73"/>
    </row>
    <row r="78" spans="1:17" ht="18.75" customHeight="1">
      <c r="A78" s="122" t="s">
        <v>28</v>
      </c>
      <c r="B78" s="123"/>
      <c r="C78" s="122"/>
      <c r="D78" s="124"/>
      <c r="E78" s="96" t="s">
        <v>34</v>
      </c>
      <c r="F78" s="122"/>
      <c r="G78" s="96" t="s">
        <v>638</v>
      </c>
      <c r="H78" s="125">
        <v>620</v>
      </c>
      <c r="I78" s="125">
        <v>84</v>
      </c>
      <c r="J78" s="126">
        <v>1</v>
      </c>
      <c r="K78" s="125"/>
      <c r="L78" s="95">
        <v>52080</v>
      </c>
      <c r="M78" s="95">
        <f>L78*1.1</f>
        <v>57288.000000000007</v>
      </c>
      <c r="N78" s="56"/>
      <c r="O78" s="49"/>
      <c r="P78" s="59">
        <v>45708</v>
      </c>
      <c r="Q78" s="67">
        <f t="shared" ref="Q78:Q82" si="2">(M78+N78*1.1)/(I78*J78)</f>
        <v>682.00000000000011</v>
      </c>
    </row>
    <row r="79" spans="1:17" ht="18.75" customHeight="1">
      <c r="A79" s="122"/>
      <c r="B79" s="123"/>
      <c r="C79" s="122"/>
      <c r="D79" s="124"/>
      <c r="E79" s="132" t="s">
        <v>32</v>
      </c>
      <c r="F79" s="122"/>
      <c r="G79" s="96" t="s">
        <v>638</v>
      </c>
      <c r="H79" s="125">
        <v>620</v>
      </c>
      <c r="I79" s="125">
        <v>84</v>
      </c>
      <c r="J79" s="126">
        <v>1</v>
      </c>
      <c r="K79" s="125"/>
      <c r="L79" s="95">
        <v>52080</v>
      </c>
      <c r="M79" s="95">
        <f>L79*1.1</f>
        <v>57288.000000000007</v>
      </c>
      <c r="N79" s="56"/>
      <c r="O79" s="49"/>
      <c r="P79" s="59">
        <v>45708</v>
      </c>
      <c r="Q79" s="67">
        <f t="shared" si="2"/>
        <v>682.00000000000011</v>
      </c>
    </row>
    <row r="80" spans="1:17" ht="18.75" customHeight="1">
      <c r="A80" s="122"/>
      <c r="B80" s="123"/>
      <c r="C80" s="122"/>
      <c r="D80" s="124"/>
      <c r="E80" s="132" t="s">
        <v>32</v>
      </c>
      <c r="F80" s="122"/>
      <c r="G80" s="132" t="s">
        <v>1012</v>
      </c>
      <c r="H80" s="125">
        <v>910</v>
      </c>
      <c r="I80" s="125">
        <v>60</v>
      </c>
      <c r="J80" s="126">
        <v>1</v>
      </c>
      <c r="K80" s="125"/>
      <c r="L80" s="95">
        <v>54600</v>
      </c>
      <c r="M80" s="95">
        <f>L80*1.1</f>
        <v>60060.000000000007</v>
      </c>
      <c r="N80" s="56"/>
      <c r="O80" s="49"/>
      <c r="P80" s="59"/>
      <c r="Q80" s="67">
        <f t="shared" si="2"/>
        <v>1001.0000000000001</v>
      </c>
    </row>
    <row r="81" spans="1:17" ht="18.75" customHeight="1">
      <c r="A81" s="122"/>
      <c r="B81" s="123"/>
      <c r="C81" s="122"/>
      <c r="D81" s="124"/>
      <c r="E81" s="96"/>
      <c r="F81" s="122"/>
      <c r="G81" s="96"/>
      <c r="H81" s="125"/>
      <c r="I81" s="125"/>
      <c r="J81" s="126"/>
      <c r="K81" s="125"/>
      <c r="L81" s="95"/>
      <c r="M81" s="95"/>
      <c r="N81" s="56"/>
      <c r="O81" s="49"/>
      <c r="P81" s="59"/>
      <c r="Q81" s="67" t="e">
        <f t="shared" si="2"/>
        <v>#DIV/0!</v>
      </c>
    </row>
    <row r="82" spans="1:17" ht="18.75" customHeight="1">
      <c r="A82" s="122"/>
      <c r="B82" s="123"/>
      <c r="C82" s="122"/>
      <c r="D82" s="124"/>
      <c r="E82" s="96"/>
      <c r="F82" s="122"/>
      <c r="G82" s="96"/>
      <c r="H82" s="125"/>
      <c r="I82" s="125"/>
      <c r="J82" s="126"/>
      <c r="K82" s="125"/>
      <c r="L82" s="95"/>
      <c r="M82" s="95"/>
      <c r="N82" s="56"/>
      <c r="O82" s="49"/>
      <c r="P82" s="59"/>
      <c r="Q82" s="67" t="e">
        <f t="shared" si="2"/>
        <v>#DIV/0!</v>
      </c>
    </row>
    <row r="83" spans="1:17" ht="18.75" customHeight="1">
      <c r="B83" s="68"/>
      <c r="C83" s="12"/>
      <c r="D83" s="69"/>
      <c r="E83" s="12"/>
      <c r="F83" s="12"/>
      <c r="H83" s="71"/>
      <c r="I83" s="71"/>
      <c r="J83" s="72"/>
      <c r="K83" s="71"/>
      <c r="L83" s="73"/>
      <c r="M83" s="73"/>
    </row>
    <row r="84" spans="1:17" ht="18.75" customHeight="1">
      <c r="B84" s="68"/>
      <c r="C84" s="12"/>
      <c r="D84" s="69"/>
      <c r="E84" s="12"/>
      <c r="F84" s="12"/>
      <c r="H84" s="71"/>
      <c r="I84" s="71"/>
      <c r="J84" s="72"/>
      <c r="K84" s="71"/>
      <c r="L84" s="73"/>
      <c r="M84" s="73"/>
    </row>
    <row r="85" spans="1:17" ht="18.75" customHeight="1">
      <c r="A85" s="122" t="s">
        <v>29</v>
      </c>
      <c r="B85" s="123"/>
      <c r="C85" s="122"/>
      <c r="D85" s="124"/>
      <c r="E85" s="96"/>
      <c r="F85" s="122"/>
      <c r="G85" s="96"/>
      <c r="H85" s="125"/>
      <c r="I85" s="125"/>
      <c r="J85" s="126"/>
      <c r="K85" s="125"/>
      <c r="L85" s="95"/>
      <c r="M85" s="95"/>
      <c r="N85" s="56"/>
      <c r="O85" s="49"/>
      <c r="P85" s="59"/>
      <c r="Q85" s="97"/>
    </row>
    <row r="86" spans="1:17" ht="18.75" customHeight="1">
      <c r="A86" s="122"/>
      <c r="B86" s="123"/>
      <c r="C86" s="122"/>
      <c r="D86" s="124"/>
      <c r="E86" s="96"/>
      <c r="F86" s="122"/>
      <c r="G86" s="96"/>
      <c r="H86" s="125"/>
      <c r="I86" s="125"/>
      <c r="J86" s="126"/>
      <c r="K86" s="125"/>
      <c r="L86" s="95"/>
      <c r="M86" s="95"/>
      <c r="N86" s="56"/>
      <c r="O86" s="49"/>
      <c r="P86" s="59"/>
      <c r="Q86" s="97"/>
    </row>
    <row r="87" spans="1:17" ht="18.75" customHeight="1">
      <c r="A87" s="122"/>
      <c r="B87" s="123"/>
      <c r="C87" s="122"/>
      <c r="D87" s="124"/>
      <c r="E87" s="96"/>
      <c r="F87" s="122"/>
      <c r="G87" s="96"/>
      <c r="H87" s="125"/>
      <c r="I87" s="125"/>
      <c r="J87" s="126"/>
      <c r="K87" s="125"/>
      <c r="L87" s="95"/>
      <c r="M87" s="95"/>
      <c r="N87" s="56"/>
      <c r="O87" s="49"/>
      <c r="P87" s="59"/>
      <c r="Q87" s="97"/>
    </row>
    <row r="88" spans="1:17" ht="18.75" customHeight="1">
      <c r="A88" s="122"/>
      <c r="B88" s="123"/>
      <c r="C88" s="122"/>
      <c r="D88" s="124"/>
      <c r="E88" s="96"/>
      <c r="F88" s="122"/>
      <c r="G88" s="96"/>
      <c r="H88" s="125"/>
      <c r="I88" s="125"/>
      <c r="J88" s="126"/>
      <c r="K88" s="125"/>
      <c r="L88" s="95"/>
      <c r="M88" s="95"/>
      <c r="N88" s="56"/>
      <c r="O88" s="49"/>
      <c r="P88" s="59"/>
      <c r="Q88" s="97"/>
    </row>
    <row r="89" spans="1:17" ht="18.75" customHeight="1">
      <c r="A89" s="122"/>
      <c r="B89" s="123"/>
      <c r="C89" s="122"/>
      <c r="D89" s="124"/>
      <c r="E89" s="96"/>
      <c r="F89" s="122"/>
      <c r="G89" s="96"/>
      <c r="H89" s="125"/>
      <c r="I89" s="125"/>
      <c r="J89" s="126"/>
      <c r="K89" s="125"/>
      <c r="L89" s="95"/>
      <c r="M89" s="95"/>
      <c r="N89" s="56"/>
      <c r="O89" s="49"/>
      <c r="P89" s="59"/>
      <c r="Q89" s="97"/>
    </row>
    <row r="90" spans="1:17" ht="18.75" customHeight="1">
      <c r="A90" s="12"/>
      <c r="B90" s="68"/>
      <c r="C90" s="12"/>
      <c r="D90" s="69"/>
      <c r="E90" s="12"/>
      <c r="F90" s="12"/>
      <c r="H90" s="71"/>
      <c r="I90" s="71"/>
      <c r="J90" s="72"/>
      <c r="K90" s="71"/>
      <c r="L90" s="73"/>
      <c r="M90" s="73"/>
    </row>
    <row r="91" spans="1:17" ht="18.75" customHeight="1">
      <c r="A91" s="12"/>
      <c r="B91" s="68"/>
      <c r="C91" s="12"/>
      <c r="D91" s="69"/>
      <c r="E91" s="12"/>
      <c r="F91" s="12"/>
      <c r="H91" s="71"/>
      <c r="I91" s="71"/>
      <c r="J91" s="72"/>
      <c r="K91" s="71"/>
      <c r="L91" s="73"/>
      <c r="M91" s="73"/>
    </row>
    <row r="92" spans="1:17" ht="18.75" customHeight="1">
      <c r="A92" s="122" t="s">
        <v>1013</v>
      </c>
      <c r="B92" s="123"/>
      <c r="C92" s="122"/>
      <c r="D92" s="124"/>
      <c r="E92" s="96"/>
      <c r="F92" s="122"/>
      <c r="G92" s="96"/>
      <c r="H92" s="125"/>
      <c r="I92" s="125"/>
      <c r="J92" s="126"/>
      <c r="K92" s="125"/>
      <c r="L92" s="95"/>
      <c r="M92" s="95"/>
      <c r="N92" s="56"/>
      <c r="O92" s="49"/>
      <c r="P92" s="59"/>
      <c r="Q92" s="97"/>
    </row>
    <row r="93" spans="1:17" ht="18.75" customHeight="1">
      <c r="A93" s="122"/>
      <c r="B93" s="123"/>
      <c r="C93" s="122"/>
      <c r="D93" s="124"/>
      <c r="E93" s="96"/>
      <c r="F93" s="122"/>
      <c r="G93" s="96"/>
      <c r="H93" s="125"/>
      <c r="I93" s="125"/>
      <c r="J93" s="126"/>
      <c r="K93" s="125"/>
      <c r="L93" s="95"/>
      <c r="M93" s="95"/>
      <c r="N93" s="56"/>
      <c r="O93" s="49"/>
      <c r="P93" s="59"/>
      <c r="Q93" s="97"/>
    </row>
    <row r="94" spans="1:17" ht="18.75" customHeight="1">
      <c r="A94" s="122"/>
      <c r="B94" s="123"/>
      <c r="C94" s="122"/>
      <c r="D94" s="124"/>
      <c r="E94" s="96"/>
      <c r="F94" s="122"/>
      <c r="G94" s="96"/>
      <c r="H94" s="125"/>
      <c r="I94" s="125"/>
      <c r="J94" s="126"/>
      <c r="K94" s="125"/>
      <c r="L94" s="95"/>
      <c r="M94" s="95"/>
      <c r="N94" s="56"/>
      <c r="O94" s="49"/>
      <c r="P94" s="59"/>
      <c r="Q94" s="97"/>
    </row>
    <row r="95" spans="1:17" ht="18.75" customHeight="1">
      <c r="A95" s="122"/>
      <c r="B95" s="123"/>
      <c r="C95" s="122"/>
      <c r="D95" s="124"/>
      <c r="E95" s="96"/>
      <c r="F95" s="122"/>
      <c r="G95" s="96"/>
      <c r="H95" s="125"/>
      <c r="I95" s="125"/>
      <c r="J95" s="126"/>
      <c r="K95" s="125"/>
      <c r="L95" s="95"/>
      <c r="M95" s="95"/>
      <c r="N95" s="56"/>
      <c r="O95" s="49"/>
      <c r="P95" s="59"/>
      <c r="Q95" s="97"/>
    </row>
    <row r="96" spans="1:17" ht="18.75" customHeight="1">
      <c r="A96" s="122"/>
      <c r="B96" s="123"/>
      <c r="C96" s="122"/>
      <c r="D96" s="124"/>
      <c r="E96" s="96"/>
      <c r="F96" s="122"/>
      <c r="G96" s="96"/>
      <c r="H96" s="125"/>
      <c r="I96" s="125"/>
      <c r="J96" s="126"/>
      <c r="K96" s="125"/>
      <c r="L96" s="95"/>
      <c r="M96" s="95"/>
      <c r="N96" s="56"/>
      <c r="O96" s="49"/>
      <c r="P96" s="59"/>
      <c r="Q96" s="97"/>
    </row>
    <row r="97" spans="2:13" ht="18.75" customHeight="1"/>
    <row r="98" spans="2:13" ht="18.75" customHeight="1"/>
    <row r="99" spans="2:13" ht="18.75" customHeight="1"/>
    <row r="100" spans="2:13" ht="18.75" customHeight="1"/>
    <row r="101" spans="2:13" ht="18.75" customHeight="1"/>
    <row r="102" spans="2:13" ht="18.75" customHeight="1"/>
    <row r="103" spans="2:13" ht="18.75" customHeight="1"/>
    <row r="104" spans="2:13" ht="18.75" customHeight="1"/>
    <row r="105" spans="2:13" ht="18.75" customHeight="1"/>
    <row r="106" spans="2:13" ht="18.75" customHeight="1"/>
    <row r="107" spans="2:13" ht="18.75" customHeight="1"/>
    <row r="108" spans="2:13" ht="18.75" customHeight="1">
      <c r="B108" s="68"/>
      <c r="C108" s="12"/>
      <c r="D108" s="69"/>
      <c r="E108" s="12"/>
      <c r="F108" s="12"/>
      <c r="H108" s="71"/>
      <c r="I108" s="71"/>
      <c r="J108" s="72"/>
      <c r="K108" s="71"/>
      <c r="L108" s="73"/>
      <c r="M108" s="73"/>
    </row>
    <row r="109" spans="2:13" ht="18.75" customHeight="1">
      <c r="B109" s="68"/>
      <c r="C109" s="12"/>
      <c r="D109" s="69"/>
      <c r="E109" s="12"/>
      <c r="F109" s="12"/>
      <c r="H109" s="71"/>
      <c r="I109" s="71"/>
      <c r="J109" s="72"/>
      <c r="K109" s="71"/>
      <c r="L109" s="73"/>
      <c r="M109" s="73"/>
    </row>
    <row r="110" spans="2:13" ht="18.75" customHeight="1">
      <c r="B110" s="68"/>
      <c r="C110" s="12"/>
      <c r="D110" s="69"/>
      <c r="E110" s="12"/>
      <c r="F110" s="12"/>
      <c r="H110" s="71"/>
      <c r="I110" s="71"/>
      <c r="J110" s="72"/>
      <c r="K110" s="71"/>
      <c r="L110" s="73"/>
      <c r="M110" s="73"/>
    </row>
    <row r="111" spans="2:13" ht="18.75" customHeight="1">
      <c r="B111" s="68"/>
      <c r="C111" s="12"/>
      <c r="D111" s="69"/>
      <c r="E111" s="12"/>
      <c r="F111" s="12"/>
      <c r="H111" s="71"/>
      <c r="I111" s="71"/>
      <c r="J111" s="72"/>
      <c r="K111" s="71"/>
      <c r="L111" s="73"/>
      <c r="M111" s="73"/>
    </row>
    <row r="112" spans="2:13" ht="18.75" customHeight="1">
      <c r="B112" s="68"/>
      <c r="C112" s="12"/>
      <c r="D112" s="69"/>
      <c r="E112" s="12"/>
      <c r="F112" s="12"/>
      <c r="H112" s="71"/>
      <c r="I112" s="71"/>
      <c r="J112" s="72"/>
      <c r="K112" s="71"/>
      <c r="L112" s="73"/>
      <c r="M112" s="73"/>
    </row>
    <row r="113" spans="2:13" ht="18.75" customHeight="1">
      <c r="B113" s="68"/>
      <c r="C113" s="12"/>
      <c r="D113" s="69"/>
      <c r="E113" s="12"/>
      <c r="F113" s="12"/>
      <c r="H113" s="71"/>
      <c r="I113" s="71"/>
      <c r="J113" s="72"/>
      <c r="K113" s="71"/>
      <c r="L113" s="73"/>
      <c r="M113" s="73"/>
    </row>
    <row r="114" spans="2:13" ht="18.75" customHeight="1">
      <c r="B114" s="68"/>
      <c r="C114" s="12"/>
      <c r="D114" s="69"/>
      <c r="E114" s="12"/>
      <c r="F114" s="12"/>
      <c r="H114" s="71"/>
      <c r="I114" s="71"/>
      <c r="J114" s="72"/>
      <c r="K114" s="71"/>
      <c r="L114" s="73"/>
      <c r="M114" s="73"/>
    </row>
    <row r="115" spans="2:13" ht="18.75" customHeight="1">
      <c r="B115" s="68"/>
      <c r="C115" s="12"/>
      <c r="D115" s="69"/>
      <c r="E115" s="12"/>
      <c r="F115" s="12"/>
      <c r="H115" s="71"/>
      <c r="I115" s="71"/>
      <c r="J115" s="72"/>
      <c r="K115" s="71"/>
      <c r="L115" s="73"/>
      <c r="M115" s="73"/>
    </row>
    <row r="116" spans="2:13" ht="18.75" customHeight="1">
      <c r="B116" s="68"/>
      <c r="C116" s="12"/>
      <c r="D116" s="69"/>
      <c r="E116" s="12"/>
      <c r="F116" s="12"/>
      <c r="H116" s="71"/>
      <c r="I116" s="71"/>
      <c r="J116" s="72"/>
      <c r="K116" s="71"/>
      <c r="L116" s="73"/>
      <c r="M116" s="73"/>
    </row>
    <row r="117" spans="2:13" ht="18.75" customHeight="1">
      <c r="B117" s="68"/>
      <c r="C117" s="12"/>
      <c r="D117" s="69"/>
      <c r="E117" s="12"/>
      <c r="F117" s="12"/>
      <c r="H117" s="71"/>
      <c r="I117" s="71"/>
      <c r="J117" s="72"/>
      <c r="K117" s="71"/>
      <c r="L117" s="73"/>
      <c r="M117" s="73"/>
    </row>
    <row r="118" spans="2:13" ht="18.75" customHeight="1">
      <c r="B118" s="68"/>
      <c r="C118" s="12"/>
      <c r="D118" s="69"/>
      <c r="E118" s="12"/>
      <c r="F118" s="12"/>
      <c r="H118" s="71"/>
      <c r="I118" s="71"/>
      <c r="J118" s="72"/>
      <c r="K118" s="71"/>
      <c r="L118" s="73"/>
      <c r="M118" s="73"/>
    </row>
    <row r="119" spans="2:13" ht="18.75" customHeight="1">
      <c r="B119" s="68"/>
      <c r="C119" s="12"/>
      <c r="D119" s="69"/>
      <c r="E119" s="12"/>
      <c r="F119" s="12"/>
      <c r="H119" s="71"/>
      <c r="I119" s="71"/>
      <c r="J119" s="72"/>
      <c r="K119" s="71"/>
      <c r="L119" s="73"/>
      <c r="M119" s="73"/>
    </row>
    <row r="120" spans="2:13" ht="18.75" customHeight="1">
      <c r="B120" s="68"/>
      <c r="C120" s="12"/>
      <c r="D120" s="69"/>
      <c r="E120" s="12"/>
      <c r="F120" s="12"/>
      <c r="H120" s="71"/>
      <c r="I120" s="71"/>
      <c r="J120" s="72"/>
      <c r="K120" s="71"/>
      <c r="L120" s="73"/>
      <c r="M120" s="73"/>
    </row>
    <row r="121" spans="2:13" ht="18.75" customHeight="1">
      <c r="B121" s="68"/>
      <c r="C121" s="12"/>
      <c r="D121" s="69"/>
      <c r="E121" s="12"/>
      <c r="F121" s="12"/>
      <c r="H121" s="71"/>
      <c r="I121" s="71"/>
      <c r="J121" s="72"/>
      <c r="K121" s="71"/>
      <c r="L121" s="73"/>
      <c r="M121" s="73"/>
    </row>
    <row r="122" spans="2:13" ht="18.75" customHeight="1">
      <c r="B122" s="68"/>
      <c r="C122" s="12"/>
      <c r="D122" s="69"/>
      <c r="E122" s="12"/>
      <c r="F122" s="12"/>
      <c r="H122" s="71"/>
      <c r="I122" s="71"/>
      <c r="J122" s="72"/>
      <c r="K122" s="71"/>
      <c r="L122" s="73"/>
      <c r="M122" s="73"/>
    </row>
    <row r="123" spans="2:13" ht="18.75" customHeight="1">
      <c r="B123" s="68"/>
      <c r="C123" s="12"/>
      <c r="D123" s="69"/>
      <c r="E123" s="12"/>
      <c r="F123" s="12"/>
      <c r="H123" s="71"/>
      <c r="I123" s="71"/>
      <c r="J123" s="72"/>
      <c r="K123" s="71"/>
      <c r="L123" s="73"/>
      <c r="M123" s="73"/>
    </row>
    <row r="124" spans="2:13" ht="18.75" customHeight="1">
      <c r="B124" s="68"/>
      <c r="C124" s="12"/>
      <c r="D124" s="69"/>
      <c r="E124" s="12"/>
      <c r="F124" s="12"/>
      <c r="H124" s="71"/>
      <c r="I124" s="71"/>
      <c r="J124" s="72"/>
      <c r="K124" s="71"/>
      <c r="L124" s="73"/>
      <c r="M124" s="73"/>
    </row>
    <row r="125" spans="2:13" ht="18.75" customHeight="1">
      <c r="B125" s="68"/>
      <c r="C125" s="12"/>
      <c r="D125" s="69"/>
      <c r="E125" s="12"/>
      <c r="F125" s="12"/>
      <c r="H125" s="71"/>
      <c r="I125" s="71"/>
      <c r="J125" s="72"/>
      <c r="K125" s="71"/>
      <c r="L125" s="73"/>
      <c r="M125" s="73"/>
    </row>
    <row r="126" spans="2:13" ht="18.75" customHeight="1">
      <c r="B126" s="68"/>
      <c r="C126" s="12"/>
      <c r="D126" s="69"/>
      <c r="E126" s="12"/>
      <c r="F126" s="12"/>
      <c r="H126" s="71"/>
      <c r="I126" s="71"/>
      <c r="J126" s="72"/>
      <c r="K126" s="71"/>
      <c r="L126" s="73"/>
      <c r="M126" s="73"/>
    </row>
    <row r="127" spans="2:13" ht="18.75" customHeight="1">
      <c r="B127" s="68"/>
      <c r="C127" s="12"/>
      <c r="D127" s="69"/>
      <c r="E127" s="12"/>
      <c r="F127" s="12"/>
      <c r="H127" s="71"/>
      <c r="I127" s="71"/>
      <c r="J127" s="72"/>
      <c r="K127" s="71"/>
      <c r="L127" s="73"/>
      <c r="M127" s="73"/>
    </row>
    <row r="128" spans="2:13" ht="18.75" customHeight="1">
      <c r="B128" s="68"/>
      <c r="C128" s="12"/>
      <c r="D128" s="69"/>
      <c r="E128" s="12"/>
      <c r="F128" s="12"/>
      <c r="H128" s="71"/>
      <c r="I128" s="71"/>
      <c r="J128" s="72"/>
      <c r="K128" s="71"/>
      <c r="L128" s="73"/>
      <c r="M128" s="73"/>
    </row>
    <row r="129" spans="2:13" ht="18.75" customHeight="1">
      <c r="B129" s="68"/>
      <c r="C129" s="12"/>
      <c r="D129" s="69"/>
      <c r="E129" s="12"/>
      <c r="F129" s="12"/>
      <c r="H129" s="71"/>
      <c r="I129" s="71"/>
      <c r="J129" s="72"/>
      <c r="K129" s="71"/>
      <c r="L129" s="73"/>
      <c r="M129" s="73"/>
    </row>
    <row r="130" spans="2:13" ht="18.75" customHeight="1">
      <c r="B130" s="68"/>
      <c r="C130" s="12"/>
      <c r="D130" s="69"/>
      <c r="E130" s="12"/>
      <c r="F130" s="12"/>
      <c r="H130" s="71"/>
      <c r="I130" s="71"/>
      <c r="J130" s="72"/>
      <c r="K130" s="71"/>
      <c r="L130" s="73"/>
      <c r="M130" s="73"/>
    </row>
    <row r="131" spans="2:13" ht="18.75" customHeight="1">
      <c r="B131" s="68"/>
      <c r="C131" s="12"/>
      <c r="D131" s="69"/>
      <c r="E131" s="12"/>
      <c r="F131" s="12"/>
      <c r="H131" s="71"/>
      <c r="I131" s="71"/>
      <c r="J131" s="72"/>
      <c r="K131" s="71"/>
      <c r="L131" s="73"/>
      <c r="M131" s="73"/>
    </row>
    <row r="132" spans="2:13" ht="18.75" customHeight="1">
      <c r="B132" s="68"/>
      <c r="C132" s="12"/>
      <c r="D132" s="69"/>
      <c r="E132" s="12"/>
      <c r="F132" s="12"/>
      <c r="H132" s="71"/>
      <c r="I132" s="71"/>
      <c r="J132" s="72"/>
      <c r="K132" s="71"/>
      <c r="L132" s="73"/>
      <c r="M132" s="73"/>
    </row>
    <row r="133" spans="2:13" ht="18.75" customHeight="1">
      <c r="B133" s="68"/>
      <c r="C133" s="12"/>
      <c r="D133" s="69"/>
      <c r="E133" s="12"/>
      <c r="F133" s="12"/>
      <c r="H133" s="71"/>
      <c r="I133" s="71"/>
      <c r="J133" s="72"/>
      <c r="K133" s="71"/>
      <c r="L133" s="73"/>
      <c r="M133" s="73"/>
    </row>
    <row r="134" spans="2:13" ht="18.75" customHeight="1">
      <c r="B134" s="68"/>
      <c r="C134" s="12"/>
      <c r="D134" s="69"/>
      <c r="E134" s="12"/>
      <c r="F134" s="12"/>
      <c r="H134" s="71"/>
      <c r="I134" s="71"/>
      <c r="J134" s="72"/>
      <c r="K134" s="71"/>
      <c r="L134" s="73"/>
      <c r="M134" s="73"/>
    </row>
    <row r="135" spans="2:13" ht="18.75" customHeight="1">
      <c r="B135" s="68"/>
      <c r="C135" s="12"/>
      <c r="D135" s="69"/>
      <c r="E135" s="12"/>
      <c r="F135" s="12"/>
      <c r="H135" s="71"/>
      <c r="I135" s="71"/>
      <c r="J135" s="72"/>
      <c r="K135" s="71"/>
      <c r="L135" s="73"/>
      <c r="M135" s="73"/>
    </row>
    <row r="136" spans="2:13" ht="18.75" customHeight="1">
      <c r="B136" s="68"/>
      <c r="C136" s="12"/>
      <c r="D136" s="69"/>
      <c r="E136" s="12"/>
      <c r="F136" s="12"/>
      <c r="H136" s="71"/>
      <c r="I136" s="71"/>
      <c r="J136" s="72"/>
      <c r="K136" s="71"/>
      <c r="L136" s="73"/>
      <c r="M136" s="73"/>
    </row>
    <row r="137" spans="2:13" ht="18.75" customHeight="1">
      <c r="B137" s="68"/>
      <c r="C137" s="12"/>
      <c r="D137" s="69"/>
      <c r="E137" s="12"/>
      <c r="F137" s="12"/>
      <c r="H137" s="71"/>
      <c r="I137" s="71"/>
      <c r="J137" s="72"/>
      <c r="K137" s="71"/>
      <c r="L137" s="73"/>
      <c r="M137" s="73"/>
    </row>
    <row r="138" spans="2:13" ht="18.75" customHeight="1">
      <c r="B138" s="68"/>
      <c r="C138" s="12"/>
      <c r="D138" s="69"/>
      <c r="E138" s="12"/>
      <c r="F138" s="12"/>
      <c r="H138" s="71"/>
      <c r="I138" s="71"/>
      <c r="J138" s="72"/>
      <c r="K138" s="71"/>
      <c r="L138" s="73"/>
      <c r="M138" s="73"/>
    </row>
    <row r="139" spans="2:13" ht="18.75" customHeight="1">
      <c r="B139" s="68"/>
      <c r="C139" s="12"/>
      <c r="D139" s="69"/>
      <c r="E139" s="12"/>
      <c r="F139" s="12"/>
      <c r="H139" s="71"/>
      <c r="I139" s="71"/>
      <c r="J139" s="72"/>
      <c r="K139" s="71"/>
      <c r="L139" s="73"/>
      <c r="M139" s="73"/>
    </row>
    <row r="140" spans="2:13" ht="18.75" customHeight="1">
      <c r="B140" s="68"/>
      <c r="C140" s="12"/>
      <c r="D140" s="69"/>
      <c r="E140" s="12"/>
      <c r="F140" s="12"/>
      <c r="H140" s="71"/>
      <c r="I140" s="71"/>
      <c r="J140" s="72"/>
      <c r="K140" s="71"/>
      <c r="L140" s="73"/>
      <c r="M140" s="73"/>
    </row>
    <row r="141" spans="2:13" ht="18.75" customHeight="1">
      <c r="B141" s="68"/>
      <c r="C141" s="12"/>
      <c r="D141" s="69"/>
      <c r="E141" s="12"/>
      <c r="F141" s="12"/>
      <c r="H141" s="71"/>
      <c r="I141" s="71"/>
      <c r="J141" s="72"/>
      <c r="K141" s="71"/>
      <c r="L141" s="73"/>
      <c r="M141" s="73"/>
    </row>
    <row r="142" spans="2:13" ht="18.75" customHeight="1">
      <c r="B142" s="68"/>
      <c r="C142" s="12"/>
      <c r="D142" s="69"/>
      <c r="E142" s="12"/>
      <c r="F142" s="12"/>
      <c r="H142" s="71"/>
      <c r="I142" s="71"/>
      <c r="J142" s="72"/>
      <c r="K142" s="71"/>
      <c r="L142" s="73"/>
      <c r="M142" s="73"/>
    </row>
    <row r="143" spans="2:13" ht="18.75" customHeight="1">
      <c r="B143" s="68"/>
      <c r="C143" s="12"/>
      <c r="D143" s="69"/>
      <c r="E143" s="12"/>
      <c r="F143" s="12"/>
      <c r="H143" s="71"/>
      <c r="I143" s="71"/>
      <c r="J143" s="72"/>
      <c r="K143" s="71"/>
      <c r="L143" s="73"/>
      <c r="M143" s="73"/>
    </row>
    <row r="144" spans="2:13" ht="18.75" customHeight="1">
      <c r="B144" s="68"/>
      <c r="C144" s="12"/>
      <c r="D144" s="69"/>
      <c r="E144" s="12"/>
      <c r="F144" s="12"/>
      <c r="H144" s="71"/>
      <c r="I144" s="71"/>
      <c r="J144" s="72"/>
      <c r="K144" s="71"/>
      <c r="L144" s="73"/>
      <c r="M144" s="73"/>
    </row>
    <row r="145" spans="2:13" ht="18.75" customHeight="1">
      <c r="B145" s="68"/>
      <c r="C145" s="12"/>
      <c r="D145" s="69"/>
      <c r="E145" s="12"/>
      <c r="F145" s="12"/>
      <c r="H145" s="71"/>
      <c r="I145" s="71"/>
      <c r="J145" s="72"/>
      <c r="K145" s="71"/>
      <c r="L145" s="73"/>
      <c r="M145" s="73"/>
    </row>
    <row r="146" spans="2:13" ht="18.75" customHeight="1">
      <c r="B146" s="68"/>
      <c r="C146" s="12"/>
      <c r="D146" s="69"/>
      <c r="E146" s="12"/>
      <c r="F146" s="12"/>
      <c r="H146" s="71"/>
      <c r="I146" s="71"/>
      <c r="J146" s="72"/>
      <c r="K146" s="71"/>
      <c r="L146" s="73"/>
      <c r="M146" s="73"/>
    </row>
    <row r="147" spans="2:13" ht="18.75" customHeight="1">
      <c r="B147" s="68"/>
      <c r="C147" s="12"/>
      <c r="D147" s="69"/>
      <c r="E147" s="12"/>
      <c r="F147" s="12"/>
      <c r="H147" s="71"/>
      <c r="I147" s="71"/>
      <c r="J147" s="72"/>
      <c r="K147" s="71"/>
      <c r="L147" s="73"/>
      <c r="M147" s="73"/>
    </row>
    <row r="148" spans="2:13" ht="18.75" customHeight="1">
      <c r="B148" s="68"/>
      <c r="C148" s="12"/>
      <c r="D148" s="69"/>
      <c r="E148" s="12"/>
      <c r="F148" s="12"/>
      <c r="H148" s="71"/>
      <c r="I148" s="71"/>
      <c r="J148" s="72"/>
      <c r="K148" s="71"/>
      <c r="L148" s="73"/>
      <c r="M148" s="73"/>
    </row>
    <row r="149" spans="2:13" ht="18.75" customHeight="1">
      <c r="B149" s="68"/>
      <c r="C149" s="12"/>
      <c r="D149" s="69"/>
      <c r="E149" s="12"/>
      <c r="F149" s="12"/>
      <c r="H149" s="71"/>
      <c r="I149" s="71"/>
      <c r="J149" s="72"/>
      <c r="K149" s="71"/>
      <c r="L149" s="73"/>
      <c r="M149" s="73"/>
    </row>
    <row r="150" spans="2:13" ht="18.75" customHeight="1">
      <c r="B150" s="68"/>
      <c r="C150" s="12"/>
      <c r="D150" s="69"/>
      <c r="E150" s="12"/>
      <c r="F150" s="12"/>
      <c r="H150" s="71"/>
      <c r="I150" s="71"/>
      <c r="J150" s="72"/>
      <c r="K150" s="71"/>
      <c r="L150" s="73"/>
      <c r="M150" s="73"/>
    </row>
    <row r="151" spans="2:13" ht="18.75" customHeight="1">
      <c r="B151" s="68"/>
      <c r="C151" s="12"/>
      <c r="D151" s="69"/>
      <c r="E151" s="12"/>
      <c r="F151" s="12"/>
      <c r="H151" s="71"/>
      <c r="I151" s="71"/>
      <c r="J151" s="72"/>
      <c r="K151" s="71"/>
      <c r="L151" s="73"/>
      <c r="M151" s="73"/>
    </row>
    <row r="152" spans="2:13" ht="18.75" customHeight="1">
      <c r="B152" s="68"/>
      <c r="C152" s="12"/>
      <c r="D152" s="69"/>
      <c r="E152" s="12"/>
      <c r="F152" s="12"/>
      <c r="H152" s="71"/>
      <c r="I152" s="71"/>
      <c r="J152" s="72"/>
      <c r="K152" s="71"/>
      <c r="L152" s="73"/>
      <c r="M152" s="73"/>
    </row>
    <row r="153" spans="2:13" ht="18.75" customHeight="1">
      <c r="B153" s="68"/>
      <c r="C153" s="12"/>
      <c r="D153" s="69"/>
      <c r="E153" s="12"/>
      <c r="F153" s="12"/>
      <c r="H153" s="71"/>
      <c r="I153" s="71"/>
      <c r="J153" s="72"/>
      <c r="K153" s="71"/>
      <c r="L153" s="73"/>
      <c r="M153" s="73"/>
    </row>
    <row r="154" spans="2:13" ht="18.75" customHeight="1">
      <c r="B154" s="68"/>
      <c r="C154" s="12"/>
      <c r="D154" s="69"/>
      <c r="E154" s="12"/>
      <c r="F154" s="12"/>
      <c r="H154" s="71"/>
      <c r="I154" s="71"/>
      <c r="J154" s="72"/>
      <c r="K154" s="71"/>
      <c r="L154" s="73"/>
      <c r="M154" s="73"/>
    </row>
    <row r="155" spans="2:13" ht="18.75" customHeight="1">
      <c r="B155" s="68"/>
      <c r="C155" s="12"/>
      <c r="D155" s="69"/>
      <c r="E155" s="12"/>
      <c r="F155" s="12"/>
      <c r="H155" s="71"/>
      <c r="I155" s="71"/>
      <c r="J155" s="72"/>
      <c r="K155" s="71"/>
      <c r="L155" s="73"/>
      <c r="M155" s="73"/>
    </row>
    <row r="156" spans="2:13" ht="18.75" customHeight="1">
      <c r="B156" s="68"/>
      <c r="C156" s="12"/>
      <c r="D156" s="69"/>
      <c r="E156" s="12"/>
      <c r="F156" s="12"/>
      <c r="H156" s="71"/>
      <c r="I156" s="71"/>
      <c r="J156" s="72"/>
      <c r="K156" s="71"/>
      <c r="L156" s="73"/>
      <c r="M156" s="73"/>
    </row>
    <row r="157" spans="2:13" ht="18.75" customHeight="1">
      <c r="B157" s="68"/>
      <c r="C157" s="12"/>
      <c r="D157" s="69"/>
      <c r="E157" s="12"/>
      <c r="F157" s="12"/>
      <c r="H157" s="71"/>
      <c r="I157" s="71"/>
      <c r="J157" s="72"/>
      <c r="K157" s="71"/>
      <c r="L157" s="73"/>
      <c r="M157" s="73"/>
    </row>
    <row r="158" spans="2:13" ht="18.75" customHeight="1">
      <c r="B158" s="68"/>
      <c r="C158" s="12"/>
      <c r="D158" s="69"/>
      <c r="E158" s="12"/>
      <c r="F158" s="12"/>
      <c r="H158" s="71"/>
      <c r="I158" s="71"/>
      <c r="J158" s="72"/>
      <c r="K158" s="71"/>
      <c r="L158" s="73"/>
      <c r="M158" s="73"/>
    </row>
    <row r="159" spans="2:13" ht="18.75" customHeight="1">
      <c r="B159" s="68"/>
      <c r="C159" s="12"/>
      <c r="D159" s="69"/>
      <c r="E159" s="12"/>
      <c r="F159" s="12"/>
      <c r="H159" s="71"/>
      <c r="I159" s="71"/>
      <c r="J159" s="72"/>
      <c r="K159" s="71"/>
      <c r="L159" s="73"/>
      <c r="M159" s="73"/>
    </row>
    <row r="160" spans="2:13" ht="18.75" customHeight="1">
      <c r="B160" s="68"/>
      <c r="C160" s="12"/>
      <c r="D160" s="69"/>
      <c r="E160" s="12"/>
      <c r="F160" s="12"/>
      <c r="H160" s="71"/>
      <c r="I160" s="71"/>
      <c r="J160" s="72"/>
      <c r="K160" s="71"/>
      <c r="L160" s="73"/>
      <c r="M160" s="73"/>
    </row>
    <row r="161" spans="2:13" ht="18.75" customHeight="1">
      <c r="B161" s="68"/>
      <c r="C161" s="12"/>
      <c r="D161" s="69"/>
      <c r="E161" s="12"/>
      <c r="F161" s="12"/>
      <c r="H161" s="71"/>
      <c r="I161" s="71"/>
      <c r="J161" s="72"/>
      <c r="K161" s="71"/>
      <c r="L161" s="73"/>
      <c r="M161" s="73"/>
    </row>
    <row r="162" spans="2:13" ht="18.75" customHeight="1">
      <c r="B162" s="68"/>
      <c r="C162" s="12"/>
      <c r="D162" s="69"/>
      <c r="E162" s="12"/>
      <c r="F162" s="12"/>
      <c r="H162" s="71"/>
      <c r="I162" s="71"/>
      <c r="J162" s="72"/>
      <c r="K162" s="71"/>
      <c r="L162" s="73"/>
      <c r="M162" s="73"/>
    </row>
    <row r="163" spans="2:13" ht="18.75" customHeight="1">
      <c r="B163" s="68"/>
      <c r="C163" s="12"/>
      <c r="D163" s="69"/>
      <c r="E163" s="12"/>
      <c r="F163" s="12"/>
      <c r="H163" s="71"/>
      <c r="I163" s="71"/>
      <c r="J163" s="72"/>
      <c r="K163" s="71"/>
      <c r="L163" s="73"/>
      <c r="M163" s="73"/>
    </row>
    <row r="164" spans="2:13" ht="18.75" customHeight="1">
      <c r="B164" s="68"/>
      <c r="C164" s="12"/>
      <c r="D164" s="69"/>
      <c r="E164" s="12"/>
      <c r="F164" s="12"/>
      <c r="H164" s="71"/>
      <c r="I164" s="71"/>
      <c r="J164" s="72"/>
      <c r="K164" s="71"/>
      <c r="L164" s="73"/>
      <c r="M164" s="73"/>
    </row>
    <row r="165" spans="2:13" ht="18.75" customHeight="1">
      <c r="B165" s="68"/>
      <c r="C165" s="12"/>
      <c r="D165" s="69"/>
      <c r="E165" s="12"/>
      <c r="F165" s="12"/>
      <c r="H165" s="71"/>
      <c r="I165" s="71"/>
      <c r="J165" s="72"/>
      <c r="K165" s="71"/>
      <c r="L165" s="73"/>
      <c r="M165" s="73"/>
    </row>
    <row r="166" spans="2:13" ht="18.75" customHeight="1">
      <c r="B166" s="68"/>
      <c r="C166" s="12"/>
      <c r="D166" s="69"/>
      <c r="E166" s="12"/>
      <c r="F166" s="12"/>
      <c r="H166" s="71"/>
      <c r="I166" s="71"/>
      <c r="J166" s="72"/>
      <c r="K166" s="71"/>
      <c r="L166" s="73"/>
      <c r="M166" s="73"/>
    </row>
    <row r="167" spans="2:13" ht="18.75" customHeight="1">
      <c r="B167" s="68"/>
      <c r="C167" s="12"/>
      <c r="D167" s="69"/>
      <c r="E167" s="12"/>
      <c r="F167" s="12"/>
      <c r="H167" s="71"/>
      <c r="I167" s="71"/>
      <c r="J167" s="72"/>
      <c r="K167" s="71"/>
      <c r="L167" s="73"/>
      <c r="M167" s="73"/>
    </row>
    <row r="168" spans="2:13" ht="18.75" customHeight="1">
      <c r="B168" s="68"/>
      <c r="C168" s="12"/>
      <c r="D168" s="69"/>
      <c r="E168" s="12"/>
      <c r="F168" s="12"/>
      <c r="H168" s="71"/>
      <c r="I168" s="71"/>
      <c r="J168" s="72"/>
      <c r="K168" s="71"/>
      <c r="L168" s="73"/>
      <c r="M168" s="73"/>
    </row>
    <row r="169" spans="2:13" ht="18.75" customHeight="1">
      <c r="B169" s="68"/>
      <c r="C169" s="12"/>
      <c r="D169" s="69"/>
      <c r="E169" s="12"/>
      <c r="F169" s="12"/>
      <c r="H169" s="71"/>
      <c r="I169" s="71"/>
      <c r="J169" s="72"/>
      <c r="K169" s="71"/>
      <c r="L169" s="73"/>
      <c r="M169" s="73"/>
    </row>
    <row r="170" spans="2:13" ht="18.75" customHeight="1">
      <c r="B170" s="68"/>
      <c r="C170" s="12"/>
      <c r="D170" s="69"/>
      <c r="E170" s="12"/>
      <c r="F170" s="12"/>
      <c r="H170" s="71"/>
      <c r="I170" s="71"/>
      <c r="J170" s="72"/>
      <c r="K170" s="71"/>
      <c r="L170" s="73"/>
      <c r="M170" s="73"/>
    </row>
    <row r="171" spans="2:13" ht="18.75" customHeight="1">
      <c r="B171" s="68"/>
      <c r="C171" s="12"/>
      <c r="D171" s="69"/>
      <c r="E171" s="12"/>
      <c r="F171" s="12"/>
      <c r="H171" s="71"/>
      <c r="I171" s="71"/>
      <c r="J171" s="72"/>
      <c r="K171" s="71"/>
      <c r="L171" s="73"/>
      <c r="M171" s="73"/>
    </row>
    <row r="172" spans="2:13" ht="18.75" customHeight="1">
      <c r="B172" s="68"/>
      <c r="C172" s="12"/>
      <c r="D172" s="69"/>
      <c r="E172" s="12"/>
      <c r="F172" s="12"/>
      <c r="H172" s="71"/>
      <c r="I172" s="71"/>
      <c r="J172" s="72"/>
      <c r="K172" s="71"/>
      <c r="L172" s="73"/>
      <c r="M172" s="73"/>
    </row>
    <row r="173" spans="2:13" ht="18.75" customHeight="1">
      <c r="B173" s="68"/>
      <c r="C173" s="12"/>
      <c r="D173" s="69"/>
      <c r="E173" s="12"/>
      <c r="F173" s="12"/>
      <c r="H173" s="71"/>
      <c r="I173" s="71"/>
      <c r="J173" s="72"/>
      <c r="K173" s="71"/>
      <c r="L173" s="73"/>
      <c r="M173" s="73"/>
    </row>
    <row r="174" spans="2:13" ht="18.75" customHeight="1">
      <c r="B174" s="68"/>
      <c r="C174" s="12"/>
      <c r="D174" s="69"/>
      <c r="E174" s="12"/>
      <c r="F174" s="12"/>
      <c r="H174" s="71"/>
      <c r="I174" s="71"/>
      <c r="J174" s="72"/>
      <c r="K174" s="71"/>
      <c r="L174" s="73"/>
      <c r="M174" s="73"/>
    </row>
    <row r="175" spans="2:13" ht="18.75" customHeight="1">
      <c r="B175" s="68"/>
      <c r="C175" s="12"/>
      <c r="D175" s="69"/>
      <c r="E175" s="12"/>
      <c r="F175" s="12"/>
      <c r="H175" s="71"/>
      <c r="I175" s="71"/>
      <c r="J175" s="72"/>
      <c r="K175" s="71"/>
      <c r="L175" s="73"/>
      <c r="M175" s="73"/>
    </row>
    <row r="176" spans="2:13" ht="18.75" customHeight="1">
      <c r="B176" s="68"/>
      <c r="C176" s="12"/>
      <c r="D176" s="69"/>
      <c r="E176" s="12"/>
      <c r="F176" s="12"/>
      <c r="H176" s="71"/>
      <c r="I176" s="71"/>
      <c r="J176" s="72"/>
      <c r="K176" s="71"/>
      <c r="L176" s="73"/>
      <c r="M176" s="73"/>
    </row>
    <row r="177" spans="2:13" ht="18.75" customHeight="1">
      <c r="B177" s="68"/>
      <c r="C177" s="12"/>
      <c r="D177" s="69"/>
      <c r="E177" s="12"/>
      <c r="F177" s="12"/>
      <c r="H177" s="71"/>
      <c r="I177" s="71"/>
      <c r="J177" s="72"/>
      <c r="K177" s="71"/>
      <c r="L177" s="73"/>
      <c r="M177" s="73"/>
    </row>
    <row r="178" spans="2:13" ht="18.75" customHeight="1">
      <c r="B178" s="68"/>
      <c r="C178" s="12"/>
      <c r="D178" s="69"/>
      <c r="E178" s="12"/>
      <c r="F178" s="12"/>
      <c r="H178" s="71"/>
      <c r="I178" s="71"/>
      <c r="J178" s="72"/>
      <c r="K178" s="71"/>
      <c r="L178" s="73"/>
      <c r="M178" s="73"/>
    </row>
    <row r="179" spans="2:13" ht="18.75" customHeight="1">
      <c r="B179" s="68"/>
      <c r="C179" s="12"/>
      <c r="D179" s="69"/>
      <c r="E179" s="12"/>
      <c r="F179" s="12"/>
      <c r="H179" s="71"/>
      <c r="I179" s="71"/>
      <c r="J179" s="72"/>
      <c r="K179" s="71"/>
      <c r="L179" s="73"/>
      <c r="M179" s="73"/>
    </row>
    <row r="180" spans="2:13" ht="18.75" customHeight="1">
      <c r="B180" s="68"/>
      <c r="C180" s="12"/>
      <c r="D180" s="69"/>
      <c r="E180" s="12"/>
      <c r="F180" s="12"/>
      <c r="H180" s="71"/>
      <c r="I180" s="71"/>
      <c r="J180" s="72"/>
      <c r="K180" s="71"/>
      <c r="L180" s="73"/>
      <c r="M180" s="73"/>
    </row>
    <row r="181" spans="2:13" ht="18.75" customHeight="1">
      <c r="B181" s="68"/>
      <c r="C181" s="12"/>
      <c r="D181" s="69"/>
      <c r="E181" s="12"/>
      <c r="F181" s="12"/>
      <c r="H181" s="71"/>
      <c r="I181" s="71"/>
      <c r="J181" s="72"/>
      <c r="K181" s="71"/>
      <c r="L181" s="73"/>
      <c r="M181" s="73"/>
    </row>
    <row r="182" spans="2:13" ht="18.75" customHeight="1">
      <c r="B182" s="68"/>
      <c r="C182" s="12"/>
      <c r="D182" s="69"/>
      <c r="E182" s="12"/>
      <c r="F182" s="12"/>
      <c r="H182" s="71"/>
      <c r="I182" s="71"/>
      <c r="J182" s="72"/>
      <c r="K182" s="71"/>
      <c r="L182" s="73"/>
      <c r="M182" s="73"/>
    </row>
    <row r="183" spans="2:13" ht="18.75" customHeight="1">
      <c r="B183" s="68"/>
      <c r="C183" s="12"/>
      <c r="D183" s="69"/>
      <c r="E183" s="12"/>
      <c r="F183" s="12"/>
      <c r="H183" s="71"/>
      <c r="I183" s="71"/>
      <c r="J183" s="72"/>
      <c r="K183" s="71"/>
      <c r="L183" s="73"/>
      <c r="M183" s="73"/>
    </row>
    <row r="184" spans="2:13" ht="18.75" customHeight="1">
      <c r="B184" s="68"/>
      <c r="C184" s="12"/>
      <c r="D184" s="69"/>
      <c r="E184" s="12"/>
      <c r="F184" s="12"/>
      <c r="H184" s="71"/>
      <c r="I184" s="71"/>
      <c r="J184" s="72"/>
      <c r="K184" s="71"/>
      <c r="L184" s="73"/>
      <c r="M184" s="73"/>
    </row>
    <row r="185" spans="2:13" ht="18.75" customHeight="1">
      <c r="B185" s="68"/>
      <c r="C185" s="12"/>
      <c r="D185" s="69"/>
      <c r="E185" s="12"/>
      <c r="F185" s="12"/>
      <c r="H185" s="71"/>
      <c r="I185" s="71"/>
      <c r="J185" s="72"/>
      <c r="K185" s="71"/>
      <c r="L185" s="73"/>
      <c r="M185" s="73"/>
    </row>
    <row r="186" spans="2:13" ht="18.75" customHeight="1">
      <c r="B186" s="68"/>
      <c r="C186" s="12"/>
      <c r="D186" s="69"/>
      <c r="E186" s="12"/>
      <c r="F186" s="12"/>
      <c r="H186" s="71"/>
      <c r="I186" s="71"/>
      <c r="J186" s="72"/>
      <c r="K186" s="71"/>
      <c r="L186" s="73"/>
      <c r="M186" s="73"/>
    </row>
    <row r="187" spans="2:13" ht="18.75" customHeight="1">
      <c r="B187" s="68"/>
      <c r="C187" s="12"/>
      <c r="D187" s="69"/>
      <c r="E187" s="12"/>
      <c r="F187" s="12"/>
      <c r="H187" s="71"/>
      <c r="I187" s="71"/>
      <c r="J187" s="72"/>
      <c r="K187" s="71"/>
      <c r="L187" s="73"/>
      <c r="M187" s="73"/>
    </row>
    <row r="188" spans="2:13" ht="18.75" customHeight="1">
      <c r="B188" s="68"/>
      <c r="C188" s="12"/>
      <c r="D188" s="69"/>
      <c r="E188" s="12"/>
      <c r="F188" s="12"/>
      <c r="H188" s="71"/>
      <c r="I188" s="71"/>
      <c r="J188" s="72"/>
      <c r="K188" s="71"/>
      <c r="L188" s="73"/>
      <c r="M188" s="73"/>
    </row>
    <row r="189" spans="2:13" ht="18.75" customHeight="1">
      <c r="B189" s="68"/>
      <c r="C189" s="12"/>
      <c r="D189" s="69"/>
      <c r="E189" s="12"/>
      <c r="F189" s="12"/>
      <c r="H189" s="71"/>
      <c r="I189" s="71"/>
      <c r="J189" s="72"/>
      <c r="K189" s="71"/>
      <c r="L189" s="73"/>
      <c r="M189" s="73"/>
    </row>
    <row r="190" spans="2:13" ht="18.75" customHeight="1">
      <c r="B190" s="68"/>
      <c r="C190" s="12"/>
      <c r="D190" s="69"/>
      <c r="E190" s="12"/>
      <c r="F190" s="12"/>
      <c r="H190" s="71"/>
      <c r="I190" s="71"/>
      <c r="J190" s="72"/>
      <c r="K190" s="71"/>
      <c r="L190" s="73"/>
      <c r="M190" s="73"/>
    </row>
    <row r="191" spans="2:13" ht="18.75" customHeight="1">
      <c r="B191" s="68"/>
      <c r="C191" s="12"/>
      <c r="D191" s="69"/>
      <c r="E191" s="12"/>
      <c r="F191" s="12"/>
      <c r="H191" s="71"/>
      <c r="I191" s="71"/>
      <c r="J191" s="72"/>
      <c r="K191" s="71"/>
      <c r="L191" s="73"/>
      <c r="M191" s="73"/>
    </row>
    <row r="192" spans="2:13" ht="18.75" customHeight="1">
      <c r="B192" s="68"/>
      <c r="C192" s="12"/>
      <c r="D192" s="69"/>
      <c r="E192" s="12"/>
      <c r="F192" s="12"/>
      <c r="H192" s="71"/>
      <c r="I192" s="71"/>
      <c r="J192" s="72"/>
      <c r="K192" s="71"/>
      <c r="L192" s="73"/>
      <c r="M192" s="73"/>
    </row>
    <row r="193" spans="2:13" ht="18.75" customHeight="1">
      <c r="B193" s="68"/>
      <c r="C193" s="12"/>
      <c r="D193" s="69"/>
      <c r="E193" s="12"/>
      <c r="F193" s="12"/>
      <c r="H193" s="71"/>
      <c r="I193" s="71"/>
      <c r="J193" s="72"/>
      <c r="K193" s="71"/>
      <c r="L193" s="73"/>
      <c r="M193" s="73"/>
    </row>
    <row r="194" spans="2:13" ht="18.75" customHeight="1">
      <c r="B194" s="68"/>
      <c r="C194" s="12"/>
      <c r="D194" s="69"/>
      <c r="E194" s="12"/>
      <c r="F194" s="12"/>
      <c r="H194" s="71"/>
      <c r="I194" s="71"/>
      <c r="J194" s="72"/>
      <c r="K194" s="71"/>
      <c r="L194" s="73"/>
      <c r="M194" s="73"/>
    </row>
    <row r="195" spans="2:13" ht="18.75" customHeight="1">
      <c r="B195" s="68"/>
      <c r="C195" s="12"/>
      <c r="D195" s="69"/>
      <c r="E195" s="12"/>
      <c r="F195" s="12"/>
      <c r="H195" s="71"/>
      <c r="I195" s="71"/>
      <c r="J195" s="72"/>
      <c r="K195" s="71"/>
      <c r="L195" s="73"/>
      <c r="M195" s="73"/>
    </row>
    <row r="196" spans="2:13" ht="18.75" customHeight="1">
      <c r="B196" s="68"/>
      <c r="C196" s="12"/>
      <c r="D196" s="69"/>
      <c r="E196" s="12"/>
      <c r="F196" s="12"/>
      <c r="H196" s="71"/>
      <c r="I196" s="71"/>
      <c r="J196" s="72"/>
      <c r="K196" s="71"/>
      <c r="L196" s="73"/>
      <c r="M196" s="73"/>
    </row>
    <row r="197" spans="2:13" ht="18.75" customHeight="1">
      <c r="B197" s="68"/>
      <c r="C197" s="12"/>
      <c r="D197" s="69"/>
      <c r="E197" s="12"/>
      <c r="F197" s="12"/>
      <c r="H197" s="71"/>
      <c r="I197" s="71"/>
      <c r="J197" s="72"/>
      <c r="K197" s="71"/>
      <c r="L197" s="73"/>
      <c r="M197" s="73"/>
    </row>
    <row r="198" spans="2:13" ht="18.75" customHeight="1">
      <c r="B198" s="68"/>
      <c r="C198" s="12"/>
      <c r="D198" s="69"/>
      <c r="E198" s="12"/>
      <c r="F198" s="12"/>
      <c r="H198" s="71"/>
      <c r="I198" s="71"/>
      <c r="J198" s="72"/>
      <c r="K198" s="71"/>
      <c r="L198" s="73"/>
      <c r="M198" s="73"/>
    </row>
    <row r="199" spans="2:13" ht="18.75" customHeight="1">
      <c r="B199" s="68"/>
      <c r="C199" s="12"/>
      <c r="D199" s="69"/>
      <c r="E199" s="12"/>
      <c r="F199" s="12"/>
      <c r="H199" s="71"/>
      <c r="I199" s="71"/>
      <c r="J199" s="72"/>
      <c r="K199" s="71"/>
      <c r="L199" s="73"/>
      <c r="M199" s="73"/>
    </row>
    <row r="200" spans="2:13" ht="18.75" customHeight="1">
      <c r="B200" s="68"/>
      <c r="C200" s="12"/>
      <c r="D200" s="69"/>
      <c r="E200" s="12"/>
      <c r="F200" s="12"/>
      <c r="H200" s="71"/>
      <c r="I200" s="71"/>
      <c r="J200" s="72"/>
      <c r="K200" s="71"/>
      <c r="L200" s="73"/>
      <c r="M200" s="73"/>
    </row>
    <row r="201" spans="2:13" ht="18.75" customHeight="1">
      <c r="B201" s="68"/>
      <c r="C201" s="12"/>
      <c r="D201" s="69"/>
      <c r="E201" s="12"/>
      <c r="F201" s="12"/>
      <c r="H201" s="71"/>
      <c r="I201" s="71"/>
      <c r="J201" s="72"/>
      <c r="K201" s="71"/>
      <c r="L201" s="73"/>
      <c r="M201" s="73"/>
    </row>
    <row r="202" spans="2:13" ht="18.75" customHeight="1">
      <c r="B202" s="68"/>
      <c r="C202" s="12"/>
      <c r="D202" s="69"/>
      <c r="E202" s="12"/>
      <c r="F202" s="12"/>
      <c r="H202" s="71"/>
      <c r="I202" s="71"/>
      <c r="J202" s="72"/>
      <c r="K202" s="71"/>
      <c r="L202" s="73"/>
      <c r="M202" s="73"/>
    </row>
    <row r="203" spans="2:13" ht="18.75" customHeight="1">
      <c r="B203" s="68"/>
      <c r="C203" s="12"/>
      <c r="D203" s="69"/>
      <c r="E203" s="12"/>
      <c r="F203" s="12"/>
      <c r="H203" s="71"/>
      <c r="I203" s="71"/>
      <c r="J203" s="72"/>
      <c r="K203" s="71"/>
      <c r="L203" s="73"/>
      <c r="M203" s="73"/>
    </row>
    <row r="204" spans="2:13" ht="18.75" customHeight="1">
      <c r="B204" s="68"/>
      <c r="C204" s="12"/>
      <c r="D204" s="69"/>
      <c r="E204" s="12"/>
      <c r="F204" s="12"/>
      <c r="H204" s="71"/>
      <c r="I204" s="71"/>
      <c r="J204" s="72"/>
      <c r="K204" s="71"/>
      <c r="L204" s="73"/>
      <c r="M204" s="73"/>
    </row>
    <row r="205" spans="2:13" ht="18.75" customHeight="1">
      <c r="B205" s="68"/>
      <c r="C205" s="12"/>
      <c r="D205" s="69"/>
      <c r="E205" s="12"/>
      <c r="F205" s="12"/>
      <c r="H205" s="71"/>
      <c r="I205" s="71"/>
      <c r="J205" s="72"/>
      <c r="K205" s="71"/>
      <c r="L205" s="73"/>
      <c r="M205" s="73"/>
    </row>
    <row r="206" spans="2:13" ht="18.75" customHeight="1">
      <c r="B206" s="68"/>
      <c r="C206" s="12"/>
      <c r="D206" s="69"/>
      <c r="E206" s="12"/>
      <c r="F206" s="12"/>
      <c r="H206" s="71"/>
      <c r="I206" s="71"/>
      <c r="J206" s="72"/>
      <c r="K206" s="71"/>
      <c r="L206" s="73"/>
      <c r="M206" s="73"/>
    </row>
    <row r="207" spans="2:13" ht="18.75" customHeight="1">
      <c r="B207" s="68"/>
      <c r="C207" s="12"/>
      <c r="D207" s="69"/>
      <c r="E207" s="12"/>
      <c r="F207" s="12"/>
      <c r="H207" s="71"/>
      <c r="I207" s="71"/>
      <c r="J207" s="72"/>
      <c r="K207" s="71"/>
      <c r="L207" s="73"/>
      <c r="M207" s="73"/>
    </row>
    <row r="208" spans="2:13" ht="18.75" customHeight="1">
      <c r="B208" s="68"/>
      <c r="C208" s="12"/>
      <c r="D208" s="69"/>
      <c r="E208" s="12"/>
      <c r="F208" s="12"/>
      <c r="H208" s="71"/>
      <c r="I208" s="71"/>
      <c r="J208" s="72"/>
      <c r="K208" s="71"/>
      <c r="L208" s="73"/>
      <c r="M208" s="73"/>
    </row>
    <row r="209" spans="2:13" ht="18.75" customHeight="1">
      <c r="B209" s="68"/>
      <c r="C209" s="12"/>
      <c r="D209" s="69"/>
      <c r="E209" s="12"/>
      <c r="F209" s="12"/>
      <c r="H209" s="71"/>
      <c r="I209" s="71"/>
      <c r="J209" s="72"/>
      <c r="K209" s="71"/>
      <c r="L209" s="73"/>
      <c r="M209" s="73"/>
    </row>
    <row r="210" spans="2:13" ht="18.75" customHeight="1">
      <c r="B210" s="68"/>
      <c r="C210" s="12"/>
      <c r="D210" s="69"/>
      <c r="E210" s="12"/>
      <c r="F210" s="12"/>
      <c r="H210" s="71"/>
      <c r="I210" s="71"/>
      <c r="J210" s="72"/>
      <c r="K210" s="71"/>
      <c r="L210" s="73"/>
      <c r="M210" s="73"/>
    </row>
    <row r="211" spans="2:13" ht="18.75" customHeight="1">
      <c r="B211" s="68"/>
      <c r="C211" s="12"/>
      <c r="D211" s="69"/>
      <c r="E211" s="12"/>
      <c r="F211" s="12"/>
      <c r="H211" s="71"/>
      <c r="I211" s="71"/>
      <c r="J211" s="72"/>
      <c r="K211" s="71"/>
      <c r="L211" s="73"/>
      <c r="M211" s="73"/>
    </row>
    <row r="212" spans="2:13" ht="18.75" customHeight="1">
      <c r="B212" s="68"/>
      <c r="C212" s="12"/>
      <c r="D212" s="69"/>
      <c r="E212" s="12"/>
      <c r="F212" s="12"/>
      <c r="H212" s="71"/>
      <c r="I212" s="71"/>
      <c r="J212" s="72"/>
      <c r="K212" s="71"/>
      <c r="L212" s="73"/>
      <c r="M212" s="73"/>
    </row>
    <row r="213" spans="2:13" ht="18.75" customHeight="1">
      <c r="B213" s="68"/>
      <c r="C213" s="12"/>
      <c r="D213" s="69"/>
      <c r="E213" s="12"/>
      <c r="F213" s="12"/>
      <c r="H213" s="71"/>
      <c r="I213" s="71"/>
      <c r="J213" s="72"/>
      <c r="K213" s="71"/>
      <c r="L213" s="73"/>
      <c r="M213" s="73"/>
    </row>
    <row r="214" spans="2:13" ht="18.75" customHeight="1">
      <c r="B214" s="68"/>
      <c r="C214" s="12"/>
      <c r="D214" s="69"/>
      <c r="E214" s="12"/>
      <c r="F214" s="12"/>
      <c r="H214" s="71"/>
      <c r="I214" s="71"/>
      <c r="J214" s="72"/>
      <c r="K214" s="71"/>
      <c r="L214" s="73"/>
      <c r="M214" s="73"/>
    </row>
    <row r="215" spans="2:13" ht="18.75" customHeight="1">
      <c r="B215" s="68"/>
      <c r="C215" s="12"/>
      <c r="D215" s="69"/>
      <c r="E215" s="12"/>
      <c r="F215" s="12"/>
      <c r="H215" s="71"/>
      <c r="I215" s="71"/>
      <c r="J215" s="72"/>
      <c r="K215" s="71"/>
      <c r="L215" s="73"/>
      <c r="M215" s="73"/>
    </row>
    <row r="216" spans="2:13" ht="18.75" customHeight="1">
      <c r="B216" s="68"/>
      <c r="C216" s="12"/>
      <c r="D216" s="69"/>
      <c r="E216" s="12"/>
      <c r="F216" s="12"/>
      <c r="H216" s="71"/>
      <c r="I216" s="71"/>
      <c r="J216" s="72"/>
      <c r="K216" s="71"/>
      <c r="L216" s="73"/>
      <c r="M216" s="73"/>
    </row>
    <row r="217" spans="2:13" ht="18.75" customHeight="1">
      <c r="B217" s="68"/>
      <c r="C217" s="12"/>
      <c r="D217" s="69"/>
      <c r="E217" s="12"/>
      <c r="F217" s="12"/>
      <c r="H217" s="71"/>
      <c r="I217" s="71"/>
      <c r="J217" s="72"/>
      <c r="K217" s="71"/>
      <c r="L217" s="73"/>
      <c r="M217" s="73"/>
    </row>
    <row r="218" spans="2:13" ht="18.75" customHeight="1">
      <c r="B218" s="68"/>
      <c r="C218" s="12"/>
      <c r="D218" s="69"/>
      <c r="E218" s="12"/>
      <c r="F218" s="12"/>
      <c r="H218" s="71"/>
      <c r="I218" s="71"/>
      <c r="J218" s="72"/>
      <c r="K218" s="71"/>
      <c r="L218" s="73"/>
      <c r="M218" s="73"/>
    </row>
    <row r="219" spans="2:13" ht="18.75" customHeight="1">
      <c r="B219" s="68"/>
      <c r="C219" s="12"/>
      <c r="D219" s="69"/>
      <c r="E219" s="12"/>
      <c r="F219" s="12"/>
      <c r="H219" s="71"/>
      <c r="I219" s="71"/>
      <c r="J219" s="72"/>
      <c r="K219" s="71"/>
      <c r="L219" s="73"/>
      <c r="M219" s="73"/>
    </row>
    <row r="220" spans="2:13" ht="18.75" customHeight="1">
      <c r="B220" s="68"/>
      <c r="C220" s="12"/>
      <c r="D220" s="69"/>
      <c r="E220" s="12"/>
      <c r="F220" s="12"/>
      <c r="H220" s="71"/>
      <c r="I220" s="71"/>
      <c r="J220" s="72"/>
      <c r="K220" s="71"/>
      <c r="L220" s="73"/>
      <c r="M220" s="73"/>
    </row>
    <row r="221" spans="2:13" ht="18.75" customHeight="1">
      <c r="B221" s="68"/>
      <c r="C221" s="12"/>
      <c r="D221" s="69"/>
      <c r="E221" s="12"/>
      <c r="F221" s="12"/>
      <c r="H221" s="71"/>
      <c r="I221" s="71"/>
      <c r="J221" s="72"/>
      <c r="K221" s="71"/>
      <c r="L221" s="73"/>
      <c r="M221" s="73"/>
    </row>
    <row r="222" spans="2:13" ht="18.75" customHeight="1">
      <c r="B222" s="68"/>
      <c r="C222" s="12"/>
      <c r="D222" s="69"/>
      <c r="E222" s="12"/>
      <c r="F222" s="12"/>
      <c r="H222" s="71"/>
      <c r="I222" s="71"/>
      <c r="J222" s="72"/>
      <c r="K222" s="71"/>
      <c r="L222" s="73"/>
      <c r="M222" s="73"/>
    </row>
    <row r="223" spans="2:13" ht="18.75" customHeight="1">
      <c r="B223" s="68"/>
      <c r="C223" s="12"/>
      <c r="D223" s="69"/>
      <c r="E223" s="12"/>
      <c r="F223" s="12"/>
      <c r="H223" s="71"/>
      <c r="I223" s="71"/>
      <c r="J223" s="72"/>
      <c r="K223" s="71"/>
      <c r="L223" s="73"/>
      <c r="M223" s="73"/>
    </row>
    <row r="224" spans="2:13" ht="18.75" customHeight="1">
      <c r="B224" s="68"/>
      <c r="C224" s="12"/>
      <c r="D224" s="69"/>
      <c r="E224" s="12"/>
      <c r="F224" s="12"/>
      <c r="H224" s="71"/>
      <c r="I224" s="71"/>
      <c r="J224" s="72"/>
      <c r="K224" s="71"/>
      <c r="L224" s="73"/>
      <c r="M224" s="73"/>
    </row>
    <row r="225" spans="2:13" ht="18.75" customHeight="1">
      <c r="B225" s="68"/>
      <c r="C225" s="12"/>
      <c r="D225" s="69"/>
      <c r="E225" s="12"/>
      <c r="F225" s="12"/>
      <c r="H225" s="71"/>
      <c r="I225" s="71"/>
      <c r="J225" s="72"/>
      <c r="K225" s="71"/>
      <c r="L225" s="73"/>
      <c r="M225" s="73"/>
    </row>
    <row r="226" spans="2:13" ht="18.75" customHeight="1">
      <c r="B226" s="68"/>
      <c r="C226" s="12"/>
      <c r="D226" s="69"/>
      <c r="E226" s="12"/>
      <c r="F226" s="12"/>
      <c r="H226" s="71"/>
      <c r="I226" s="71"/>
      <c r="J226" s="72"/>
      <c r="K226" s="71"/>
      <c r="L226" s="73"/>
      <c r="M226" s="73"/>
    </row>
    <row r="227" spans="2:13" ht="18.75" customHeight="1">
      <c r="B227" s="68"/>
      <c r="C227" s="12"/>
      <c r="D227" s="69"/>
      <c r="E227" s="12"/>
      <c r="F227" s="12"/>
      <c r="H227" s="71"/>
      <c r="I227" s="71"/>
      <c r="J227" s="72"/>
      <c r="K227" s="71"/>
      <c r="L227" s="73"/>
      <c r="M227" s="73"/>
    </row>
    <row r="228" spans="2:13" ht="18.75" customHeight="1">
      <c r="B228" s="68"/>
      <c r="C228" s="12"/>
      <c r="D228" s="69"/>
      <c r="E228" s="12"/>
      <c r="F228" s="12"/>
      <c r="H228" s="71"/>
      <c r="I228" s="71"/>
      <c r="J228" s="72"/>
      <c r="K228" s="71"/>
      <c r="L228" s="73"/>
      <c r="M228" s="73"/>
    </row>
    <row r="229" spans="2:13" ht="18.75" customHeight="1">
      <c r="B229" s="68"/>
      <c r="C229" s="12"/>
      <c r="D229" s="69"/>
      <c r="E229" s="12"/>
      <c r="F229" s="12"/>
      <c r="H229" s="71"/>
      <c r="I229" s="71"/>
      <c r="J229" s="72"/>
      <c r="K229" s="71"/>
      <c r="L229" s="73"/>
      <c r="M229" s="73"/>
    </row>
    <row r="230" spans="2:13" ht="18.75" customHeight="1">
      <c r="B230" s="68"/>
      <c r="C230" s="12"/>
      <c r="D230" s="69"/>
      <c r="E230" s="12"/>
      <c r="F230" s="12"/>
      <c r="H230" s="71"/>
      <c r="I230" s="71"/>
      <c r="J230" s="72"/>
      <c r="K230" s="71"/>
      <c r="L230" s="73"/>
      <c r="M230" s="73"/>
    </row>
    <row r="231" spans="2:13" ht="18.75" customHeight="1">
      <c r="B231" s="68"/>
      <c r="C231" s="12"/>
      <c r="D231" s="69"/>
      <c r="E231" s="12"/>
      <c r="F231" s="12"/>
      <c r="H231" s="71"/>
      <c r="I231" s="71"/>
      <c r="J231" s="72"/>
      <c r="K231" s="71"/>
      <c r="L231" s="73"/>
      <c r="M231" s="73"/>
    </row>
    <row r="232" spans="2:13" ht="18.75" customHeight="1">
      <c r="B232" s="68"/>
      <c r="C232" s="12"/>
      <c r="D232" s="69"/>
      <c r="E232" s="12"/>
      <c r="F232" s="12"/>
      <c r="H232" s="71"/>
      <c r="I232" s="71"/>
      <c r="J232" s="72"/>
      <c r="K232" s="71"/>
      <c r="L232" s="73"/>
      <c r="M232" s="73"/>
    </row>
    <row r="233" spans="2:13" ht="18.75" customHeight="1">
      <c r="B233" s="68"/>
      <c r="C233" s="12"/>
      <c r="D233" s="69"/>
      <c r="E233" s="12"/>
      <c r="F233" s="12"/>
      <c r="H233" s="71"/>
      <c r="I233" s="71"/>
      <c r="J233" s="72"/>
      <c r="K233" s="71"/>
      <c r="L233" s="73"/>
      <c r="M233" s="73"/>
    </row>
    <row r="234" spans="2:13" ht="18.75" customHeight="1">
      <c r="B234" s="68"/>
      <c r="C234" s="12"/>
      <c r="D234" s="69"/>
      <c r="E234" s="12"/>
      <c r="F234" s="12"/>
      <c r="H234" s="71"/>
      <c r="I234" s="71"/>
      <c r="J234" s="72"/>
      <c r="K234" s="71"/>
      <c r="L234" s="73"/>
      <c r="M234" s="73"/>
    </row>
    <row r="235" spans="2:13" ht="18.75" customHeight="1">
      <c r="B235" s="68"/>
      <c r="C235" s="12"/>
      <c r="D235" s="69"/>
      <c r="E235" s="12"/>
      <c r="F235" s="12"/>
      <c r="H235" s="71"/>
      <c r="I235" s="71"/>
      <c r="J235" s="72"/>
      <c r="K235" s="71"/>
      <c r="L235" s="73"/>
      <c r="M235" s="73"/>
    </row>
    <row r="236" spans="2:13" ht="18.75" customHeight="1">
      <c r="B236" s="68"/>
      <c r="C236" s="12"/>
      <c r="D236" s="69"/>
      <c r="E236" s="12"/>
      <c r="F236" s="12"/>
      <c r="H236" s="71"/>
      <c r="I236" s="71"/>
      <c r="J236" s="72"/>
      <c r="K236" s="71"/>
      <c r="L236" s="73"/>
      <c r="M236" s="73"/>
    </row>
    <row r="237" spans="2:13" ht="18.75" customHeight="1">
      <c r="B237" s="68"/>
      <c r="C237" s="12"/>
      <c r="D237" s="69"/>
      <c r="E237" s="12"/>
      <c r="F237" s="12"/>
      <c r="H237" s="71"/>
      <c r="I237" s="71"/>
      <c r="J237" s="72"/>
      <c r="K237" s="71"/>
      <c r="L237" s="73"/>
      <c r="M237" s="73"/>
    </row>
    <row r="238" spans="2:13" ht="18.75" customHeight="1">
      <c r="B238" s="68"/>
      <c r="C238" s="12"/>
      <c r="D238" s="69"/>
      <c r="E238" s="12"/>
      <c r="F238" s="12"/>
      <c r="H238" s="71"/>
      <c r="I238" s="71"/>
      <c r="J238" s="72"/>
      <c r="K238" s="71"/>
      <c r="L238" s="73"/>
      <c r="M238" s="73"/>
    </row>
    <row r="239" spans="2:13" ht="18.75" customHeight="1">
      <c r="B239" s="68"/>
      <c r="C239" s="12"/>
      <c r="D239" s="69"/>
      <c r="E239" s="12"/>
      <c r="F239" s="12"/>
      <c r="H239" s="71"/>
      <c r="I239" s="71"/>
      <c r="J239" s="72"/>
      <c r="K239" s="71"/>
      <c r="L239" s="73"/>
      <c r="M239" s="73"/>
    </row>
    <row r="240" spans="2:13" ht="18.75" customHeight="1">
      <c r="B240" s="68"/>
      <c r="C240" s="12"/>
      <c r="D240" s="69"/>
      <c r="E240" s="12"/>
      <c r="F240" s="12"/>
      <c r="H240" s="71"/>
      <c r="I240" s="71"/>
      <c r="J240" s="72"/>
      <c r="K240" s="71"/>
      <c r="L240" s="73"/>
      <c r="M240" s="73"/>
    </row>
    <row r="241" spans="2:13" ht="18.75" customHeight="1">
      <c r="B241" s="68"/>
      <c r="C241" s="12"/>
      <c r="D241" s="69"/>
      <c r="E241" s="12"/>
      <c r="F241" s="12"/>
      <c r="H241" s="71"/>
      <c r="I241" s="71"/>
      <c r="J241" s="72"/>
      <c r="K241" s="71"/>
      <c r="L241" s="73"/>
      <c r="M241" s="73"/>
    </row>
    <row r="242" spans="2:13" ht="18.75" customHeight="1">
      <c r="B242" s="68"/>
      <c r="C242" s="12"/>
      <c r="D242" s="69"/>
      <c r="E242" s="12"/>
      <c r="F242" s="12"/>
      <c r="H242" s="71"/>
      <c r="I242" s="71"/>
      <c r="J242" s="72"/>
      <c r="K242" s="71"/>
      <c r="L242" s="73"/>
      <c r="M242" s="73"/>
    </row>
    <row r="243" spans="2:13" ht="18.75" customHeight="1">
      <c r="B243" s="68"/>
      <c r="C243" s="12"/>
      <c r="D243" s="69"/>
      <c r="E243" s="12"/>
      <c r="F243" s="12"/>
      <c r="H243" s="71"/>
      <c r="I243" s="71"/>
      <c r="J243" s="72"/>
      <c r="K243" s="71"/>
      <c r="L243" s="73"/>
      <c r="M243" s="73"/>
    </row>
    <row r="244" spans="2:13" ht="18.75" customHeight="1">
      <c r="B244" s="68"/>
      <c r="C244" s="12"/>
      <c r="D244" s="69"/>
      <c r="E244" s="12"/>
      <c r="F244" s="12"/>
      <c r="H244" s="71"/>
      <c r="I244" s="71"/>
      <c r="J244" s="72"/>
      <c r="K244" s="71"/>
      <c r="L244" s="73"/>
      <c r="M244" s="73"/>
    </row>
    <row r="245" spans="2:13" ht="18.75" customHeight="1">
      <c r="B245" s="68"/>
      <c r="C245" s="12"/>
      <c r="D245" s="69"/>
      <c r="E245" s="12"/>
      <c r="F245" s="12"/>
      <c r="H245" s="71"/>
      <c r="I245" s="71"/>
      <c r="J245" s="72"/>
      <c r="K245" s="71"/>
      <c r="L245" s="73"/>
      <c r="M245" s="73"/>
    </row>
    <row r="246" spans="2:13" ht="18.75" customHeight="1">
      <c r="B246" s="68"/>
      <c r="C246" s="12"/>
      <c r="D246" s="69"/>
      <c r="E246" s="12"/>
      <c r="F246" s="12"/>
      <c r="H246" s="71"/>
      <c r="I246" s="71"/>
      <c r="J246" s="72"/>
      <c r="K246" s="71"/>
      <c r="L246" s="73"/>
      <c r="M246" s="73"/>
    </row>
    <row r="247" spans="2:13" ht="18.75" customHeight="1">
      <c r="B247" s="68"/>
      <c r="C247" s="12"/>
      <c r="D247" s="69"/>
      <c r="E247" s="12"/>
      <c r="F247" s="12"/>
      <c r="H247" s="71"/>
      <c r="I247" s="71"/>
      <c r="J247" s="72"/>
      <c r="K247" s="71"/>
      <c r="L247" s="73"/>
      <c r="M247" s="73"/>
    </row>
    <row r="248" spans="2:13" ht="18.75" customHeight="1">
      <c r="B248" s="68"/>
      <c r="C248" s="12"/>
      <c r="D248" s="69"/>
      <c r="E248" s="12"/>
      <c r="F248" s="12"/>
      <c r="H248" s="71"/>
      <c r="I248" s="71"/>
      <c r="J248" s="72"/>
      <c r="K248" s="71"/>
      <c r="L248" s="73"/>
      <c r="M248" s="73"/>
    </row>
    <row r="249" spans="2:13" ht="18.75" customHeight="1">
      <c r="B249" s="68"/>
      <c r="C249" s="12"/>
      <c r="D249" s="69"/>
      <c r="E249" s="12"/>
      <c r="F249" s="12"/>
      <c r="H249" s="71"/>
      <c r="I249" s="71"/>
      <c r="J249" s="72"/>
      <c r="K249" s="71"/>
      <c r="L249" s="73"/>
      <c r="M249" s="73"/>
    </row>
    <row r="250" spans="2:13" ht="18.75" customHeight="1">
      <c r="B250" s="68"/>
      <c r="C250" s="12"/>
      <c r="D250" s="69"/>
      <c r="E250" s="12"/>
      <c r="F250" s="12"/>
      <c r="H250" s="71"/>
      <c r="I250" s="71"/>
      <c r="J250" s="72"/>
      <c r="K250" s="71"/>
      <c r="L250" s="73"/>
      <c r="M250" s="73"/>
    </row>
    <row r="251" spans="2:13" ht="18.75" customHeight="1">
      <c r="B251" s="68"/>
      <c r="C251" s="12"/>
      <c r="D251" s="69"/>
      <c r="E251" s="12"/>
      <c r="F251" s="12"/>
      <c r="H251" s="71"/>
      <c r="I251" s="71"/>
      <c r="J251" s="72"/>
      <c r="K251" s="71"/>
      <c r="L251" s="73"/>
      <c r="M251" s="73"/>
    </row>
    <row r="252" spans="2:13" ht="18.75" customHeight="1">
      <c r="B252" s="68"/>
      <c r="C252" s="12"/>
      <c r="D252" s="69"/>
      <c r="E252" s="12"/>
      <c r="F252" s="12"/>
      <c r="H252" s="71"/>
      <c r="I252" s="71"/>
      <c r="J252" s="72"/>
      <c r="K252" s="71"/>
      <c r="L252" s="73"/>
      <c r="M252" s="73"/>
    </row>
    <row r="253" spans="2:13" ht="18.75" customHeight="1">
      <c r="B253" s="68"/>
      <c r="C253" s="12"/>
      <c r="D253" s="69"/>
      <c r="E253" s="12"/>
      <c r="F253" s="12"/>
      <c r="H253" s="71"/>
      <c r="I253" s="71"/>
      <c r="J253" s="72"/>
      <c r="K253" s="71"/>
      <c r="L253" s="73"/>
      <c r="M253" s="73"/>
    </row>
    <row r="254" spans="2:13" ht="18.75" customHeight="1">
      <c r="B254" s="68"/>
      <c r="C254" s="12"/>
      <c r="D254" s="69"/>
      <c r="E254" s="12"/>
      <c r="F254" s="12"/>
      <c r="H254" s="71"/>
      <c r="I254" s="71"/>
      <c r="J254" s="72"/>
      <c r="K254" s="71"/>
      <c r="L254" s="73"/>
      <c r="M254" s="73"/>
    </row>
    <row r="255" spans="2:13" ht="18.75" customHeight="1">
      <c r="B255" s="68"/>
      <c r="C255" s="12"/>
      <c r="D255" s="69"/>
      <c r="E255" s="12"/>
      <c r="F255" s="12"/>
      <c r="H255" s="71"/>
      <c r="I255" s="71"/>
      <c r="J255" s="72"/>
      <c r="K255" s="71"/>
      <c r="L255" s="73"/>
      <c r="M255" s="73"/>
    </row>
    <row r="256" spans="2:13" ht="18.75" customHeight="1">
      <c r="B256" s="68"/>
      <c r="C256" s="12"/>
      <c r="D256" s="69"/>
      <c r="E256" s="12"/>
      <c r="F256" s="12"/>
      <c r="H256" s="71"/>
      <c r="I256" s="71"/>
      <c r="J256" s="72"/>
      <c r="K256" s="71"/>
      <c r="L256" s="73"/>
      <c r="M256" s="73"/>
    </row>
    <row r="257" spans="2:13" ht="18.75" customHeight="1">
      <c r="B257" s="68"/>
      <c r="C257" s="12"/>
      <c r="D257" s="69"/>
      <c r="E257" s="12"/>
      <c r="F257" s="12"/>
      <c r="H257" s="71"/>
      <c r="I257" s="71"/>
      <c r="J257" s="72"/>
      <c r="K257" s="71"/>
      <c r="L257" s="73"/>
      <c r="M257" s="73"/>
    </row>
    <row r="258" spans="2:13" ht="18.75" customHeight="1">
      <c r="B258" s="68"/>
      <c r="C258" s="12"/>
      <c r="D258" s="69"/>
      <c r="E258" s="12"/>
      <c r="F258" s="12"/>
      <c r="H258" s="71"/>
      <c r="I258" s="71"/>
      <c r="J258" s="72"/>
      <c r="K258" s="71"/>
      <c r="L258" s="73"/>
      <c r="M258" s="73"/>
    </row>
    <row r="259" spans="2:13" ht="15.75" customHeight="1">
      <c r="B259" s="68"/>
      <c r="C259" s="12"/>
      <c r="D259" s="69"/>
      <c r="E259" s="12"/>
      <c r="F259" s="12"/>
      <c r="H259" s="71"/>
      <c r="I259" s="71"/>
      <c r="J259" s="72"/>
      <c r="K259" s="71"/>
      <c r="L259" s="73"/>
      <c r="M259" s="73"/>
    </row>
    <row r="260" spans="2:13" ht="15.75" customHeight="1">
      <c r="B260" s="68"/>
      <c r="C260" s="12"/>
      <c r="D260" s="69"/>
      <c r="E260" s="12"/>
      <c r="F260" s="12"/>
      <c r="H260" s="71"/>
      <c r="I260" s="71"/>
      <c r="J260" s="72"/>
      <c r="K260" s="71"/>
      <c r="L260" s="73"/>
      <c r="M260" s="73"/>
    </row>
    <row r="261" spans="2:13" ht="15.75" customHeight="1">
      <c r="B261" s="68"/>
      <c r="C261" s="12"/>
      <c r="D261" s="69"/>
      <c r="E261" s="12"/>
      <c r="F261" s="12"/>
      <c r="H261" s="71"/>
      <c r="I261" s="71"/>
      <c r="J261" s="72"/>
      <c r="K261" s="71"/>
      <c r="L261" s="73"/>
      <c r="M261" s="73"/>
    </row>
    <row r="262" spans="2:13" ht="15.75" customHeight="1">
      <c r="B262" s="68"/>
      <c r="C262" s="12"/>
      <c r="D262" s="69"/>
      <c r="E262" s="12"/>
      <c r="F262" s="12"/>
      <c r="H262" s="71"/>
      <c r="I262" s="71"/>
      <c r="J262" s="72"/>
      <c r="K262" s="71"/>
      <c r="L262" s="73"/>
      <c r="M262" s="73"/>
    </row>
    <row r="263" spans="2:13" ht="15.75" customHeight="1">
      <c r="B263" s="68"/>
      <c r="C263" s="12"/>
      <c r="D263" s="69"/>
      <c r="E263" s="12"/>
      <c r="F263" s="12"/>
      <c r="H263" s="71"/>
      <c r="I263" s="71"/>
      <c r="J263" s="72"/>
      <c r="K263" s="71"/>
      <c r="L263" s="73"/>
      <c r="M263" s="73"/>
    </row>
    <row r="264" spans="2:13" ht="15.75" customHeight="1">
      <c r="B264" s="68"/>
      <c r="C264" s="12"/>
      <c r="D264" s="69"/>
      <c r="E264" s="12"/>
      <c r="F264" s="12"/>
      <c r="H264" s="71"/>
      <c r="I264" s="71"/>
      <c r="J264" s="72"/>
      <c r="K264" s="71"/>
      <c r="L264" s="73"/>
      <c r="M264" s="73"/>
    </row>
    <row r="265" spans="2:13" ht="15.75" customHeight="1">
      <c r="B265" s="68"/>
      <c r="C265" s="12"/>
      <c r="D265" s="69"/>
      <c r="E265" s="12"/>
      <c r="F265" s="12"/>
      <c r="H265" s="71"/>
      <c r="I265" s="71"/>
      <c r="J265" s="72"/>
      <c r="K265" s="71"/>
      <c r="L265" s="73"/>
      <c r="M265" s="73"/>
    </row>
    <row r="266" spans="2:13" ht="15.75" customHeight="1">
      <c r="B266" s="68"/>
      <c r="C266" s="12"/>
      <c r="D266" s="69"/>
      <c r="E266" s="12"/>
      <c r="F266" s="12"/>
      <c r="H266" s="71"/>
      <c r="I266" s="71"/>
      <c r="J266" s="72"/>
      <c r="K266" s="71"/>
      <c r="L266" s="73"/>
      <c r="M266" s="73"/>
    </row>
    <row r="267" spans="2:13" ht="15.75" customHeight="1">
      <c r="B267" s="68"/>
      <c r="C267" s="12"/>
      <c r="D267" s="69"/>
      <c r="E267" s="12"/>
      <c r="F267" s="12"/>
      <c r="H267" s="71"/>
      <c r="I267" s="71"/>
      <c r="J267" s="72"/>
      <c r="K267" s="71"/>
      <c r="L267" s="73"/>
      <c r="M267" s="73"/>
    </row>
    <row r="268" spans="2:13" ht="15.75" customHeight="1">
      <c r="B268" s="68"/>
      <c r="C268" s="12"/>
      <c r="D268" s="69"/>
      <c r="E268" s="12"/>
      <c r="F268" s="12"/>
      <c r="H268" s="71"/>
      <c r="I268" s="71"/>
      <c r="J268" s="72"/>
      <c r="K268" s="71"/>
      <c r="L268" s="73"/>
      <c r="M268" s="73"/>
    </row>
    <row r="269" spans="2:13" ht="15.75" customHeight="1">
      <c r="B269" s="68"/>
      <c r="C269" s="12"/>
      <c r="D269" s="69"/>
      <c r="E269" s="12"/>
      <c r="F269" s="12"/>
      <c r="H269" s="71"/>
      <c r="I269" s="71"/>
      <c r="J269" s="72"/>
      <c r="K269" s="71"/>
      <c r="L269" s="73"/>
      <c r="M269" s="73"/>
    </row>
    <row r="270" spans="2:13" ht="15.75" customHeight="1">
      <c r="B270" s="68"/>
      <c r="C270" s="12"/>
      <c r="D270" s="69"/>
      <c r="E270" s="12"/>
      <c r="F270" s="12"/>
      <c r="H270" s="71"/>
      <c r="I270" s="71"/>
      <c r="J270" s="72"/>
      <c r="K270" s="71"/>
      <c r="L270" s="73"/>
      <c r="M270" s="73"/>
    </row>
    <row r="271" spans="2:13" ht="15.75" customHeight="1">
      <c r="B271" s="68"/>
      <c r="C271" s="12"/>
      <c r="D271" s="69"/>
      <c r="E271" s="12"/>
      <c r="F271" s="12"/>
      <c r="H271" s="71"/>
      <c r="I271" s="71"/>
      <c r="J271" s="72"/>
      <c r="K271" s="71"/>
      <c r="L271" s="73"/>
      <c r="M271" s="73"/>
    </row>
    <row r="272" spans="2:13" ht="15.75" customHeight="1">
      <c r="B272" s="68"/>
      <c r="C272" s="12"/>
      <c r="D272" s="69"/>
      <c r="E272" s="12"/>
      <c r="F272" s="12"/>
      <c r="H272" s="71"/>
      <c r="I272" s="71"/>
      <c r="J272" s="72"/>
      <c r="K272" s="71"/>
      <c r="L272" s="73"/>
      <c r="M272" s="73"/>
    </row>
    <row r="273" spans="2:13" ht="15.75" customHeight="1">
      <c r="B273" s="68"/>
      <c r="C273" s="12"/>
      <c r="D273" s="69"/>
      <c r="E273" s="12"/>
      <c r="F273" s="12"/>
      <c r="H273" s="71"/>
      <c r="I273" s="71"/>
      <c r="J273" s="72"/>
      <c r="K273" s="71"/>
      <c r="L273" s="73"/>
      <c r="M273" s="73"/>
    </row>
    <row r="274" spans="2:13" ht="15.75" customHeight="1">
      <c r="B274" s="68"/>
      <c r="C274" s="12"/>
      <c r="D274" s="69"/>
      <c r="E274" s="12"/>
      <c r="F274" s="12"/>
      <c r="H274" s="71"/>
      <c r="I274" s="71"/>
      <c r="J274" s="72"/>
      <c r="K274" s="71"/>
      <c r="L274" s="73"/>
      <c r="M274" s="73"/>
    </row>
    <row r="275" spans="2:13" ht="15.75" customHeight="1">
      <c r="B275" s="68"/>
      <c r="C275" s="12"/>
      <c r="D275" s="69"/>
      <c r="E275" s="12"/>
      <c r="F275" s="12"/>
      <c r="H275" s="71"/>
      <c r="I275" s="71"/>
      <c r="J275" s="72"/>
      <c r="K275" s="71"/>
      <c r="L275" s="73"/>
      <c r="M275" s="73"/>
    </row>
    <row r="276" spans="2:13" ht="15.75" customHeight="1">
      <c r="B276" s="68"/>
      <c r="C276" s="12"/>
      <c r="D276" s="69"/>
      <c r="E276" s="12"/>
      <c r="F276" s="12"/>
      <c r="H276" s="71"/>
      <c r="I276" s="71"/>
      <c r="J276" s="72"/>
      <c r="K276" s="71"/>
      <c r="L276" s="73"/>
      <c r="M276" s="73"/>
    </row>
    <row r="277" spans="2:13" ht="15.75" customHeight="1">
      <c r="B277" s="68"/>
      <c r="C277" s="12"/>
      <c r="D277" s="69"/>
      <c r="E277" s="12"/>
      <c r="F277" s="12"/>
      <c r="H277" s="71"/>
      <c r="I277" s="71"/>
      <c r="J277" s="72"/>
      <c r="K277" s="71"/>
      <c r="L277" s="73"/>
      <c r="M277" s="73"/>
    </row>
    <row r="278" spans="2:13" ht="15.75" customHeight="1">
      <c r="B278" s="68"/>
      <c r="C278" s="12"/>
      <c r="D278" s="69"/>
      <c r="E278" s="12"/>
      <c r="F278" s="12"/>
      <c r="H278" s="71"/>
      <c r="I278" s="71"/>
      <c r="J278" s="72"/>
      <c r="K278" s="71"/>
      <c r="L278" s="73"/>
      <c r="M278" s="73"/>
    </row>
    <row r="279" spans="2:13" ht="15.75" customHeight="1">
      <c r="B279" s="68"/>
      <c r="C279" s="12"/>
      <c r="D279" s="69"/>
      <c r="E279" s="12"/>
      <c r="F279" s="12"/>
      <c r="H279" s="71"/>
      <c r="I279" s="71"/>
      <c r="J279" s="72"/>
      <c r="K279" s="71"/>
      <c r="L279" s="73"/>
      <c r="M279" s="73"/>
    </row>
    <row r="280" spans="2:13" ht="15.75" customHeight="1">
      <c r="B280" s="68"/>
      <c r="C280" s="12"/>
      <c r="D280" s="69"/>
      <c r="E280" s="12"/>
      <c r="F280" s="12"/>
      <c r="H280" s="71"/>
      <c r="I280" s="71"/>
      <c r="J280" s="72"/>
      <c r="K280" s="71"/>
      <c r="L280" s="73"/>
      <c r="M280" s="73"/>
    </row>
    <row r="281" spans="2:13" ht="15.75" customHeight="1">
      <c r="B281" s="68"/>
      <c r="C281" s="12"/>
      <c r="D281" s="69"/>
      <c r="E281" s="12"/>
      <c r="F281" s="12"/>
      <c r="H281" s="71"/>
      <c r="I281" s="71"/>
      <c r="J281" s="72"/>
      <c r="K281" s="71"/>
      <c r="L281" s="73"/>
      <c r="M281" s="73"/>
    </row>
    <row r="282" spans="2:13" ht="15.75" customHeight="1">
      <c r="B282" s="68"/>
      <c r="C282" s="12"/>
      <c r="D282" s="69"/>
      <c r="E282" s="12"/>
      <c r="F282" s="12"/>
      <c r="H282" s="71"/>
      <c r="I282" s="71"/>
      <c r="J282" s="72"/>
      <c r="K282" s="71"/>
      <c r="L282" s="73"/>
      <c r="M282" s="73"/>
    </row>
    <row r="283" spans="2:13" ht="15.75" customHeight="1">
      <c r="B283" s="68"/>
      <c r="C283" s="12"/>
      <c r="D283" s="69"/>
      <c r="E283" s="12"/>
      <c r="F283" s="12"/>
      <c r="H283" s="71"/>
      <c r="I283" s="71"/>
      <c r="J283" s="72"/>
      <c r="K283" s="71"/>
      <c r="L283" s="73"/>
      <c r="M283" s="73"/>
    </row>
    <row r="284" spans="2:13" ht="15.75" customHeight="1">
      <c r="B284" s="68"/>
      <c r="C284" s="12"/>
      <c r="D284" s="69"/>
      <c r="E284" s="12"/>
      <c r="F284" s="12"/>
      <c r="H284" s="71"/>
      <c r="I284" s="71"/>
      <c r="J284" s="72"/>
      <c r="K284" s="71"/>
      <c r="L284" s="73"/>
      <c r="M284" s="73"/>
    </row>
    <row r="285" spans="2:13" ht="15.75" customHeight="1">
      <c r="B285" s="68"/>
      <c r="C285" s="12"/>
      <c r="D285" s="69"/>
      <c r="E285" s="12"/>
      <c r="F285" s="12"/>
      <c r="H285" s="71"/>
      <c r="I285" s="71"/>
      <c r="J285" s="72"/>
      <c r="K285" s="71"/>
      <c r="L285" s="73"/>
      <c r="M285" s="73"/>
    </row>
    <row r="286" spans="2:13" ht="15.75" customHeight="1">
      <c r="B286" s="68"/>
      <c r="C286" s="12"/>
      <c r="D286" s="69"/>
      <c r="E286" s="12"/>
      <c r="F286" s="12"/>
      <c r="H286" s="71"/>
      <c r="I286" s="71"/>
      <c r="J286" s="72"/>
      <c r="K286" s="71"/>
      <c r="L286" s="73"/>
      <c r="M286" s="73"/>
    </row>
    <row r="287" spans="2:13" ht="15.75" customHeight="1">
      <c r="B287" s="68"/>
      <c r="C287" s="12"/>
      <c r="D287" s="69"/>
      <c r="E287" s="12"/>
      <c r="F287" s="12"/>
      <c r="H287" s="71"/>
      <c r="I287" s="71"/>
      <c r="J287" s="72"/>
      <c r="K287" s="71"/>
      <c r="L287" s="73"/>
      <c r="M287" s="73"/>
    </row>
    <row r="288" spans="2:13" ht="15.75" customHeight="1">
      <c r="B288" s="68"/>
      <c r="C288" s="12"/>
      <c r="D288" s="69"/>
      <c r="E288" s="12"/>
      <c r="F288" s="12"/>
      <c r="H288" s="71"/>
      <c r="I288" s="71"/>
      <c r="J288" s="72"/>
      <c r="K288" s="71"/>
      <c r="L288" s="73"/>
      <c r="M288" s="73"/>
    </row>
    <row r="289" spans="2:13" ht="15.75" customHeight="1">
      <c r="B289" s="68"/>
      <c r="C289" s="12"/>
      <c r="D289" s="69"/>
      <c r="E289" s="12"/>
      <c r="F289" s="12"/>
      <c r="H289" s="71"/>
      <c r="I289" s="71"/>
      <c r="J289" s="72"/>
      <c r="K289" s="71"/>
      <c r="L289" s="73"/>
      <c r="M289" s="73"/>
    </row>
    <row r="290" spans="2:13" ht="15.75" customHeight="1">
      <c r="B290" s="68"/>
      <c r="C290" s="12"/>
      <c r="D290" s="69"/>
      <c r="E290" s="12"/>
      <c r="F290" s="12"/>
      <c r="H290" s="71"/>
      <c r="I290" s="71"/>
      <c r="J290" s="72"/>
      <c r="K290" s="71"/>
      <c r="L290" s="73"/>
      <c r="M290" s="73"/>
    </row>
    <row r="291" spans="2:13" ht="15.75" customHeight="1">
      <c r="B291" s="68"/>
      <c r="C291" s="12"/>
      <c r="D291" s="69"/>
      <c r="E291" s="12"/>
      <c r="F291" s="12"/>
      <c r="H291" s="71"/>
      <c r="I291" s="71"/>
      <c r="J291" s="72"/>
      <c r="K291" s="71"/>
      <c r="L291" s="73"/>
      <c r="M291" s="73"/>
    </row>
    <row r="292" spans="2:13" ht="15.75" customHeight="1">
      <c r="B292" s="68"/>
      <c r="C292" s="12"/>
      <c r="D292" s="69"/>
      <c r="E292" s="12"/>
      <c r="F292" s="12"/>
      <c r="H292" s="71"/>
      <c r="I292" s="71"/>
      <c r="J292" s="72"/>
      <c r="K292" s="71"/>
      <c r="L292" s="73"/>
      <c r="M292" s="73"/>
    </row>
    <row r="293" spans="2:13" ht="15.75" customHeight="1">
      <c r="B293" s="68"/>
      <c r="C293" s="12"/>
      <c r="D293" s="69"/>
      <c r="E293" s="12"/>
      <c r="F293" s="12"/>
      <c r="H293" s="71"/>
      <c r="I293" s="71"/>
      <c r="J293" s="72"/>
      <c r="K293" s="71"/>
      <c r="L293" s="73"/>
      <c r="M293" s="73"/>
    </row>
    <row r="294" spans="2:13" ht="15.75" customHeight="1">
      <c r="B294" s="68"/>
      <c r="C294" s="12"/>
      <c r="D294" s="69"/>
      <c r="E294" s="12"/>
      <c r="F294" s="12"/>
      <c r="H294" s="71"/>
      <c r="I294" s="71"/>
      <c r="J294" s="72"/>
      <c r="K294" s="71"/>
      <c r="L294" s="73"/>
      <c r="M294" s="73"/>
    </row>
    <row r="295" spans="2:13" ht="15.75" customHeight="1">
      <c r="B295" s="68"/>
      <c r="C295" s="12"/>
      <c r="D295" s="69"/>
      <c r="E295" s="12"/>
      <c r="F295" s="12"/>
      <c r="H295" s="71"/>
      <c r="I295" s="71"/>
      <c r="J295" s="72"/>
      <c r="K295" s="71"/>
      <c r="L295" s="73"/>
      <c r="M295" s="73"/>
    </row>
    <row r="296" spans="2:13" ht="15.75" customHeight="1">
      <c r="B296" s="68"/>
      <c r="C296" s="12"/>
      <c r="D296" s="69"/>
      <c r="E296" s="12"/>
      <c r="F296" s="12"/>
      <c r="H296" s="71"/>
      <c r="I296" s="71"/>
      <c r="J296" s="72"/>
      <c r="K296" s="71"/>
      <c r="L296" s="73"/>
      <c r="M296" s="73"/>
    </row>
    <row r="297" spans="2:13" ht="15.75" customHeight="1">
      <c r="B297" s="68"/>
      <c r="C297" s="12"/>
      <c r="D297" s="69"/>
      <c r="E297" s="12"/>
      <c r="F297" s="12"/>
      <c r="H297" s="71"/>
      <c r="I297" s="71"/>
      <c r="J297" s="72"/>
      <c r="K297" s="71"/>
      <c r="L297" s="73"/>
      <c r="M297" s="73"/>
    </row>
    <row r="298" spans="2:13" ht="15.75" customHeight="1"/>
    <row r="299" spans="2:13" ht="15.75" customHeight="1"/>
    <row r="300" spans="2:13" ht="15.75" customHeight="1"/>
    <row r="301" spans="2:13" ht="15.75" customHeight="1"/>
    <row r="302" spans="2:13" ht="15.75" customHeight="1"/>
    <row r="303" spans="2:13" ht="15.75" customHeight="1"/>
    <row r="304" spans="2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sortState xmlns:xlrd2="http://schemas.microsoft.com/office/spreadsheetml/2017/richdata2" ref="A4:P68">
    <sortCondition descending="1" ref="P4:P68"/>
  </sortState>
  <phoneticPr fontId="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坂本浩一</dc:creator>
  <cp:keywords/>
  <dc:description/>
  <cp:lastModifiedBy>卓球 久留米</cp:lastModifiedBy>
  <cp:revision/>
  <dcterms:created xsi:type="dcterms:W3CDTF">2023-09-05T12:05:26Z</dcterms:created>
  <dcterms:modified xsi:type="dcterms:W3CDTF">2026-01-31T10:44:34Z</dcterms:modified>
  <cp:category/>
  <cp:contentStatus/>
</cp:coreProperties>
</file>